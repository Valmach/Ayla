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24240" windowHeight="13290" tabRatio="775"/>
  </bookViews>
  <sheets>
    <sheet name="Dashboard" sheetId="2" r:id="rId1"/>
    <sheet name="Sortbyname" sheetId="14" r:id="rId2"/>
    <sheet name="Rules PHB" sheetId="10" r:id="rId3"/>
    <sheet name="Rules 1" sheetId="3" r:id="rId4"/>
    <sheet name="Rules 2" sheetId="5" r:id="rId5"/>
    <sheet name="Rules 3" sheetId="7" r:id="rId6"/>
    <sheet name="Rules 4" sheetId="6" r:id="rId7"/>
    <sheet name="Equip Schedule" sheetId="16" r:id="rId8"/>
    <sheet name="Misc" sheetId="15" r:id="rId9"/>
    <sheet name="Database" sheetId="1" r:id="rId10"/>
    <sheet name="Stages" sheetId="4" r:id="rId11"/>
    <sheet name="J" sheetId="8" r:id="rId12"/>
    <sheet name="Exceptions" sheetId="12" r:id="rId13"/>
    <sheet name="Output" sheetId="11" r:id="rId14"/>
    <sheet name="Ideas" sheetId="9" r:id="rId15"/>
  </sheets>
  <functionGroups builtInGroupCount="17"/>
  <definedNames>
    <definedName name="projectnames" localSheetId="9" hidden="1">Database!$A$1:$BB$451</definedName>
  </definedNames>
  <calcPr calcId="145621"/>
</workbook>
</file>

<file path=xl/calcChain.xml><?xml version="1.0" encoding="utf-8"?>
<calcChain xmlns="http://schemas.openxmlformats.org/spreadsheetml/2006/main">
  <c r="F87" i="2" l="1"/>
  <c r="E87" i="2"/>
  <c r="F86" i="2"/>
  <c r="E86" i="2"/>
  <c r="F85" i="2"/>
  <c r="E85" i="2"/>
  <c r="F84" i="2"/>
  <c r="E84" i="2"/>
  <c r="F137" i="2" l="1"/>
  <c r="E137" i="2"/>
  <c r="F136" i="2"/>
  <c r="E136" i="2"/>
  <c r="F135" i="2"/>
  <c r="E135" i="2"/>
  <c r="F134" i="2"/>
  <c r="E134" i="2"/>
  <c r="F133" i="2"/>
  <c r="E133" i="2"/>
  <c r="F132" i="2"/>
  <c r="E132" i="2"/>
  <c r="F131" i="2"/>
  <c r="E131" i="2"/>
  <c r="F130" i="2"/>
  <c r="E130" i="2"/>
  <c r="F129" i="2"/>
  <c r="E129" i="2"/>
  <c r="F128" i="2"/>
  <c r="E128" i="2"/>
  <c r="F127" i="2"/>
  <c r="E127" i="2"/>
  <c r="F126" i="2"/>
  <c r="E126" i="2"/>
  <c r="E83" i="2" l="1"/>
  <c r="F82" i="2"/>
  <c r="E82" i="2"/>
  <c r="E118" i="2" l="1"/>
  <c r="E78" i="2" l="1"/>
  <c r="F77" i="2"/>
  <c r="E77" i="2"/>
  <c r="F76" i="2"/>
  <c r="E76" i="2"/>
  <c r="E114" i="2" l="1"/>
  <c r="F98" i="2" l="1"/>
  <c r="E98" i="2"/>
  <c r="F75" i="2" l="1"/>
  <c r="E75" i="2"/>
  <c r="F74" i="2"/>
  <c r="E74" i="2"/>
  <c r="E110" i="2" l="1"/>
  <c r="E25" i="2" l="1"/>
  <c r="E167" i="2" l="1"/>
  <c r="E166" i="2"/>
  <c r="E165" i="2"/>
  <c r="E164" i="2"/>
  <c r="E163" i="2"/>
  <c r="E162" i="2"/>
  <c r="E161" i="2"/>
  <c r="E160" i="2"/>
  <c r="E159" i="2"/>
  <c r="E107" i="2" l="1"/>
  <c r="E106" i="2"/>
  <c r="F105" i="2"/>
  <c r="E105" i="2"/>
  <c r="F73" i="2" l="1"/>
  <c r="E73" i="2"/>
  <c r="F72" i="2"/>
  <c r="E72" i="2"/>
  <c r="F94" i="2" l="1"/>
  <c r="E94" i="2"/>
  <c r="F71" i="2" l="1"/>
  <c r="E71" i="2"/>
  <c r="E67" i="2" l="1"/>
  <c r="F66" i="2"/>
  <c r="E66" i="2"/>
  <c r="E18" i="2" l="1"/>
  <c r="E17" i="2"/>
  <c r="F16" i="2"/>
  <c r="E16" i="2"/>
  <c r="F32" i="2" l="1"/>
  <c r="E32" i="2"/>
  <c r="F63" i="2" l="1"/>
  <c r="E63" i="2"/>
  <c r="E92" i="2" l="1"/>
  <c r="E56" i="2" l="1"/>
  <c r="F55" i="2"/>
  <c r="E55" i="2"/>
  <c r="E148" i="2" l="1"/>
  <c r="E52" i="2" l="1"/>
  <c r="F49" i="2" l="1"/>
  <c r="E49" i="2"/>
  <c r="F48" i="2"/>
  <c r="E48" i="2"/>
  <c r="F47" i="2"/>
  <c r="E47" i="2"/>
  <c r="F46" i="2"/>
  <c r="E46" i="2"/>
  <c r="F45" i="2"/>
  <c r="E45" i="2"/>
  <c r="F44" i="2"/>
  <c r="E44" i="2"/>
  <c r="F43" i="2"/>
  <c r="E43" i="2"/>
  <c r="F40" i="2" l="1"/>
  <c r="E40" i="2"/>
  <c r="F39" i="2"/>
  <c r="E39" i="2"/>
  <c r="D8" i="16" l="1"/>
  <c r="L13" i="16" l="1"/>
  <c r="L14" i="16"/>
  <c r="L15" i="16"/>
  <c r="L16" i="16"/>
  <c r="L12" i="16"/>
  <c r="L11" i="16"/>
  <c r="B17" i="16"/>
  <c r="B20" i="16"/>
  <c r="B21" i="16"/>
  <c r="B16" i="16"/>
  <c r="B18" i="16"/>
  <c r="B19" i="16"/>
  <c r="B12" i="16"/>
  <c r="B13" i="16"/>
  <c r="B14" i="16"/>
  <c r="B15" i="16"/>
  <c r="B11" i="16"/>
  <c r="E20" i="6" l="1"/>
  <c r="E21" i="6"/>
  <c r="E22" i="6" l="1"/>
  <c r="A11" i="11" l="1"/>
  <c r="BD387" i="1" l="1"/>
  <c r="J30" i="3" l="1"/>
  <c r="J29" i="3"/>
  <c r="J28" i="3"/>
  <c r="J24" i="3"/>
  <c r="J26" i="3"/>
  <c r="J27" i="3"/>
  <c r="J25" i="3"/>
  <c r="J22" i="3"/>
  <c r="J23" i="3"/>
  <c r="F28" i="10" l="1"/>
  <c r="F29" i="10" s="1"/>
  <c r="F30" i="10" s="1"/>
  <c r="F31" i="10" s="1"/>
  <c r="F27" i="10"/>
  <c r="C27" i="10"/>
  <c r="J13" i="3" l="1"/>
  <c r="J14" i="3"/>
  <c r="J15" i="3"/>
  <c r="J16" i="3"/>
  <c r="J17" i="3"/>
  <c r="J18" i="3"/>
  <c r="J19" i="3"/>
  <c r="J20" i="3"/>
  <c r="J21" i="3"/>
  <c r="J12" i="3"/>
  <c r="E19" i="6"/>
  <c r="E13" i="6"/>
  <c r="E14" i="6"/>
  <c r="E15" i="6"/>
  <c r="E16" i="6"/>
  <c r="E17" i="6"/>
  <c r="E18" i="6"/>
  <c r="E12" i="6" l="1"/>
  <c r="C23" i="10" l="1"/>
  <c r="C24" i="10"/>
  <c r="C25" i="10"/>
  <c r="C26" i="10"/>
  <c r="C22" i="10"/>
  <c r="F13" i="10"/>
  <c r="F14" i="10" s="1"/>
  <c r="F15" i="10" s="1"/>
  <c r="F16" i="10" s="1"/>
  <c r="F17" i="10" s="1"/>
  <c r="F18" i="10" s="1"/>
  <c r="F19" i="10" s="1"/>
  <c r="F20" i="10" s="1"/>
  <c r="F21" i="10" s="1"/>
  <c r="F22" i="10" s="1"/>
  <c r="F23" i="10" s="1"/>
  <c r="F24" i="10" s="1"/>
  <c r="F25" i="10" s="1"/>
  <c r="F26" i="10" s="1"/>
</calcChain>
</file>

<file path=xl/connections.xml><?xml version="1.0" encoding="utf-8"?>
<connections xmlns="http://schemas.openxmlformats.org/spreadsheetml/2006/main">
  <connection id="1" sourceFile="J:\Printlog\filemanager\projectnames.mdb" keepAlive="1" name="projectnames" type="5" refreshedVersion="5" saveData="1">
    <dbPr connection="Provider=Microsoft.ACE.OLEDB.12.0;User ID=Admin;Data Source=J:\Printlog\filemanager\projectnames.mdb;Mode=Read;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Projectinfo" commandType="3"/>
  </connection>
</connections>
</file>

<file path=xl/sharedStrings.xml><?xml version="1.0" encoding="utf-8"?>
<sst xmlns="http://schemas.openxmlformats.org/spreadsheetml/2006/main" count="18925" uniqueCount="4548">
  <si>
    <t>Field1</t>
  </si>
  <si>
    <t>Project Number</t>
  </si>
  <si>
    <t>Project Name</t>
  </si>
  <si>
    <t>Date of last cost update</t>
  </si>
  <si>
    <t>Area</t>
  </si>
  <si>
    <t>Value</t>
  </si>
  <si>
    <t>Fee</t>
  </si>
  <si>
    <t>Job Director</t>
  </si>
  <si>
    <t>Job Runner</t>
  </si>
  <si>
    <t>Elec</t>
  </si>
  <si>
    <t>Elec2</t>
  </si>
  <si>
    <t>Mech</t>
  </si>
  <si>
    <t>Mec2</t>
  </si>
  <si>
    <t>Start Date</t>
  </si>
  <si>
    <t>Stage 3 Issued</t>
  </si>
  <si>
    <t>Stage 4 Issued</t>
  </si>
  <si>
    <t>Practical Completion</t>
  </si>
  <si>
    <t>Start On Site</t>
  </si>
  <si>
    <t>Stage</t>
  </si>
  <si>
    <t>Deadline date</t>
  </si>
  <si>
    <t>Deadline Description</t>
  </si>
  <si>
    <t>Key Date 1</t>
  </si>
  <si>
    <t>Key Date 2</t>
  </si>
  <si>
    <t>Key Date 3</t>
  </si>
  <si>
    <t>Key Date 4</t>
  </si>
  <si>
    <t>Key Date 5</t>
  </si>
  <si>
    <t>Key Date 6</t>
  </si>
  <si>
    <t>Key Date 7</t>
  </si>
  <si>
    <t>Completion year</t>
  </si>
  <si>
    <t>Completion date</t>
  </si>
  <si>
    <t>Location address</t>
  </si>
  <si>
    <t>Location county</t>
  </si>
  <si>
    <t>Proj description</t>
  </si>
  <si>
    <t>Proj type</t>
  </si>
  <si>
    <t>Proj new</t>
  </si>
  <si>
    <t>Proj image</t>
  </si>
  <si>
    <t>Occupacy</t>
  </si>
  <si>
    <t>Article 2</t>
  </si>
  <si>
    <t>Article 1</t>
  </si>
  <si>
    <t>Risks</t>
  </si>
  <si>
    <t>Cost descript</t>
  </si>
  <si>
    <t>Significant</t>
  </si>
  <si>
    <t>Professions</t>
  </si>
  <si>
    <t>References</t>
  </si>
  <si>
    <t>fee update date</t>
  </si>
  <si>
    <t>Team profit</t>
  </si>
  <si>
    <t>Specialacts</t>
  </si>
  <si>
    <t>Deviationsfromprocess</t>
  </si>
  <si>
    <t>Breifpath</t>
  </si>
  <si>
    <t>Programpath</t>
  </si>
  <si>
    <t>Emailprocedure</t>
  </si>
  <si>
    <t>Changectlpath</t>
  </si>
  <si>
    <t>Feeagreementonfile</t>
  </si>
  <si>
    <t>desroll</t>
  </si>
  <si>
    <t>31202</t>
  </si>
  <si>
    <t>Pool Car Petrol Expenses</t>
  </si>
  <si>
    <t>0</t>
  </si>
  <si>
    <t>Dave Brennan</t>
  </si>
  <si>
    <t>Richard Smyth</t>
  </si>
  <si>
    <t>Ralph O'Flaherty</t>
  </si>
  <si>
    <t>Chris Croly</t>
  </si>
  <si>
    <t>Stephen Timlin</t>
  </si>
  <si>
    <t>Stage 1</t>
  </si>
  <si>
    <t>J:\Printlog\filemanager\no image.jpg</t>
  </si>
  <si>
    <t>D7095</t>
  </si>
  <si>
    <t>New Community School, Ferrybank</t>
  </si>
  <si>
    <t>?</t>
  </si>
  <si>
    <t>€0.00</t>
  </si>
  <si>
    <t>Dermot Guiney</t>
  </si>
  <si>
    <t>Niall Kissane</t>
  </si>
  <si>
    <t/>
  </si>
  <si>
    <t>Complete</t>
  </si>
  <si>
    <t>Approx practical completion 2003</t>
  </si>
  <si>
    <t>Ross Road</t>
  </si>
  <si>
    <t>Waterford</t>
  </si>
  <si>
    <t xml:space="preserve">{\rtf1\ansi\ansicpg1252\deff0\deflang2057{\fonttbl{\f0\fnil\fcharset0 MS Sans Serif;}}_x000D_
\viewkind4\uc1\pard\f0\fs17 New 4,500 m\super 2\nosupersub  secondary school incorporating full mechanical and electrical services._x000D_
\par _x000D_
\par School website: - http://www.abbeycommunitycollege.com_x000D_
\par }_x000D_
</t>
  </si>
  <si>
    <t>Secondary school</t>
  </si>
  <si>
    <t>Yes</t>
  </si>
  <si>
    <t xml:space="preserve">{\rtf1\ansi\ansicpg1252\deff0\deflang2057{\fonttbl{\f0\fnil\fcharset0 MS Sans Serif;}}_x000D_
\viewkind4\uc1\pard\f0\fs17 _x000D_
\par }_x000D_
</t>
  </si>
  <si>
    <t>M&amp;E</t>
  </si>
  <si>
    <t>D7131</t>
  </si>
  <si>
    <t>Pope John Paul II National School</t>
  </si>
  <si>
    <t>Dublin</t>
  </si>
  <si>
    <t>Primary School</t>
  </si>
  <si>
    <t>yes</t>
  </si>
  <si>
    <t>DN07024</t>
  </si>
  <si>
    <t>Dublin Dental Hospital</t>
  </si>
  <si>
    <t>€10,100,000</t>
  </si>
  <si>
    <t>David Brennan</t>
  </si>
  <si>
    <t>John Doyle</t>
  </si>
  <si>
    <t>1996 Phase I_x000D_
1998 Complete</t>
  </si>
  <si>
    <t>Trinity College</t>
  </si>
  <si>
    <t xml:space="preserve">{\rtf1\fbidis\ansi\ansicpg1252\deff0\deflang2057{\fonttbl{\f0\fswiss\fprq2\fcharset0 Arial;}{\f1\fnil\fcharset0 Arial;}}_x000D_
\viewkind4\uc1\pard\ltrpar\sl288\slmult1\f0\fs17 Refurbishment of School of Dentistry and provision of New Clinic Block.  Integration of services within a listed building.  Facilities include laboratories, library, lecture halls, operating theatre suite, A&amp;E Department, CSSD \par_x000D_
\par_x000D_
Department, clinics and offices. Total floor area 6000 m2.  (\'8010.1m)\par_x000D_
\pard\ltrpar\f1\fs20\par_x000D_
}_x000D_
</t>
  </si>
  <si>
    <t>Healthcare</t>
  </si>
  <si>
    <t>K:\M&amp;E\Powerpoint Presentations\Various images\COMPLETED PROJECTS\Dental Images\Dublin Dental Hospital Model.jpg</t>
  </si>
  <si>
    <t>DN07055</t>
  </si>
  <si>
    <t>Fingal County Council Offices</t>
  </si>
  <si>
    <t>€15,000,000.00</t>
  </si>
  <si>
    <t>Mary McDonnald</t>
  </si>
  <si>
    <t>Completed June 2000</t>
  </si>
  <si>
    <t>Swords</t>
  </si>
  <si>
    <t xml:space="preserve">{\rtf1\ansi\ansicpg1252\deff0\deflang2057{\fonttbl{\f0\fswiss\fprq2\fcharset0 Arial;}{\f1\fnil\fcharset0 MS Sans Serif;}}_x000D_
\viewkind4\uc1\pard\b\f0\fs24 Shortlisted for the CIBSE Environmental Initiative of the year award_x000D_
\par \b0\fs28 _x000D_
\par \fs22 Fingal County Hall is known as Irelands first green office and employs a considerable number of passive techniques to control summertime temperatures within the office spaces._x000D_
\par _x000D_
\par The office is heralded as being the first office in Ireland that is capable of achieving internal conditions that are more comfortable than those found in an air conditioned building, but without the need for energy hungry air conditioning systems._x000D_
\par _x000D_
\par Fingal County hall has been used countless times both in Ireland and internationally to demonstrate that air conditioning is not a necessity for a comfortable office building._x000D_
\par \f1\fs17 _x000D_
\par }_x000D_
</t>
  </si>
  <si>
    <t>Office</t>
  </si>
  <si>
    <t>\\dn-sfs1\Workgrp\M&amp;E\SUSTAINABILITY\FLY SHEETS AND CASE STUDIES\Fingal IEC Case Study.pdf</t>
  </si>
  <si>
    <t>M&amp;E,Arch</t>
  </si>
  <si>
    <t>DN07066</t>
  </si>
  <si>
    <t>Fingal County Hall Fit Out</t>
  </si>
  <si>
    <t xml:space="preserve">{\rtf1\ansi\ansicpg1252\deff0\deflang2057{\fonttbl{\f0\fnil\fcharset0 MS Sans Serif;}}_x000D_
\viewkind4\uc1\pard\f0\fs17 This is an extension of the Fingal County Hall construction project._x000D_
\par _x000D_
\par This mainly involved interior design by BDP but there was some associated M&amp;E works\fs17 _x000D_
\par }_x000D_
</t>
  </si>
  <si>
    <t>No</t>
  </si>
  <si>
    <t>M&amp;E,I.D.</t>
  </si>
  <si>
    <t>DN07090</t>
  </si>
  <si>
    <t>FCC Swords Depot</t>
  </si>
  <si>
    <t>€1,000,000.00</t>
  </si>
  <si>
    <t>Watery lane, Swords</t>
  </si>
  <si>
    <t xml:space="preserve">{\rtf1\ansi\ansicpg1252\deff0\deflang2057{\fonttbl{\f0\fnil\fcharset0 MS Sans Serif;}}_x000D_
\viewkind4\uc1\pard\f0\fs17 New maintenance depot for Fingal County Council_x000D_
\par _x000D_
\par Truck maintenance facilities, workshops and associated offices\fs17 _x000D_
\par }_x000D_
</t>
  </si>
  <si>
    <t>Industrial</t>
  </si>
  <si>
    <t>DN07094</t>
  </si>
  <si>
    <t>Kilcormac Vocational School</t>
  </si>
  <si>
    <t>Brian Horan</t>
  </si>
  <si>
    <t>Kilcormac</t>
  </si>
  <si>
    <t>Offaly</t>
  </si>
  <si>
    <t xml:space="preserve">{\rtf1\ansi\ansicpg1252\deff0\deflang2057{\fonttbl{\f0\fnil\fcharset0 MS Sans Serif;}}_x000D_
\viewkind4\uc1\pard\f0\fs17 Extension to an existing secondary school and a complete mechanical and electrical refurbishment of the buildigns systems._x000D_
\par }_x000D_
</t>
  </si>
  <si>
    <t>DN07099</t>
  </si>
  <si>
    <t>UCC Development Plan Review 1998</t>
  </si>
  <si>
    <t>Gareth McGuire</t>
  </si>
  <si>
    <t>Closed</t>
  </si>
  <si>
    <t>Cork</t>
  </si>
  <si>
    <t>Development plan</t>
  </si>
  <si>
    <t>no</t>
  </si>
  <si>
    <t>DN07102</t>
  </si>
  <si>
    <t>Knockconan School</t>
  </si>
  <si>
    <t>Sept 05 the school moved in</t>
  </si>
  <si>
    <t>March 06 the school complained of minor system problems</t>
  </si>
  <si>
    <t>Monaghan</t>
  </si>
  <si>
    <t>DN07103</t>
  </si>
  <si>
    <t>Knocklyon School</t>
  </si>
  <si>
    <t>Completed in 2004</t>
  </si>
  <si>
    <t>Knocklyon</t>
  </si>
  <si>
    <t xml:space="preserve">{\rtf1\ansi\ansicpg1252\deff0\deflang2057{\fonttbl{\f0\fnil\fcharset0 MS Sans Serif;}}_x000D_
\viewkind4\uc1\pard\f0\fs17 New 4,800 m\super 2\nosupersub  secondary school incorporating full mechanical and electrical services._x000D_
\par }_x000D_
</t>
  </si>
  <si>
    <t>DN07112</t>
  </si>
  <si>
    <t>Greendale Community School</t>
  </si>
  <si>
    <t xml:space="preserve">{\rtf1\ansi\ansicpg1252\deff0\deflang2057{\fonttbl{\f0\fnil\fcharset0 MS Sans Serif;}}_x000D_
\viewkind4\uc1\pard\f0\fs17 An investigative study was carried out and a report produced outlining the condition of the M&amp;E services._x000D_
\par _x000D_
\par We also arranged for some work to be carried out to the boiler to keep it running._x000D_
\par _x000D_
\par The school has since been closed down and no remedial work has been carried out._x000D_
\par _x000D_
\par A of Sept 2007 we understand that a special school is intending to move into the buildnig temporarily.  We are not involved in thier re-lcoation._x000D_
\par }_x000D_
</t>
  </si>
  <si>
    <t>DN07113</t>
  </si>
  <si>
    <t>Corcahon National School</t>
  </si>
  <si>
    <t>Corcahon</t>
  </si>
  <si>
    <t xml:space="preserve">{\rtf1\ansi\ansicpg1252\deff0\deflang2057{\fonttbl{\f0\fnil\fcharset0 MS Sans Serif;}}_x000D_
\viewkind4\uc1\pard\f0\fs17 New primary school in Corcahon\fs17 _x000D_
\par }_x000D_
</t>
  </si>
  <si>
    <t>DN07118</t>
  </si>
  <si>
    <t>Woodwork Dust Extraction</t>
  </si>
  <si>
    <t xml:space="preserve">{\rtf1\ansi\ansicpg1252\deff0\deflang2057{\fonttbl{\f0\fnil\fcharset0 MS Sans Serif;}{\f1\froman\fprq2\fcharset0 Times New Roman;}}_x000D_
\viewkind4\uc1\pard\f0\fs22 This project was an investigative study for the Department of Education and Science and involved the installation of localised collection units in several schools, the measurement of air quality and the producing a recommendation report._x000D_
\par \f1 _x000D_
\par This project also included the creation of standard details for the DES to use as part of the roll out of the nation wide woodwork dust extract project._x000D_
\par \pard\f0\fs17 _x000D_
\par \fs17 _x000D_
\par }_x000D_
</t>
  </si>
  <si>
    <t>Woodwork</t>
  </si>
  <si>
    <t>DN07122</t>
  </si>
  <si>
    <t>4/5 Harcourt Rd Refurb</t>
  </si>
  <si>
    <t>DN07123</t>
  </si>
  <si>
    <t>Lefroy House Refurb</t>
  </si>
  <si>
    <t>Mark Kenny</t>
  </si>
  <si>
    <t>Damien Flynn</t>
  </si>
  <si>
    <t>Community</t>
  </si>
  <si>
    <t>DN07125</t>
  </si>
  <si>
    <t>Star of the Sea National School</t>
  </si>
  <si>
    <t>DN07133</t>
  </si>
  <si>
    <t>Gallahers Factory</t>
  </si>
  <si>
    <t>DN07137</t>
  </si>
  <si>
    <t>Crumlin Sports Hall</t>
  </si>
  <si>
    <t>€3,500,000.00</t>
  </si>
  <si>
    <t>Leisure</t>
  </si>
  <si>
    <t>DN07138</t>
  </si>
  <si>
    <t>Marist Convent, Crumlin</t>
  </si>
  <si>
    <t>DN07140</t>
  </si>
  <si>
    <t>Naas Primary School</t>
  </si>
  <si>
    <t>€6,317,000.83</t>
  </si>
  <si>
    <t>Willie Dolan</t>
  </si>
  <si>
    <t>Project began in 1999</t>
  </si>
  <si>
    <t>Practical completion at end Jan 2006</t>
  </si>
  <si>
    <t>Sallins road</t>
  </si>
  <si>
    <t>Kildare</t>
  </si>
  <si>
    <t xml:space="preserve">{\rtf1\fbidis\ansi\ansicpg1252\deff0\deflang2057{\fonttbl{\f0\froman\fprq2\fcharset0 Times New Roman;}{\f1\fswiss\fprq2\fcharset0 Arial;}{\f2\fnil\fcharset0 MS Sans Serif;}}_x000D_
\viewkind4\uc1\pard\ltrpar\b\f0\fs24 Naas Primary School_x000D_
\par \f1\fs18 _x000D_
\par \b0\fs20 This 2,823 m\super 2\nosupersub  buildin\lang6153  contains 16 classrooms, a large double size hall with dividing partition, a unit for children with autism, and support spaces._x000D_
\par _x000D_
\par A quality atrium space is provided at the main entrance to draw natural light through the building._x000D_
\par _x000D_
\par BDP were involved in the design from the start of the project to assist with the development of the buildings form, including a natural stack ventilation system to daw air through a number of classrooms, improving the ventilation provided._x000D_
\par _x000D_
\par The building offers quality natural daylight and ventilation to all spaces._x000D_
\par _x000D_
\par The mechanical systems are designed for ease of use and maintenance._x000D_
\par \lang2057\f2\fs17 _x000D_
\par }_x000D_
</t>
  </si>
  <si>
    <t>K:\M&amp;E\Powerpoint Presentations\Various images\COMPLETED PROJECTS\Naas Primary School\Picture 006.jpg</t>
  </si>
  <si>
    <t xml:space="preserve">Pat Fogarty_x000D_
Department of Education and Science_x000D_
Portlaoise Road_x000D_
Tullamore_x000D_
Tel: 05793 21363_x000D_
</t>
  </si>
  <si>
    <t>DN07142</t>
  </si>
  <si>
    <t>DCU St Clares - Phase 2</t>
  </si>
  <si>
    <t>DN07144</t>
  </si>
  <si>
    <t>Killina Secondary School</t>
  </si>
  <si>
    <t>DN07145</t>
  </si>
  <si>
    <t>Lissadel Ave Housing Devt</t>
  </si>
  <si>
    <t>Residential</t>
  </si>
  <si>
    <t>DN07146</t>
  </si>
  <si>
    <t>Avila Park Community Bldg</t>
  </si>
  <si>
    <t>DN07147</t>
  </si>
  <si>
    <t>School Sports Hall 2</t>
  </si>
  <si>
    <t>DN07148</t>
  </si>
  <si>
    <t>Finglas Sports Hall</t>
  </si>
  <si>
    <t>DN07149</t>
  </si>
  <si>
    <t>Inchicore Sports Hall</t>
  </si>
  <si>
    <t>DN07150</t>
  </si>
  <si>
    <t>Portlaoise Woodwork</t>
  </si>
  <si>
    <t>Laoise</t>
  </si>
  <si>
    <t>DN07151</t>
  </si>
  <si>
    <t>North Kildare School</t>
  </si>
  <si>
    <t>€3,000,000.00</t>
  </si>
  <si>
    <t>Appointed 1999</t>
  </si>
  <si>
    <t>Completed 2004</t>
  </si>
  <si>
    <t xml:space="preserve">{\rtf1\ansi\ansicpg1252\deff0\deflang2057{\fonttbl{\f0\fswiss\fcharset0 Arial;}{\f1\froman\fcharset0 Times New Roman;}{\f2\fswiss\fprq2\fcharset0 Arial;}{\f3\fnil\fcharset0 MS Sans Serif;}}_x000D_
{\colortbl ;\red0\green0\blue255;}_x000D_
\viewkind4\uc1\pard\sb100\sa100\cf1\ul\f0\fs20 http://www.nkets.ie/pictorialtour.html\cf0\ulnone\f1\fs24 _x000D_
\par \pard\lang6153\f2\fs20 New 1,850 m\'b2 10 classroom primary school complete with unit for children with autism._x000D_
\par _x000D_
\par Containing one of the first specially designed units for children with autism, BDP were able to draw on their international experience but also pro-actively undertook study of the servicing issues required for such a unit, from colour schemes to access control._x000D_
\par \lang2057\f3\fs17 _x000D_
\par }_x000D_
</t>
  </si>
  <si>
    <t>J:\Dn07151\Images\03-06-09\DSCN0069.JPG</t>
  </si>
  <si>
    <t>DN07152</t>
  </si>
  <si>
    <t>PortlaoiseVocational College</t>
  </si>
  <si>
    <t>€10,814,824.39</t>
  </si>
  <si>
    <t>Appointed in 1999</t>
  </si>
  <si>
    <t>Started on site? Approx Nov 2004</t>
  </si>
  <si>
    <t>Aug 2006 Practical Completion</t>
  </si>
  <si>
    <t>12/06/09  Final completion cert received for the sports facility associated with the school</t>
  </si>
  <si>
    <t>Mountrath Road, Portlaoise</t>
  </si>
  <si>
    <t>Portlaoise</t>
  </si>
  <si>
    <t xml:space="preserve">{\rtf1\ansi\ansicpg1252\deff0\deflang2057{\fonttbl{\f0\froman\fprq2\fcharset0 Times New Roman;}{\f1\fswiss\fprq2\fcharset0 Arial;}{\f2\fnil\fcharset0 MS Sans Serif;}}_x000D_
\viewkind4\uc1\pard\b\f0\fs24 Short listed for the SEI Excellence in Design and Specification Award 2007_x000D_
\par \b0 _x000D_
\par \lang6153\f1\fs20 This 6,800 m\super 2\nosupersub  secondary school is of particular interest for its environmental credentials._x000D_
\par _x000D_
\par BDP obtained \'80295,000 in grant funding from sustainable energy Ireland to apply various energy saving features such as external insulation, air tight design to the building, and enhanced building controls._x000D_
\par _x000D_
\par The building is has the best air tightness result of any school in Ireland, achieving an impressive figure of 2.9m\super 3\nosupersub /m\super 2\nosupersub /hr.  _x000D_
\par \lang2057\f2\fs17 _x000D_
\par }_x000D_
</t>
  </si>
  <si>
    <t xml:space="preserve">Anne O’Keefe _x000D_
Ridge Road_x000D_
Portlaoise_x000D_
Co Laois_x000D_
0502-21352_x000D_
</t>
  </si>
  <si>
    <t>24</t>
  </si>
  <si>
    <t>DN07154</t>
  </si>
  <si>
    <t>Ballinteer Community School</t>
  </si>
  <si>
    <t>16/01/06</t>
  </si>
  <si>
    <t>€9,401,121 ex vat</t>
  </si>
  <si>
    <t>Edel Donnelly</t>
  </si>
  <si>
    <t>Adrian Phelan</t>
  </si>
  <si>
    <t>1999 Project began</t>
  </si>
  <si>
    <t>19/01/06 Start on Site</t>
  </si>
  <si>
    <t>15/05/08 is the proposed completion date as of 09/05/08</t>
  </si>
  <si>
    <t>04/07/05 tender invite letters sent out</t>
  </si>
  <si>
    <t>17/02/2005 Approval letter from the DES showing approval of our stage 4/5 submission</t>
  </si>
  <si>
    <t>30/05/2008 Practical completion</t>
  </si>
  <si>
    <t xml:space="preserve">Ballinteer Community School_x000D_
Ballinteer_x000D_
Dublin 16_x000D_
</t>
  </si>
  <si>
    <t xml:space="preserve">{\rtf1\fbidis\ansi\ansicpg1252\deff0\deflang2057{\fonttbl{\f0\fnil\fcharset0 Arial;}{\f1\fswiss\fprq2\fcharset0 Arial;}{\f2\fnil\fcharset0 MS Sans Serif;}}_x000D_
\viewkind4\uc1\pard\ltrpar\lang6153\b\fs20 Ballinteer Community College\b0\f1\fs20\par_x000D_
\par_x000D_
6,135m\super 2\nosupersub  second level school incorporating teaching spaces, specialist rooms, hall and ancillary accommodation.\par_x000D_
\lang2057\f2\fs17\par_x000D_
}_x000D_
</t>
  </si>
  <si>
    <t>J:\DN07154\Images\07-11-14\CIMG3260.JPG</t>
  </si>
  <si>
    <t xml:space="preserve">John Dolan_x000D_
Department of Education and Science_x000D_
Portlaoise Road_x000D_
Tullamore_x000D_
Tel: 05793 21363_x000D_
</t>
  </si>
  <si>
    <t>91305L</t>
  </si>
  <si>
    <t>DN07157</t>
  </si>
  <si>
    <t>Cloncollog Gaelscoil - Tullamore Gaelscoil and Eiscir Riada</t>
  </si>
  <si>
    <t>€2,000,000.00</t>
  </si>
  <si>
    <t>Sept 2003 Practical Completion</t>
  </si>
  <si>
    <t>Our involvement started in 1999</t>
  </si>
  <si>
    <t>Hophill Grove, Tullamore</t>
  </si>
  <si>
    <t xml:space="preserve">{\rtf1\ansi\ansicpg1252\deff0\deflang2057{\fonttbl{\f0\fswiss\fprq2\fcharset0 Arial;}{\f1\froman\fprq2\fcharset0 Times New Roman;}{\f2\fnil\fcharset0 MS Sans Serif;}}_x000D_
{\colortbl ;\red255\green0\blue0;}_x000D_
\viewkind4\uc1\pard\cf1\b\f0\fs20 Winner of the CIBSE environmental initiative of the year award\par_x000D_
Winner of the SEI Excellence in design and specification award\par_x000D_
Winner of the BEX sustainability award\par_x000D_
\cf0\b0\f1\fs24\par_x000D_
This low energy school was a research project, designed in conjunction with the Department of Education and Science for the purpose of testing sustainable design techniques in a primary school environment. The school contained many passive design techniques in addition to a ground source heat pump.\par_x000D_
\par_x000D_
The school achieved a monitored energy usage of 31 kWh/m\super 2\nosupersub /yr, considerably below the passive house standard. The school was also Irelands first Zero carbon school.\par_x000D_
\par_x000D_
To reduce its embodied energy impact, the school also trialled the use of timber frame in a large school building and was the first school in Ireland to be provided with a planted roof.\par_x000D_
\f2\fs17\par_x000D_
}_x000D_
</t>
  </si>
  <si>
    <t>\\dn-sfs1\Workgrp\M&amp;E\SUSTAINABILITY\FLY SHEETS AND CASE STUDIES\SEI Gaelscoil.pdf</t>
  </si>
  <si>
    <t>DN07161</t>
  </si>
  <si>
    <t>Muckross Park College</t>
  </si>
  <si>
    <t>€9,200,000.00</t>
  </si>
  <si>
    <t>Johnathan Tallon</t>
  </si>
  <si>
    <t>David Regan</t>
  </si>
  <si>
    <t>Project awarded in 1999_x000D_
? started on site approx Sept 2004</t>
  </si>
  <si>
    <t>Jan 2006 PH1 Practical completion</t>
  </si>
  <si>
    <t>Muckross Park, Marlborough Road, Donnybrook, D4</t>
  </si>
  <si>
    <t>Dublin 4</t>
  </si>
  <si>
    <t xml:space="preserve">{\rtf1\fbidis\ansi\ansicpg1252\deff0\deflang2057{\fonttbl{\f0\fswiss\fprq2\fcharset0 Arial;}{\f1\froman\fprq2\fcharset0 Times New Roman;}{\f2\fnil\fcharset0 MS Sans Serif;}}_x000D_
{\colortbl ;\red0\green0\blue255;}_x000D_
\viewkind4\uc1\pard\ltrpar\f0\fs20 _x000D_
\par \b Muckross Park College\b0 _x000D_
\par _x000D_
\par New 650 pupil second level college. 5,490m\'b2._x000D_
\par _x000D_
\par This second level school was located on a city site and contains a range of teaching accommodation including classrooms and lab spaces.  The building also contains a large sports hall._x000D_
\par \cf1\b\f1\fs24 _x000D_
\par \cf0\b0\f0\fs20 A particular feature of this school is the use of an expanded central circulation atrium that doubles up as a canteen space._x000D_
\par _x000D_
\par BDP worked closely with the design team to analyse the buildings form, and develop the daylight and natural ventilation schemes prior to designing the buildings services._x000D_
\par _x000D_
\par Our in house daylight and thermal simulation capacity allows the design to be studied in detail an improved at the early stages of the project._x000D_
\par _x000D_
\par Particular attention was paid to producing a school with a low energy consumption and ease of maintenance._x000D_
\par \f2\fs17 _x000D_
\par }_x000D_
</t>
  </si>
  <si>
    <t>J:\Dn07161\Photo's\06-05-11 Dave Barbour\main view very small.jpg</t>
  </si>
  <si>
    <t xml:space="preserve">Department of Education and Science, Planning and Building Unit_x000D_
Tel: 05793 21363_x000D_
</t>
  </si>
  <si>
    <t>-1.6</t>
  </si>
  <si>
    <t>DN07174</t>
  </si>
  <si>
    <t>St Michaels School, Inchicore</t>
  </si>
  <si>
    <t>DN07177</t>
  </si>
  <si>
    <t>Woodwork Pilot Study</t>
  </si>
  <si>
    <t>DN07179</t>
  </si>
  <si>
    <t>St Marys School, Navan</t>
  </si>
  <si>
    <t>Meath</t>
  </si>
  <si>
    <t>DN07180</t>
  </si>
  <si>
    <t>Project Eagle Kells Printing Press Hall</t>
  </si>
  <si>
    <t>M&amp;E,Arch,C&amp;S</t>
  </si>
  <si>
    <t>DN07181</t>
  </si>
  <si>
    <t>St Josephs College, Athlone</t>
  </si>
  <si>
    <t>Project complete Sept 2006, outstanding issues resolved Dec 2007</t>
  </si>
  <si>
    <t>Summerhill, Athlone</t>
  </si>
  <si>
    <t>Roscommon</t>
  </si>
  <si>
    <t xml:space="preserve">{\rtf1\ansi\ansicpg1252\deff0\deflang2057{\fonttbl{\f0\fnil\fcharset0 MS Sans Serif;}}_x000D_
\viewkind4\uc1\pard\f0\fs17 Project inviolved the building of a new science block onto an existing school building.  A number of rooms within existing building were refurbished converting an existing science room to a new assembly area.  Full mechancial and electrical design services provided._x000D_
\par }_x000D_
</t>
  </si>
  <si>
    <t>Dn07183</t>
  </si>
  <si>
    <t>Ballymun Senior Comprehensive school refurb</t>
  </si>
  <si>
    <t>€8,007,467.93</t>
  </si>
  <si>
    <t>Completed in 2006</t>
  </si>
  <si>
    <t>Started April 2000</t>
  </si>
  <si>
    <t xml:space="preserve">{\rtf1\fbidis\ansi\ansicpg1252\deff0\deflang2057{\fonttbl{\f0\fswiss\fprq2\fcharset0 Arial;}{\f1\froman\fprq2\fcharset0 Times New Roman;}{\f2\fnil\fcharset0 MS Sans Serif;}}_x000D_
\viewkind4\uc1\pard\ltrpar\b\f0\fs20 Ballymun Comprehensive\par_x000D_
\par_x000D_
\b0 Refurbishment of a 7,600m\super 2\nosupersub  secondary school building in Ballymun, inclusive of teaching spaces, labs and offices.\par_x000D_
\par_x000D_
A particular challenge of this project was the provision of natural ventilation to largely internal rooms through the use of wind catcher roof vents.\f1\fs24\par_x000D_
\f2\fs17\par_x000D_
}_x000D_
</t>
  </si>
  <si>
    <t>DN07189</t>
  </si>
  <si>
    <t>Ballybay Community College</t>
  </si>
  <si>
    <t>DN07190</t>
  </si>
  <si>
    <t>Roscommon A&amp;E</t>
  </si>
  <si>
    <t>2,700,000</t>
  </si>
  <si>
    <t>Tenderd in april 2002</t>
  </si>
  <si>
    <t xml:space="preserve">{\rtf1\fbidis\ansi\ansicpg1252\deff0\deflang2057{\fonttbl{\f0\fswiss\fprq2\fcharset0 Arial;}{\f1\fnil\fcharset0 Arial;}}_x000D_
\viewkind4\uc1\pard\ltrpar\sa240\sl288\slmult1\qj\f0\fs17 BDP were engaged as M&amp;E Engineers for the proposed new Accident and Emergency Department and Medical Records area at Roscommon County Hospital, to be built on the site of the existing A&amp;E Department and Medical Records area.\par_x000D_
In order to maintain continuity of services to patients, the project was completed in clearly defined stages, including the construction of new temporary buildings in front of the existing Radiology Department to accommodate the existing A&amp;E and ancillary rooms for the duration of the new build project.\par_x000D_
A significant amount of enabling works was required to facilitate the development, including the diversion of electrical supplies, heating mains, water services, telephone and data, and the provision of a new water supply to the hospital.\par_x000D_
BDP worked closely with the architects while developing the building design to ensure that maximum use was made of passive means in the attainment of a comfortable internal environment. To this end, natural ventilation and natural daylight were utilised as far as possible. Central ventilation and air conditioning plant is provided to the major treatment rooms where clinical requirements require a controlled environment. Other services installations include piped medical gases, patient/nurse call systems, CCTV and IT systems.\par_x000D_
\pard\ltrpar\f1\fs20\par_x000D_
}_x000D_
</t>
  </si>
  <si>
    <t xml:space="preserve">Mr Joseph Malloy, Western Health Board, Galway _x000D_
T: 00353 91 262000_x000D_
</t>
  </si>
  <si>
    <t>DN07191</t>
  </si>
  <si>
    <t>GMIT Student Services Bldg</t>
  </si>
  <si>
    <t>€4,000,000</t>
  </si>
  <si>
    <t>David Armstrong</t>
  </si>
  <si>
    <t>Fintan McLoughlin</t>
  </si>
  <si>
    <t>Barry Walsh</t>
  </si>
  <si>
    <t>05/09/06 Project Started stage 4</t>
  </si>
  <si>
    <t>07/12/07 Issue tender packages this was the intended tender date... project delayed due to change in tender process by client</t>
  </si>
  <si>
    <t>25/01/08 Tender return to GMIT</t>
  </si>
  <si>
    <t>23/03/09 Letter received stating that the project has been closed down by the client</t>
  </si>
  <si>
    <t>Galway</t>
  </si>
  <si>
    <t xml:space="preserve">{\rtf1\fbidis\ansi\ansicpg1252\deff0\deflang2057{\fonttbl{\f0\fswiss\fprq2\fcharset0 Arial;}{\f1\fnil\fcharset0 MS Sans Serif;}}_x000D_
\viewkind4\uc1\pard\ltrpar\qj\f0\fs17 New Student Services building, linked to the existing main college building. Accommodation includes student bar, retail and bank outlets, and offices.\par_x000D_
\pard\ltrpar\f1\par_x000D_
}_x000D_
</t>
  </si>
  <si>
    <t>Third level</t>
  </si>
  <si>
    <t>approximate only</t>
  </si>
  <si>
    <t>DN07192</t>
  </si>
  <si>
    <t>Thurles C.B.S., Thurles</t>
  </si>
  <si>
    <t>€1,300,000.00</t>
  </si>
  <si>
    <t>Completion 2005</t>
  </si>
  <si>
    <t>Tipperary</t>
  </si>
  <si>
    <t xml:space="preserve">{\rtf1\ansi\ansicpg1252\deff0\deflang2057{\fonttbl{\f0\fnil\fcharset0 MS Sans Serif;}}_x000D_
\viewkind4\uc1\pard\f0\fs17 Generic sport hall design for the Department of Education &amp; Science_x000D_
\par }_x000D_
</t>
  </si>
  <si>
    <t>DN07199</t>
  </si>
  <si>
    <t>Holy Spirit National School, Ballymun</t>
  </si>
  <si>
    <t>€2,250,000.00</t>
  </si>
  <si>
    <t>Approximate completion 2006</t>
  </si>
  <si>
    <t>10 May 2000 Date of our commission</t>
  </si>
  <si>
    <t>Siloge Road</t>
  </si>
  <si>
    <t>Dublin 9</t>
  </si>
  <si>
    <t xml:space="preserve">{\rtf1\ansi\ansicpg1252\deff0\deflang2057{\fonttbl{\f0\fnil\fcharset0 MS Sans Serif;}}_x000D_
\viewkind4\uc1\pard\f0\fs17 New extension built on site of previous building, linking existing senior  boys and girls schools.  Full mechanical and electrical design services provided.\fs17 _x000D_
\par }_x000D_
</t>
  </si>
  <si>
    <t>DN07202</t>
  </si>
  <si>
    <t>Ferbane Community College</t>
  </si>
  <si>
    <t>DN07203</t>
  </si>
  <si>
    <t>Fingal Creche</t>
  </si>
  <si>
    <t>Approx tender date :2001</t>
  </si>
  <si>
    <t>DN07208</t>
  </si>
  <si>
    <t>North Bay Primary School</t>
  </si>
  <si>
    <t>Boiler refurbishment works - approximate completion August 2003</t>
  </si>
  <si>
    <t>Heating installation refurbishment works - approximate completion August 2004</t>
  </si>
  <si>
    <t>Kilbarrack</t>
  </si>
  <si>
    <t xml:space="preserve">{\rtf1\ansi\ansicpg1252\deff0\deflang2057{\fonttbl{\f0\fnil\fcharset0 MS Sans Serif;}}_x000D_
\viewkind4\uc1\pard\f0\fs17 Boiler house refurbishment conducted over school summer vacation period.  Existing boiler installation and electrical mains board upgraded.  Asbestos survey and removal conducted prior to works beginning on site._x000D_
\par _x000D_
\par Heating installation refurbishment conducted over school summer vacation period.  Complete strip out and removal from site existing heating installation.  Installation of new radiators, heating distribution pipework within school building, new heating pipework run in underground duct from school to boiler house._x000D_
\par _x000D_
\par }_x000D_
</t>
  </si>
  <si>
    <t>DN07209</t>
  </si>
  <si>
    <t>St. Nicholas of Myra N.S.</t>
  </si>
  <si>
    <t>Sept 2005 Practical completion</t>
  </si>
  <si>
    <t>DN07211</t>
  </si>
  <si>
    <t>Operating Theatres Roscommon Hospital</t>
  </si>
  <si>
    <t>DN07213</t>
  </si>
  <si>
    <t>Stephenson House</t>
  </si>
  <si>
    <t>DN07216</t>
  </si>
  <si>
    <t>Maryfield College, new build</t>
  </si>
  <si>
    <t>DN07219</t>
  </si>
  <si>
    <t>Waterford IT, Tourism &amp; Leisure Building Also P5000073 wit</t>
  </si>
  <si>
    <t>06/02/06</t>
  </si>
  <si>
    <t>€18,982,850</t>
  </si>
  <si>
    <t>140,545</t>
  </si>
  <si>
    <t>Ben Irvine</t>
  </si>
  <si>
    <t>Jimmy Dougan</t>
  </si>
  <si>
    <t>Ger Loughran</t>
  </si>
  <si>
    <t>06/02/06 Out To Tender</t>
  </si>
  <si>
    <t>The contractural completion date was due to be 05.02.08 in Jan 08</t>
  </si>
  <si>
    <t>22/02/08   Draft final accounts issued to BDP - up to this point we wer not aware of any unsigned off variations.</t>
  </si>
  <si>
    <t>01/04/08 The Practical completion cert was issued. Excluding the drum area</t>
  </si>
  <si>
    <t>13/08/08  Practical completion achieved for the drum area</t>
  </si>
  <si>
    <t xml:space="preserve">17/11/09  Requested to submit final invoice </t>
  </si>
  <si>
    <t>Waterford Institute of Technology,Cork road, Waterford</t>
  </si>
  <si>
    <t xml:space="preserve">{\rtf1\ansi\ansicpg1252\deff0\deflang2057{\fonttbl{\f0\fnil\fcharset0 MS Sans Serif;}{\f1\froman\fprq2\fcharset0 Times New Roman;}}_x000D_
{\colortbl ;\red255\green0\blue0;}_x000D_
\viewkind4\uc1\pard\f0\fs24 The Waterford Institute of Technology \cf1\b Tourism and Leisure building \cf0\b0 is a 7,660 m\super 2\nosupersub  state of the art training facility that contains seven teaching kitchens, and restaurant, in addition to teaching and office accommodation._x000D_
\par _x000D_
\par The design is particularly innovative from an energy conservation perspective, as it is largely naturally ventilated and lit but also contains \cf1\b an innovative new ventilation strategy\cf0\b0 , and a dedicated low energy\cf1\b  kitchen of the future\cf0\b0  that demonstrates low energy catering methods.\f1 _x000D_
\par \f0\fs17 _x000D_
\par }_x000D_
</t>
  </si>
  <si>
    <t>J:\Dn07219\Images\07-08-31\P8290286.JPG</t>
  </si>
  <si>
    <t>ex vat final ac</t>
  </si>
  <si>
    <t>Paul Quirke, Waterford Institute of Technology, Cork Road, Wateford _x000D_
Tel: 051 845521</t>
  </si>
  <si>
    <t>44/07/08</t>
  </si>
  <si>
    <t>-42</t>
  </si>
  <si>
    <t>DN07220</t>
  </si>
  <si>
    <t>Gaelscoil Chill Mhantain</t>
  </si>
  <si>
    <t xml:space="preserve">April 2001 our stage 1/2 report was issued and the project effectively was placed on hold shortly after </t>
  </si>
  <si>
    <t>Wicklow</t>
  </si>
  <si>
    <t xml:space="preserve">{\rtf1\ansi\ansicpg1252\deff0\deflang2057{\fonttbl{\f0\froman\fprq2\fcharset0 Times New Roman;}{\f1\fnil\fcharset0 MS Sans Serif;}}_x000D_
\viewkind4\uc1\pard\f0\fs24 This project was intended to be a low energy research primary school but it was placed on hold shortly after reaching Stage2\f1\fs17 _x000D_
\par }_x000D_
</t>
  </si>
  <si>
    <t>DN07221</t>
  </si>
  <si>
    <t>Ballymun Civic Offices</t>
  </si>
  <si>
    <t>Complete approx Jan 2003</t>
  </si>
  <si>
    <t>Ballumun</t>
  </si>
  <si>
    <t xml:space="preserve">{\rtf1\fbidis\ansi\ansicpg1252\deff0\deflang2057{\fonttbl{\f0\fswiss\fprq2\fcharset0 Arial;}{\f1\fnil\fcharset0 MS Sans Serif;}}_x000D_
\viewkind4\uc1\pard\ltrpar\qj\f0\fs18 Having won the design competition for the new civic centre at the core of the masterplan for the redevelopment of the Ballymun housing estate, BDP provided a multi-professional design service to the design and build contractor. The brief was for flexible office space which could be adapted to local authority use as the project evolved._x000D_
\par _x000D_
\par BDP's scheme comprised the design and fitting out of 18,100m\'b2 of new office accommodation wrapped round a five-storey curved atrium. It includes a council chamber, offies for Dublin City Council and Ballymun Regeneration Ltd, a motor tax office, premises for the Northern Area Health Board and a health centre serving a population of 30,000.  There is also leased speculative office space, a coffee shop, retail space and an exhibition area, and underground parking for 110 cars._x000D_
\par _x000D_
\par The landmark building addresses key elements of the masterplan by turning a convex four-storey steel-framed glazed main fa\'e7ade section and a contrasting lower structure, clad in white granite and housing the civic centre, to the new urban plaza and the main street._x000D_
\par _x000D_
\par Internally, the dynamic atrium corresponding to the building's overall curving form acts as the main social area for the community. It has as its focal point a free-standing steel and glass main staircase, set off by timber panelling in this area. The floor is speckled granite and the atrium roof a combination of opal glass and white oak. Offices flank the atrium on both sides. _x000D_
\par _x000D_
\par Challenges to the construction phase were posed by the removal of original access routes and the close adjacency of three residential towers, now demolished. The fast-track project was completed in 2003._x000D_
\par \pard\ltrpar\f1\fs17 _x000D_
\par }_x000D_
</t>
  </si>
  <si>
    <t>DN07222</t>
  </si>
  <si>
    <t>Newpark Comprehensive School Redevelopment</t>
  </si>
  <si>
    <t>€10,994,578</t>
  </si>
  <si>
    <t>183813</t>
  </si>
  <si>
    <t>Eóin White</t>
  </si>
  <si>
    <t>Stage 4</t>
  </si>
  <si>
    <t>Planing Drawings Submitted</t>
  </si>
  <si>
    <t>29/09/06 Stage 3 Began28/08/07 - stage 3 review meeting held with DES, stage rejected due to architectural comments. March 2008 - revised stage 3 costs submitted to architect for forwarding onto DES. May 2008 - architect stated that he is seeking DES ap</t>
  </si>
  <si>
    <t>May 2008 - architect stated that he is seeking DES approval for revised architectural layouts before any revisions done on M&amp;E / Structural - no response to date.13-09-08 re issue of stage 3 report and drawings following changes to architectural backgro</t>
  </si>
  <si>
    <t xml:space="preserve">5/11/08 the architect issued the revised stage 3 to the DES6/04/09 reponse to DES comments issuesd by architect. 20/05/2010 Approval received to proceed to St. 20/05/2010 Approval received to proceed to Stage 2bDec. </t>
  </si>
  <si>
    <t>2010 - Planning given but there is an appeal by local residents due to locationof temporary classrooms- due back 15th April 2011. 6 months for tender prep therafter.  08-02-11 Approval recieved from DES to proceed with emergency works for gas proving.</t>
  </si>
  <si>
    <t>main works contracts Stage 2b documents compelted &amp; send to QS for review on the 4/04/12.24th July 2012- letter from DES asking for prequal to be redone.August 2012- proposed programme for next project stages received from architect</t>
  </si>
  <si>
    <t xml:space="preserve">Met with sports cente to explain project-04/09/12- also met desing team to review phasing. Approval from DES for tender12/12/12. Further Changes proposed by client- fee submitted dec12. Changes rejected by DES Jan-13. Project due back  tender 22/03/13- </t>
  </si>
  <si>
    <t>Newpark Comprenensive School_x000D_
Newtownpark avenue_x000D_
Blackrock_x000D_
Co. Dublin</t>
  </si>
  <si>
    <t xml:space="preserve">{\rtf1\ansi\ansicpg1252\deff0\deflang2057{\fonttbl{\f0\fnil\fcharset0 Arial;}{\f1\fswiss\fprq2\fcharset0 Arial;}{\f2\fnil\fcharset0 MS Sans Serif;}}_x000D_
\viewkind4\uc1\pard\b\fs20 Newpark Comprehensive School\b0\f1 _x000D_
\par _x000D_
\par Redevelopment of the existing educational campus, including the demolishment of main second level school building and its replacement with a 7,000m2 secondary school including classrooms, GP hall, and specialist labs._x000D_
\par _x000D_
\par The project also involves the refurbishment of a listed ancillary building and some works associated with the addition of a CHP unit to a pool on the site with its integration into the campus electricity and heating network._x000D_
\par \f2\fs17 _x000D_
\par }_x000D_
</t>
  </si>
  <si>
    <t xml:space="preserve">{\rtf1\ansi\ansicpg1252\deff0\deflang2057{\fonttbl{\f0\fnil\fcharset0 MS Sans Serif;}}_x000D_
{\colortbl ;\red255\green0\blue0;\red0\green0\blue0;\red0\green128\blue0;}_x000D_
\viewkind4\uc1\pard\cf1\f0\fs17 updated 20/05/2010\par_x000D_
\par_x000D_
\cf2 The project architect is identified as a significant risk as their earlier stage submissions were rejected several times, indicateing that they were unfamiliear with the clients requirments.  This lead to additional work for BDP as our submissinos had to be updated to reflect the architetctural changes.\par_x000D_
\par_x000D_
The site also contains several buildigns and the DES appear a littel unsure as to the scope of the works to be carried out at times, particualrly in relation to the sports hall which does not belong to the school.\par_x000D_
\par_x000D_
\cf3 Mitigation\par_x000D_
\cf2 Our engineers have been instructed to treat the architectuarl informtion with care and not to proceed with any desing until the architectural design is of a quality that we are comfortable to proceed with.\par_x000D_
\par_x000D_
Ensure that our scope of work is fully undserstood before proceeding with work on the sports builing and that the fees for same are agreed\par_x000D_
\par_x000D_
Update12/04/13: Project is back from tender and 3 contractors are below project busget- spread of returned tender quite high. Risk that contractor wont be suitable and will not have priced job correctly.\par_x000D_
\cf0\par_x000D_
}_x000D_
</t>
  </si>
  <si>
    <t>ex vat</t>
  </si>
  <si>
    <t>1/08/08</t>
  </si>
  <si>
    <t>8</t>
  </si>
  <si>
    <t xml:space="preserve">{\rtf1\ansi\ansicpg1252\deff0\deflang2057{\fonttbl{\f0\fnil\fcharset0 Microsoft Sans Serif;}}_x000D_
\viewkind4\uc1\pard\f0\fs17 None\par_x000D_
}_x000D_
</t>
  </si>
  <si>
    <t>In the green file 2.03</t>
  </si>
  <si>
    <t>the project program is not established</t>
  </si>
  <si>
    <t xml:space="preserve">{\rtf1\ansi\ansicpg1252\deff0\deflang2057{\fonttbl{\f0\fnil\fcharset0 Microsoft Sans Serif;}}_x000D_
\viewkind4\uc1\pard\f0\fs17 Email is the main form of communication and emails are saved in a pst file in the projec folder. As of July 2012 all emails shall be sent via Newforma\par_x000D_
}_x000D_
</t>
  </si>
  <si>
    <t>in the qa folder</t>
  </si>
  <si>
    <t>81001i</t>
  </si>
  <si>
    <t>DN07228</t>
  </si>
  <si>
    <t>Manor House Secondary School, Raheny</t>
  </si>
  <si>
    <t xml:space="preserve">{\rtf1\ansi\ansicpg1252\deff0\deflang2057{\fonttbl{\f0\fnil\fcharset0 Arial;}}_x000D_
\viewkind4\uc1\pard\fs20 New Sports hall\par_x000D_
}_x000D_
</t>
  </si>
  <si>
    <t>Sports Hall</t>
  </si>
  <si>
    <t>DN07229</t>
  </si>
  <si>
    <t>Kilkenny Loretto, Sports Hall</t>
  </si>
  <si>
    <t>Derek Murphy</t>
  </si>
  <si>
    <t xml:space="preserve"> Kilkenny, Co. Kilkenny</t>
  </si>
  <si>
    <t>Kilkenny</t>
  </si>
  <si>
    <t>DN07230</t>
  </si>
  <si>
    <t>Hackettstown VEC, Hackettstown, Co. Carlow</t>
  </si>
  <si>
    <t>Carlow</t>
  </si>
  <si>
    <t>DN07235</t>
  </si>
  <si>
    <t>Rutland Street National School DUD NUMBER</t>
  </si>
  <si>
    <t>DN07236</t>
  </si>
  <si>
    <t>Glenamaddy School, Galway</t>
  </si>
  <si>
    <t>€7,597,327.03</t>
  </si>
  <si>
    <t>Project Began April 2001_x000D_
Main contractor started on site 6 May 2008</t>
  </si>
  <si>
    <t>Mech contractor went into liquidation in May 2009. Had to retender Mech package for which the Main Contractor won.</t>
  </si>
  <si>
    <t>Opinion on Compliance Cert for phase one (main building minus gym) issued in Spet 2009.</t>
  </si>
  <si>
    <t>Phase 2 snaged in May 2010.</t>
  </si>
  <si>
    <t>Concilliation process initiated summer 2012. Two concillations held last one in Cotober. Recommendation issued and rejected by DES on 11th Dec 2012.</t>
  </si>
  <si>
    <t>ongoing issues with heating in sports hall in 2012. BDP recommend air test and scan completed.</t>
  </si>
  <si>
    <t>Glenamaddy</t>
  </si>
  <si>
    <t>Co. Galway</t>
  </si>
  <si>
    <t xml:space="preserve">{\rtf1\fbidis\ansi\ansicpg1252\deff0\deflang2057{\fonttbl{\f0\fnil\fcharset0 Arial;}{\f1\fnil\fcharset0 MS Sans Serif;}}_x000D_
{\colortbl ;\red255\green0\blue0;}_x000D_
\viewkind4\uc1\pard\ltrpar\b\fs20 Glenamaddy Secondary School\par_x000D_
\par_x000D_
\b0\f1\fs17 New 4,979m\super 2\nosupersub   secondary school development.  \par_x000D_
\par_x000D_
\fs22 This school includes teaching accommodation, labs, administration rooms, a general purpose room, and a large sports hall. The school is provided with excellent levels of natural daylight and ventilation, offering a quality teaching environment for staff and pupils. All mechanical and electrical systems are designed to be robust, easy to understand and energy efficient.\par_x000D_
\fs17\par_x000D_
\par_x000D_
\cf1  \cf0\par_x000D_
}_x000D_
</t>
  </si>
  <si>
    <t>J:\Dn07236\Images\09-08-20 demonstration day\IMG_1568.jpg</t>
  </si>
  <si>
    <t>Contract sum</t>
  </si>
  <si>
    <t xml:space="preserve">DNM0007236  SPC002 Mech Liquidation Process _x000D_
 </t>
  </si>
  <si>
    <t>91514U</t>
  </si>
  <si>
    <t>DN07238</t>
  </si>
  <si>
    <t>Maryfield Colege, Extension</t>
  </si>
  <si>
    <t>DN07239</t>
  </si>
  <si>
    <t>St Anne's School, Tallaght</t>
  </si>
  <si>
    <t>DN07243</t>
  </si>
  <si>
    <t>St Patrick's National School</t>
  </si>
  <si>
    <t>DN07247</t>
  </si>
  <si>
    <t>New Community School, Ardee</t>
  </si>
  <si>
    <t>On Hold</t>
  </si>
  <si>
    <t>May 2001 The project began</t>
  </si>
  <si>
    <t>30/10/2001  Stage 1 report issued - project on hold after this</t>
  </si>
  <si>
    <t>Ardee</t>
  </si>
  <si>
    <t>Louth</t>
  </si>
  <si>
    <t xml:space="preserve">{\rtf1\ansi\ansicpg1252\deff0\deflang2057{\fonttbl{\f0\fnil\fcharset0 MS Sans Serif;}}_x000D_
\viewkind4\uc1\pard\f0\fs17 Existing Secondary school due to be demolished after a new similar sized school is constructed._x000D_
\par }_x000D_
</t>
  </si>
  <si>
    <t>DN07253</t>
  </si>
  <si>
    <t>National Maritime College of Ireland  NMCI</t>
  </si>
  <si>
    <t>€28,000,000.00</t>
  </si>
  <si>
    <t>April 2002  Appointed as preferred bidder</t>
  </si>
  <si>
    <t>Start on site in 2003, Complete 2004</t>
  </si>
  <si>
    <t>Haulbowline</t>
  </si>
  <si>
    <t xml:space="preserve">{\rtf1\ansi\ansicpg1252\deff0\deflang2057{\fonttbl{\f0\fswiss\fprq2\fcharset0 Arial;}{\f1\fnil\fcharset0 MS Sans Serif;}}_x000D_
{\colortbl ;\red0\green0\blue0;}_x000D_
\viewkind4\uc1\pard\cf1\f0\fs22 This project was the first major educational building completion via the PPP process in the Republic of Ireland. It creates an innovative new training facility for both the Irish Naval Service and Cork Institute of Technology. The site is located at Ringaskiddy, close to the existing Irish Naval Service Headquarters at Haulbowline.\par_x000D_
\par_x000D_
The design arranges the accommodation in three distinct wings, linked by a lateral 3 storey circulation route. The scheme features a distinctive entrance arrangement including a linear waterway and boardwalk, leading to a two-storey glazed entrance atrium.\par_x000D_
\par_x000D_
The accommodation serves 750 students and includes state-of-the-art training simulators, laboratories, classrooms and workshops. A diver training tank and helicopter "dunker" pool are also incorporated adjacent to a new slipway and jetty. Staff and students can avail of fitness training and gym facilities within the complex.\par_x000D_
\par_x000D_
The scheme was developed with particular emphasis on the utilisation of passive means of controlling the internal environment where possible. Advanced thermal modelling software was used to develop the building cross section, to ensure adequate air flows through the teaching and administration blocks. The use of natural ventilation to control the environment is assisted by a thermally heavy structure with extensive exposed surfaces.\par_x000D_
\par_x000D_
Monitoring results have demonstrated that the passive environmental control systems produce comfortable internal environments and that the energy use of the building is considerably below comparable good practice figures.\par_x000D_
\par_x000D_
The project has been the subject of a number of articles in Journals including the Building Services Journal.  The project was also short listed for the CIBSE awards.\par_x000D_
\par_x000D_
Shortlisted for BSJ awards 2005 in the category of Environmental Initiative of the Year\cf0\par_x000D_
\b\par_x000D_
\b0\f1\fs17\par_x000D_
}_x000D_
</t>
  </si>
  <si>
    <t>\\dn-sfs1\Workgrp\M&amp;E\SUSTAINABILITY\ARTICLES of BDP Projects\CIBSE ARTICLES\National Martime College.pdf</t>
  </si>
  <si>
    <t>Contact for reference: Donal Burke , NMCI   Phone 021 4970600</t>
  </si>
  <si>
    <t>DN07254</t>
  </si>
  <si>
    <t>St. Thomas' Community College, Bray</t>
  </si>
  <si>
    <t>Dec 2006  Approximate completion date</t>
  </si>
  <si>
    <t>St Thomas Community College, Bray</t>
  </si>
  <si>
    <t xml:space="preserve">{\rtf1\ansi\ansicpg1252\deff0\deflang2057{\fonttbl{\f0\fnil\fcharset0 MS Sans Serif;}}_x000D_
\viewkind4\uc1\pard\f0\fs17 Refurbishment of the complete electrical services_x000D_
\par Refurbishment of minor mechncial items including gas prooving, and minor ventialtion and heating modifications.\fs17 _x000D_
\par }_x000D_
</t>
  </si>
  <si>
    <t>DN07260</t>
  </si>
  <si>
    <t>Monkstown Christian Brothers College CBC</t>
  </si>
  <si>
    <t>€5,748,079.1</t>
  </si>
  <si>
    <t>Barry O'Sullivan</t>
  </si>
  <si>
    <t>Dec 2005 Project started</t>
  </si>
  <si>
    <t>Stage 4 due to be submitted 15/08/07, no progress to date, awaiting instruction from architect</t>
  </si>
  <si>
    <t>March 2009, received instruction to proceed but based on the school providing all funds for the work. An enabling works contract was also introduced at this stage</t>
  </si>
  <si>
    <t>July 09 is the tender date_x000D_
May 10, following tender return the project is temporarily on hold due to difficulties with the BOM obtaining a loan for the schools construction</t>
  </si>
  <si>
    <t xml:space="preserve">November '10 - following Liquidation of proposed main contractor the project is sent out to tender again. tenders due for return on Dec 17th. </t>
  </si>
  <si>
    <t>13-01-23 - Commencement on site. _x000D_
proposed completion date 13-11-29</t>
  </si>
  <si>
    <t>14-04-16 - M&amp;E Demonstration prior to handover_x000D_
_x000D_
14-04-28 - Final PC cert issued by ER</t>
  </si>
  <si>
    <t>CBS Monkstown_x000D_
Mounttown Rd Upper_x000D_
Dun Laoghaire</t>
  </si>
  <si>
    <t>Dun Laoghaire</t>
  </si>
  <si>
    <t xml:space="preserve">{\rtf1\ansi\ansicpg1252\deff0\deflang2057{\fonttbl{\f0\fswiss\fprq2\fcharset0 Arial;}{\f1\fnil\fcharset0 MS Sans Serif;}}_x000D_
\viewkind4\uc1\pard\sb120\sa120\f0\fs24 The proposed new school building will be over three floors comprising of general classrooms, specialist classrooms, general purpose room, administration and circulation.\par_x000D_
3,814m2 approx in phase I\par_x000D_
1,027m2 approx for phse II\par_x000D_
725m2 for Pyramid building\par_x000D_
\par_x000D_
\par_x000D_
\pard\f1\fs17\par_x000D_
}_x000D_
</t>
  </si>
  <si>
    <t xml:space="preserve">{\rtf1\ansi\ansicpg1252\deff0\deflang2057{\fonttbl{\f0\fnil\fcharset0 MS Sans Serif;}}_x000D_
\viewkind4\uc1\pard\f0\fs17 Updated 20/05/2010 \par_x000D_
\par_x000D_
The client is the BOM as a private client and there is no DES involvement.  The architect was unable to ensure that project followed the program during the design stage.\par_x000D_
\par_x000D_
BDP need to proceed with caution, minimising our input where possible and carefully examining instructions from the project architect before proceeding with them.  It is also important to maintain a direct relationship with the client rather than relying on communication through the project architect\par_x000D_
}_x000D_
</t>
  </si>
  <si>
    <t>excl VAT</t>
  </si>
  <si>
    <t>The project breif is the architects drawings, and our Stage 3 report</t>
  </si>
  <si>
    <t>The project program has not been issued</t>
  </si>
  <si>
    <t xml:space="preserve">{\rtf1\ansi\ansicpg1252\deff0\deflang2057{\fonttbl{\f0\fnil\fcharset0 Microsoft Sans Serif;}}_x000D_
\viewkind4\uc1\pard\f0\fs17 email is saved within pst files within the emal folder of the project J drive.\par_x000D_
}_x000D_
</t>
  </si>
  <si>
    <t>qa folder</t>
  </si>
  <si>
    <t>DN07261</t>
  </si>
  <si>
    <t>Victoria Square new</t>
  </si>
  <si>
    <t>Belfast</t>
  </si>
  <si>
    <t>Retail</t>
  </si>
  <si>
    <t>DN07264</t>
  </si>
  <si>
    <t>Beechpark Primary School</t>
  </si>
  <si>
    <t>06/01/06</t>
  </si>
  <si>
    <t>€4,734,727.18 incl vat</t>
  </si>
  <si>
    <t>103,910</t>
  </si>
  <si>
    <t>June 2001 the project began</t>
  </si>
  <si>
    <t>06/01/06 Started on site</t>
  </si>
  <si>
    <t>Apr 2007 project handed over to the client</t>
  </si>
  <si>
    <t>Beechpark Avenue</t>
  </si>
  <si>
    <t xml:space="preserve">{\rtf1\ansi\ansicpg1252\deff0\deflang2057{\fonttbl{\f0\fswiss\fprq2\fcharset0 Arial;}{\f1\fnil\fcharset0 MS Sans Serif;}}_x000D_
\viewkind4\uc1\pard\lang6153\f0\fs20 New 16 Classroom primary school with associated unit for children with Autism_x000D_
\par _x000D_
\par A particular feature of this school is the use of an innovative stack ventilation system for several classrooms. Post completion, BDP has measured the systems performance and the stacks have proven to be work very successfully._x000D_
\par _x000D_
\par BDP worked closely with the design team to analyse the buildings form, and develop the daylight and natural ventilation schemes prior to designing the buildings services._x000D_
\par _x000D_
\par Our in house daylight and thermal simulation capacity allows the design to be studied in detail an improved at the early stages of the project._x000D_
\par _x000D_
\par Particular attention was paid to producing a school with a low energy consumption and ease of maintenance._x000D_
\par \lang2057\f1\fs17 _x000D_
\par }_x000D_
</t>
  </si>
  <si>
    <t>J:\Dn07264\Images\07-05-20 - Mech Demonstration\SNV30234.JPG</t>
  </si>
  <si>
    <t>17</t>
  </si>
  <si>
    <t>DN07265</t>
  </si>
  <si>
    <t>Eatons Bakery, Terenure Road</t>
  </si>
  <si>
    <t>Jim Peters</t>
  </si>
  <si>
    <t>DN07267</t>
  </si>
  <si>
    <t>Scoil an Linbh Iosa</t>
  </si>
  <si>
    <t xml:space="preserve">Little Sisters of the Assumption , Provincial House ,42 Rathfarnham Road, Terenure </t>
  </si>
  <si>
    <t>D6</t>
  </si>
  <si>
    <t>DN07269</t>
  </si>
  <si>
    <t>Blackrock Town Hall</t>
  </si>
  <si>
    <t>€7,127,563.27 inc VAT</t>
  </si>
  <si>
    <t>Dave Regan</t>
  </si>
  <si>
    <t>Brian West</t>
  </si>
  <si>
    <t>2/06/2001 Fee proposal sent by BDP_x000D_
30/05/07 The DES issued a new project reference number 70050K0101_x000D_
Back from tender May 07</t>
  </si>
  <si>
    <t xml:space="preserve">project was put on hold because all tenants did not vacate the building, the delay led into planning issues._x000D_
</t>
  </si>
  <si>
    <t>met with the design team in december 08 to discuss costs based on dept of educ indicating that the project may get the green light if the costs are reduced to €9 million from €13.6 million</t>
  </si>
  <si>
    <t xml:space="preserve">August 2010 the project has started on site_x000D_
_x000D_
10 Sept - New Clerk of Works officer issued A3 M&amp;E drawings and CD with Data out folder dated 23-08-10, 19-07-10 and 22-03-10_x000D_
_x000D_
11/05/2011 - CORDIL ceased operations._x000D_
</t>
  </si>
  <si>
    <t>_x000D_
_x000D_
Tender returned (April '12) - Collen Const lowest @€8.4m</t>
  </si>
  <si>
    <t>Completion date extended to the 31st Jan 2014._x000D_
_x000D_
30/05/2014 - Substanital Completion</t>
  </si>
  <si>
    <t>Main street_x000D_
Blackrock</t>
  </si>
  <si>
    <t xml:space="preserve">{\rtf1\ansi\ansicpg1252\deff0\deflang2057{\fonttbl{\f0\fnil\fcharset0 MS Sans Serif;}}_x000D_
\viewkind4\uc1\pard\f0\fs17 This project infolves the refurbishment and extension of Blackrock Town hall for the provision of teaching accomodation.\par_x000D_
\par_x000D_
The building is a listed building and requires considerable attention to co-ordination and integration of services.\par_x000D_
}_x000D_
</t>
  </si>
  <si>
    <t>J:\Dn07269\Images\19-01-06\Blackrock Townhall (19Jan06) 067.jpg</t>
  </si>
  <si>
    <t xml:space="preserve">{\rtf1\ansi\ansicpg1252\deff0\deflang2057{\fonttbl{\f0\fnil\fcharset0 MS Sans Serif;}{\f1\fnil\fcharset0 Arial;}}_x000D_
{\colortbl ;\red255\green0\blue0;\red0\green0\blue0;\red0\green128\blue0;}_x000D_
\viewkind4\uc1\pard\cf1\f0\fs17 Risks\par_x000D_
\cf2 The project is a refurbishment of a complex building which requires careful co-ordinatin.\par_x000D_
The project program has been prolonged and the architect has demonstrated limited financial awareness.\par_x000D_
\cf3 Mitigations\par_x000D_
\cf2 The project must be carefully co-ordinated and checked prior to tender.\par_x000D_
We must control our input and avoid following architectural instructions where we believe them to be inapropriate.  We must resist carrying out work where we believe the work will be abortive.\par_x000D_
\par_x000D_
\cf1\b\f1\fs20 16/08/2010\par_x000D_
\cf2\b0\f0\fs17 Project was costed at \'8011,233,594.23 inc VAT on the previous tender, the current tender from CORDIL has it valued at \'807,127,563.27 inc VAT.  This leaves a risk that the contractor may have significantly underpriced the project to win the work, and will try all means to get variations.  M &amp; E specialists have not been appointed, and the contractor may have priced for the cheapest of equipment etc.\par_x000D_
\par_x000D_
\cf1\b\f1\fs20 Updated 15/04/20103\cf2\b0\f0\fs17\par_x000D_
Cordil went bust (as expected).  The project has now been retendered and a new contactor is on site.  The risks have reduced because soeme of the work is complete and some of the potential omissions were discovered and patched during the retender.  The architects tendancy to change the project while on site remains a risk and it is important to resist all changes. \cf0\par_x000D_
}_x000D_
</t>
  </si>
  <si>
    <t>Reduced, see QA notes</t>
  </si>
  <si>
    <t xml:space="preserve">Carol Hanney_x000D_
CEO_x000D_
DunLaoghaire VEC_x000D_
Century Court_x000D_
100 Upper Georges Street_x000D_
DunLaoghaire_x000D_
Co. Dublin_x000D_
</t>
  </si>
  <si>
    <t xml:space="preserve">{\rtf1\ansi\ansicpg1252\deff0\deflang2057{\fonttbl{\f0\fnil\fcharset0 Microsoft Sans Serif;}}_x000D_
\viewkind4\uc1\pard\f0\fs17 There are none.\par_x000D_
}_x000D_
</t>
  </si>
  <si>
    <t>The breif is the standard DES TGD documents and also our Stage 3 submission which sets out the brief for non standard items.</t>
  </si>
  <si>
    <t>M:\DN07269\Data In\Main Contractor\Collen Construction (2012)\12-05-09 - Project Programme</t>
  </si>
  <si>
    <t xml:space="preserve">{\rtf1\fbidis\ansi\ansicpg1252\deff0\deflang2057{\fonttbl{\f0\fswiss\fprq2\fcharset0 Calibri;}{\f1\fnil\fcharset0 Microsoft Sans Serif;}}_x000D_
{\colortbl ;\red31\green73\blue125;}_x000D_
\viewkind4\uc1\pard\ltrpar\cf1\f0\fs22 Teambinder was used up to July 2012 and all correspondence from that date on shall be in Newforma\cf0\f1\fs17 .\par_x000D_
}_x000D_
</t>
  </si>
  <si>
    <t>J:\Dn07269\Costs\Change Logs</t>
  </si>
  <si>
    <t>70030E</t>
  </si>
  <si>
    <t>DN07271</t>
  </si>
  <si>
    <t>Sligo General Hospital-Conversion</t>
  </si>
  <si>
    <t>Sligo</t>
  </si>
  <si>
    <t>DN07272</t>
  </si>
  <si>
    <t>Waterford CC, Extn to Civic Offices</t>
  </si>
  <si>
    <t>Approx March 2003 completion date - exact date not known</t>
  </si>
  <si>
    <t>Dungarvan</t>
  </si>
  <si>
    <t xml:space="preserve">{\rtf1\ansi\ansicpg1252\deff0\deflang2057{\fonttbl{\f0\fnil\fcharset0 MS Sans Serif;}}_x000D_
{\colortbl ;\red255\green0\blue0;}_x000D_
\viewkind4\uc1\pard\f0\fs17 Following the sucsessful design of the new Wateford Civic offices in Dungarvan, BDP were requested to design \cf1\b an additional floor\cf0\b0  on one of the offices blocks. _x000D_
\par _x000D_
\par The project involved the installation of heating and air conditioning units for the new extension.\fs17 _x000D_
\par }_x000D_
</t>
  </si>
  <si>
    <t>K:\M&amp;E\Powerpoint Presentations\Various images\COMPLETED PROJECTS\Waterford Civic Offices\Waterford.jpg</t>
  </si>
  <si>
    <t>DN07273</t>
  </si>
  <si>
    <t>Castlerea Prison - South Block</t>
  </si>
  <si>
    <t>DN07274</t>
  </si>
  <si>
    <t>Loreto School Extension</t>
  </si>
  <si>
    <t>4,306,458.22</t>
  </si>
  <si>
    <t>Stage 2b resubmission as GCCC</t>
  </si>
  <si>
    <t>14/01/08 Stage 4 report due but delayed waiting for DES confirmation to proceed. 03/02/2010  Official approval received to proceed to Stage 2b-awaiting agreement of fees. AGREEMENT RECEVIED. sTAGE 2B DUE 25th June 2010</t>
  </si>
  <si>
    <t>Stage 2b submitted- September 2010. Porject has been advertised and prequalifications completed by the architect. September 2010. 11/11/11- approval from department to proceed with surveys</t>
  </si>
  <si>
    <t>12/06/06 Planning permission given for extra extension and car park. _x000D_
12/08/29- Change order 1 for additional classrooms is approved by DES for amount of €625,420.73</t>
  </si>
  <si>
    <t>ct27-09-12- Mechanical contractors advised they were pulling off site until they were paid.Other subcontractors are following. _x000D_
28-09-12- Architects issue warning letter regardin progress on sit</t>
  </si>
  <si>
    <t xml:space="preserve">10/10/12- Following meeting with DES, architects issued letter with 14 days notice to contractors. Temination letter issued 30/10/12. Contractor subsquently went into liquidation. Emergency,essential &amp; completion works costed and fees sought.  </t>
  </si>
  <si>
    <t xml:space="preserve">07/1212-essential works package given go ahead. Retender for completionworks completed January13.tender report sent to bondmans21/02/13_x000D_
150413- meeting with lowest contractor to review concerns on completion work and the status of defects. </t>
  </si>
  <si>
    <t>Loreto School,Granges road, Kilkenny</t>
  </si>
  <si>
    <t xml:space="preserve">{\rtf1\ansi\ansicpg1252\deff0\deflang2057{\fonttbl{\f0\fnil\fcharset0 MS Sans Serif;}}_x000D_
\viewkind4\uc1\pard\f0\fs17 refurbishment of an existing secondary school and construction of new 2-storey extension. Building contains new science labs and computer and classrooms. also a complete refurbishment of existing labs and classrooms. A change order was approved on site for additional buildings including home ec and art rooms.\par_x000D_
\par_x000D_
Completed the boiler refurbishment as part of summer works project 2009. \par_x000D_
\par_x000D_
}_x000D_
</t>
  </si>
  <si>
    <t>J:\Dn07274\QA\Maps.jpg</t>
  </si>
  <si>
    <t xml:space="preserve">{\rtf1\ansi\ansicpg1252\deff0\deflang2057{\fonttbl{\f0\fnil\fcharset0 MS Sans Serif;}}_x000D_
\viewkind4\uc1\pard\f0\fs17 1. An existing building &amp; design to be upgraded to new GCCC contract. Mitigated by a complete desgin review and also having full survey of the existing buildings including a below ground survey. Results due back June 2010.\par_x000D_
\par_x000D_
2. Fee to upgrade to new GCCC documents is very low. A full M&amp;E design review was undertaken at the previous Stage 4 stage. Mitigation is to keep site meetings to a minimum.\par_x000D_
\par_x000D_
3. Summer works project has already been undertaken and there have been other projects undertaken by the school since Stage 4 submission. Below grd scans and a complete building and roof survey are being undertaken to mitigate risks. \par_x000D_
\par_x000D_
Update:12-04-13: Project was retendered in January 2013- however the lowest contractor has raised concerns about standing over works. BDP are getting requests to attend meetings but will be avoiding as we are nto getting paid. Extra fees were sought for retender process- bondsman agreed but DES have to pay it- on going.\par_x000D_
\par_x000D_
Project completed- October 13\par_x000D_
}_x000D_
</t>
  </si>
  <si>
    <t>TBC</t>
  </si>
  <si>
    <t xml:space="preserve">{\rtf1\ansi\ansicpg1252\deff0\deflang2057{\fonttbl{\f0\fnil\fcharset0 Microsoft Sans Serif;}}_x000D_
\viewkind4\uc1\pard\f0\fs17 Teambinder is not being used. \par_x000D_
Documents issued to be recorded in QDMS. \par_x000D_
\par_x000D_
}_x000D_
</t>
  </si>
  <si>
    <t>J:\Dn07274\QA</t>
  </si>
  <si>
    <t xml:space="preserve">{\rtf1\ansi\ansicpg1252\deff0\deflang2057{\fonttbl{\f0\fnil\fcharset0 Microsoft Sans Serif;}}_x000D_
\viewkind4\uc1\pard\f0\fs17 Emails to be saved in J Drive folder\par_x000D_
QDMS to be used to record documents issued. \par_x000D_
}_x000D_
</t>
  </si>
  <si>
    <t>61850P</t>
  </si>
  <si>
    <t>DN07276</t>
  </si>
  <si>
    <t>NWHB Energy Consultancy</t>
  </si>
  <si>
    <t>April 2002 approximate completion date</t>
  </si>
  <si>
    <t xml:space="preserve">{\rtf1\ansi\ansicpg1252\deff0\deflang2057{\fonttbl{\f0\fnil\fcharset0 MS Sans Serif;}{\f1\fswiss\fprq2\fcharset0 Arial;}}_x000D_
\viewkind4\uc1\pard\f0\fs17 This project involved providing sustainabiity advice for a new office building known as \f1\fs20 Manorhamilton that was under design by another consultant._x000D_
\par _x000D_
\par In particular BDP prepared a grant application design study report for the client.\f0\fs17 _x000D_
\par }_x000D_
</t>
  </si>
  <si>
    <t>Research</t>
  </si>
  <si>
    <t>DN07277</t>
  </si>
  <si>
    <t>Portiuncula Hospital HSSD</t>
  </si>
  <si>
    <t>DN07278</t>
  </si>
  <si>
    <t>St Vincent de Paul's Girls School</t>
  </si>
  <si>
    <t>Feb 2004  approximate completion date</t>
  </si>
  <si>
    <t xml:space="preserve">{\rtf1\ansi\ansicpg1252\deff0\deflang2057{\fonttbl{\f0\fswiss\fprq2\fcharset0 Arial;}{\f1\fnil\fcharset0 MS Sans Serif;}}_x000D_
\viewkind4\uc1\pard\f0\fs20 Fitting of a new boiler in this school\f1\fs17 _x000D_
\par }_x000D_
</t>
  </si>
  <si>
    <t>J:\Printlog\filemanager\no image.jpgJ:\Printlog\filemanager\no image.jpg</t>
  </si>
  <si>
    <t>DN07280</t>
  </si>
  <si>
    <t>Holy Trinity National School</t>
  </si>
  <si>
    <t>DN07281</t>
  </si>
  <si>
    <t>Scoil Mhuire National School</t>
  </si>
  <si>
    <t>Dec 2003 approximate completion date</t>
  </si>
  <si>
    <t>Tullamore</t>
  </si>
  <si>
    <t xml:space="preserve">{\rtf1\ansi\ansicpg1252\deff0\deflang2057{\fonttbl{\f0\fswiss\fprq2\fcharset0 Arial;}{\f1\fnil\fcharset0 MS Sans Serif;}}_x000D_
\viewkind4\uc1\pard\f0\fs20 This project involved the replacement of the entire heating sysmey for this school\f1\fs17 _x000D_
\par }_x000D_
</t>
  </si>
  <si>
    <t>DN07282</t>
  </si>
  <si>
    <t>UCC ERI</t>
  </si>
  <si>
    <t>€9000000</t>
  </si>
  <si>
    <t xml:space="preserve">Complete approx Sept 05 </t>
  </si>
  <si>
    <t>fee = 250k</t>
  </si>
  <si>
    <t>Started approx Oct 2001</t>
  </si>
  <si>
    <t xml:space="preserve">{\rtf1\fbidis\ansi\ansicpg1252\deff0\deflang2057{\fonttbl{\f0\fswiss\fprq2\fcharset0 Arial;}{\f1\fnil\fcharset0 MS Sans Serif;}}_x000D_
{\colortbl ;\red255\green0\blue0;}_x000D_
\viewkind4\uc1\pard\ltrpar\b\f0\fs20 University College Cork, Environmental Research Institute\par_x000D_
\par_x000D_
\cf1\b0 Short listed for the SEI Awards 2007\par_x000D_
Published in the CIBSE Journal and Construct Ireland\par_x000D_
\cf0\b\par_x000D_
\par_x000D_
\b0 New low-energy sustainable research building to include laboratories, offices and meeting rooms. (Capital Value \'8014M)\par_x000D_
\f1\fs17\par_x000D_
}_x000D_
</t>
  </si>
  <si>
    <t>K:\M&amp;E\SUSTAINABILITY\ARTICLES of BDP Projects\CONSTRUCT IRELAND ARTICLES\ERI Article for Construct Ireland.doc</t>
  </si>
  <si>
    <t>Mark Poland _x000D_
UCC_x000D_
021 4902480</t>
  </si>
  <si>
    <t>DN07294</t>
  </si>
  <si>
    <t>Sligo Hospital Dev. Control Plan</t>
  </si>
  <si>
    <t>DN07295</t>
  </si>
  <si>
    <t>Staff Residence, Roscommon Hosp.</t>
  </si>
  <si>
    <t>DN07296</t>
  </si>
  <si>
    <t>Old Bawn Community School boiler refurb</t>
  </si>
  <si>
    <t xml:space="preserve">{\rtf1\ansi\ansicpg1252\deff0\deflang2057{\fonttbl{\f0\fnil\fcharset0 MS Sans Serif;}}_x000D_
\viewkind4\uc1\pard\f0\fs17 Replacement of the existing boielr_x000D_
\par }_x000D_
</t>
  </si>
  <si>
    <t>DN07297</t>
  </si>
  <si>
    <t>YMCA</t>
  </si>
  <si>
    <t>Derek Dockrell</t>
  </si>
  <si>
    <t>DN07298</t>
  </si>
  <si>
    <t>Mount Carmel Secondary School</t>
  </si>
  <si>
    <t>Behind Bolton Street</t>
  </si>
  <si>
    <t xml:space="preserve">{\rtf1\ansi\ansicpg1252\deff0\deflang2057{\fonttbl{\f0\fnil\fcharset0 MS Sans Serif;}}_x000D_
\viewkind4\uc1\pard\f0\fs17 New lift and reworie of existing school\fs17 _x000D_
\par }_x000D_
</t>
  </si>
  <si>
    <t>DN07299</t>
  </si>
  <si>
    <t>13 Temple Road</t>
  </si>
  <si>
    <t xml:space="preserve">{\rtf1\ansi\ansicpg1252\deff0\deflang2057{\fonttbl{\f0\fnil\fcharset0 MS Sans Serif;}}_x000D_
\viewkind4\uc1\pard\f0\fs17 This involved an inspection of some faulty door hold open devices._x000D_
\par _x000D_
\par }_x000D_
</t>
  </si>
  <si>
    <t>Small works</t>
  </si>
  <si>
    <t>DN07300</t>
  </si>
  <si>
    <t>Scoil Choca Naofa</t>
  </si>
  <si>
    <t>DN07301</t>
  </si>
  <si>
    <t>Lefroy House Refurbishment</t>
  </si>
  <si>
    <t>€356,000.00</t>
  </si>
  <si>
    <t>Approximate completion 2005</t>
  </si>
  <si>
    <t>Eden Quay</t>
  </si>
  <si>
    <t>Dublin 1</t>
  </si>
  <si>
    <t>DN07304</t>
  </si>
  <si>
    <t>WIT - Dev. Control Plan</t>
  </si>
  <si>
    <t>Cork Road</t>
  </si>
  <si>
    <t xml:space="preserve">{\rtf1\ansi\ansicpg1252\deff0\deflang2057{\fonttbl{\f0\fnil\fcharset0 MS Sans Serif;}}_x000D_
\viewkind4\uc1\pard\f0\fs17 Review of site services infrastructure to support future development plan for the main cmapus and the carriganore campus\fs17 _x000D_
\par }_x000D_
</t>
  </si>
  <si>
    <t>DN07305</t>
  </si>
  <si>
    <t>St. Cónal's Hospital</t>
  </si>
  <si>
    <t>DN07320</t>
  </si>
  <si>
    <t>Mullingar Hospital</t>
  </si>
  <si>
    <t>€37,000,000.00</t>
  </si>
  <si>
    <t>Project Started approx Feb 2002</t>
  </si>
  <si>
    <t>Mullingar</t>
  </si>
  <si>
    <t>Longford</t>
  </si>
  <si>
    <t xml:space="preserve">{\rtf1\fbidis\ansi\ansicpg1252\deff0\deflang2057{\fonttbl{\f0\fswiss\fprq2\fcharset0 Arial;}{\f1\fnil\fcharset0 MS Sans Serif;}}_x000D_
\viewkind4\uc1\pard\ltrpar\tx720\tqc\tx4320\tqr\tx8640\b\f0\fs20 Midlands Regional Hospital, Mullingar, Co. Westmeath - Phase 1\par_x000D_
\par_x000D_
\b0 This project involved the preparation of a Protective Development Control Plan plus refurbishment, fit-out, extension and new - build work.  An\par_x000D_
 8000\lang1033  m2 fit-out area and a 6000m2 new build area and the accommodation included general medical and surgical wards, rehabilitation unit, day service unit, pediatric ward, obstetrics, gynecology, ICU, CCU, Psychiatric unit, Theatres, pharmacy, a special care baby unit, and new accommodation for 250 outpatients staff support and  new accommodation for 250 outpatients. \par_x000D_
\par_x000D_
Outside of the ward accomdation Phase 1 also includes and upgrade of main electrical infrastute serving the whole hospital , a new car park management system, lighting and CCTV system.\par_x000D_
\pard\ltrpar\lang2057\f1\fs17\par_x000D_
}_x000D_
</t>
  </si>
  <si>
    <t xml:space="preserve">Brendan Colleary_x000D_
Technical Services Department_x000D_
Midland Health Board_x000D_
Central Office_x000D_
Arden Road_x000D_
Tullamore_x000D_
Co. Offaly_x000D_
Tel: 0506 21868_x000D_
</t>
  </si>
  <si>
    <t>DN07322</t>
  </si>
  <si>
    <t>Rutland Street National School - OLD SCHEME</t>
  </si>
  <si>
    <t>DN07323</t>
  </si>
  <si>
    <t>Wesley College Woodwork</t>
  </si>
  <si>
    <t>€3,323.80</t>
  </si>
  <si>
    <t>Dundrum</t>
  </si>
  <si>
    <t>DN07324</t>
  </si>
  <si>
    <t>Presentation College Bray - Dust Extraction</t>
  </si>
  <si>
    <t>€18,934.00</t>
  </si>
  <si>
    <t>Complete 2002</t>
  </si>
  <si>
    <t>Prescentation College, Bray</t>
  </si>
  <si>
    <t>Co Wicklow</t>
  </si>
  <si>
    <t xml:space="preserve">{\rtf1\ansi\ansicpg1252\deff0\deflang2057{\fonttbl{\f0\fnil\fcharset0 MS Sans Serif;}}_x000D_
\viewkind4\uc1\pard\f0\fs17 Dust Extract system installation_x000D_
\par }_x000D_
</t>
  </si>
  <si>
    <t>DN07325</t>
  </si>
  <si>
    <t>St. Declan's College, Cabra - Dust Extraction</t>
  </si>
  <si>
    <t>€17,424.88</t>
  </si>
  <si>
    <t>Nephin road,Cabra,</t>
  </si>
  <si>
    <t xml:space="preserve">{\rtf1\ansi\ansicpg1252\deff0\deflang2057{\fonttbl{\f0\fnil\fcharset0 MS Sans Serif;}}_x000D_
\viewkind4\uc1\pard\f0\fs17 Dust Extract installation_x000D_
\par }_x000D_
</t>
  </si>
  <si>
    <t>DN07326</t>
  </si>
  <si>
    <t>Christian Brothers School, Wexford - Dust Extraction</t>
  </si>
  <si>
    <t>Early 2005</t>
  </si>
  <si>
    <t>Wexford Town</t>
  </si>
  <si>
    <t>Wexford</t>
  </si>
  <si>
    <t xml:space="preserve">{\rtf1\ansi\ansicpg1252\deff0\deflang2057{\fonttbl{\f0\fnil\fcharset0 MS Sans Serif;}}_x000D_
\viewkind4\uc1\pard\f0\fs17 Woodwork Dust Extract_x000D_
\par }_x000D_
</t>
  </si>
  <si>
    <t>DN07327</t>
  </si>
  <si>
    <t>Gorey Community School - Dust Extraction</t>
  </si>
  <si>
    <t>Complete in 2006</t>
  </si>
  <si>
    <t>Gorey</t>
  </si>
  <si>
    <t xml:space="preserve">{\rtf1\ansi\ansicpg1252\deff0\deflang2057{\fonttbl{\f0\fnil\fcharset0 MS Sans Serif;}}_x000D_
\viewkind4\uc1\pard\f0\fs17 Large dust extract installation consisting of systems in many rooms_x000D_
\par }_x000D_
</t>
  </si>
  <si>
    <t>DN07328</t>
  </si>
  <si>
    <t>Ardee Community School - Dust Extraction</t>
  </si>
  <si>
    <t>DN07329</t>
  </si>
  <si>
    <t>Ballymun Senior Comprehensive - Dust Extraction</t>
  </si>
  <si>
    <t>Ballymun</t>
  </si>
  <si>
    <t xml:space="preserve">{\rtf1\ansi\ansicpg1252\deff0\deflang2057{\fonttbl{\f0\fnil\fcharset0 MS Sans Serif;}}_x000D_
\viewkind4\uc1\pard\f0\fs17 Dust extract system installation _x000D_
\par }_x000D_
</t>
  </si>
  <si>
    <t>DN07330</t>
  </si>
  <si>
    <t>Ramsgrange Community School, Wexford - Dust Extraction</t>
  </si>
  <si>
    <t>€14,000.00</t>
  </si>
  <si>
    <t>Complete 2004</t>
  </si>
  <si>
    <t>Ramsgrange</t>
  </si>
  <si>
    <t xml:space="preserve">{\rtf1\ansi\ansicpg1252\deff0\deflang2057{\fonttbl{\f0\fnil\fcharset0 MS Sans Serif;}}_x000D_
\viewkind4\uc1\pard\f0\fs17 Small woodwork dust extract_x000D_
\par _x000D_
\par Apars never to have been completed as there is no tender report on file\fs17 _x000D_
\par }_x000D_
</t>
  </si>
  <si>
    <t>DN07331</t>
  </si>
  <si>
    <t>Heywood Com School, Ballinakill - Dust Extract</t>
  </si>
  <si>
    <t>€1,906.00</t>
  </si>
  <si>
    <t>DN07332</t>
  </si>
  <si>
    <t>Coolmine Community School - Dust Extraction</t>
  </si>
  <si>
    <t>Complete 2005</t>
  </si>
  <si>
    <t>Coolmine (Castleknock area)</t>
  </si>
  <si>
    <t xml:space="preserve">{\rtf1\ansi\ansicpg1252\deff0\deflang2057{\fonttbl{\f0\fnil\fcharset0 MS Sans Serif;}}_x000D_
\viewkind4\uc1\pard\f0\fs17 Dust extract installation _x000D_
\par }_x000D_
</t>
  </si>
  <si>
    <t>DN07333</t>
  </si>
  <si>
    <t>St. Killian's Community School, Bray - Dust Extraction</t>
  </si>
  <si>
    <t>DN07334</t>
  </si>
  <si>
    <t>Old Bawn Community School - Dust Extraction</t>
  </si>
  <si>
    <t>Complete 2003</t>
  </si>
  <si>
    <t>Old Bawn, Tallaght</t>
  </si>
  <si>
    <t>Dublin 24</t>
  </si>
  <si>
    <t xml:space="preserve">{\rtf1\ansi\ansicpg1252\deff0\deflang2057{\fonttbl{\f0\fnil\fcharset0 MS Sans Serif;}}_x000D_
\viewkind4\uc1\pard\f0\fs17 Dust Extract System Installation._x000D_
\par _x000D_
\par Note that we returned to this school in 2007 following complaints of poor room air quality. We subsequentally arranged the installation of wall fans in the woodwork rooms to improve background ventilaiton and the replacement of some of the machinery_x000D_
\par }_x000D_
</t>
  </si>
  <si>
    <t>DN07335</t>
  </si>
  <si>
    <t>St John's Vocational School</t>
  </si>
  <si>
    <t xml:space="preserve">Projectr cancelled </t>
  </si>
  <si>
    <t>Portarlington</t>
  </si>
  <si>
    <t>Laois</t>
  </si>
  <si>
    <t xml:space="preserve">{\rtf1\ansi\ansicpg1252\deff0\deflang2057{\fonttbl{\f0\fnil\fcharset0 MS Sans Serif;}}_x000D_
\viewkind4\uc1\pard\f0\fs17 Wood dust extraction system, project cancelled at tender stage by client, Department of Education &amp; Science\fs17 _x000D_
\par }_x000D_
</t>
  </si>
  <si>
    <t>DN07338</t>
  </si>
  <si>
    <t>Ard Scoil La Salle Dust Extraction</t>
  </si>
  <si>
    <t>€32,559.77</t>
  </si>
  <si>
    <t>Raheney</t>
  </si>
  <si>
    <t>DN07339</t>
  </si>
  <si>
    <t>Ardscoil Rís Dust Extraction</t>
  </si>
  <si>
    <t>Terminated 2002</t>
  </si>
  <si>
    <t xml:space="preserve">{\rtf1\ansi\ansicpg1252\deff0\deflang2057{\fonttbl{\f0\fnil\fcharset0 MS Sans Serif;}}_x000D_
\viewkind4\uc1\pard\f0\fs17 The project was terminated.  The school had accidentally asked several complanies to carry out a survey and only when the survey was complete did they advise us that they would be appointing a different consultant.  The school admitted liability in the end and paid the cos of the survey report._x000D_
\par }_x000D_
</t>
  </si>
  <si>
    <t>DN07340</t>
  </si>
  <si>
    <t>Jobstown Community College</t>
  </si>
  <si>
    <t>€30,090.00</t>
  </si>
  <si>
    <t>Jobstown, Tallaght</t>
  </si>
  <si>
    <t xml:space="preserve">{\rtf1\ansi\ansicpg1252\deff0\deflang2057{\fonttbl{\f0\fnil\fcharset0 MS Sans Serif;}}_x000D_
\viewkind4\uc1\pard\f0\fs17 Dust extraction project, also refer to the other jobstown project number for follow up information_x000D_
\par }_x000D_
</t>
  </si>
  <si>
    <t>DN07341</t>
  </si>
  <si>
    <t>Castleknock Community College Dust Extraction</t>
  </si>
  <si>
    <t>€34,952.61</t>
  </si>
  <si>
    <t>Castleknock</t>
  </si>
  <si>
    <t xml:space="preserve">{\rtf1\ansi\ansicpg1252\deff0\deflang2057{\fonttbl{\f0\fnil\fcharset0 MS Sans Serif;}}_x000D_
\viewkind4\uc1\pard\f0\fs17 Dust extract system installation_x000D_
\par }_x000D_
</t>
  </si>
  <si>
    <t>DN07342</t>
  </si>
  <si>
    <t>Palmerstown Woodwork</t>
  </si>
  <si>
    <t>€19,247.00</t>
  </si>
  <si>
    <t>Palmerstown</t>
  </si>
  <si>
    <t>DN07343</t>
  </si>
  <si>
    <t>Rowlestown School</t>
  </si>
  <si>
    <t>€9,500,000.00</t>
  </si>
  <si>
    <t>80,000</t>
  </si>
  <si>
    <t>Started approx 2002</t>
  </si>
  <si>
    <t>Pracitcal Completion - September 2008</t>
  </si>
  <si>
    <t xml:space="preserve">{\rtf1\ansi\ansicpg1252\deff0\deflang2057{\fonttbl{\f0\fswiss\fprq2\fcharset0 Arial;}{\f1\fnil\fcharset0 MS Sans Serif;}}_x000D_
\viewkind4\uc1\pard\lang6153\f0\fs20 26 classroom primary school with separate sports hall.  This project includes several enhancements over the standard school design that is funded by the projects backer.  These enhancements include improved I.T. facilities, and increased level of servicing.\lang2057\f1\fs17 _x000D_
\par }_x000D_
</t>
  </si>
  <si>
    <t>Kaywmoor Developments Ltd</t>
  </si>
  <si>
    <t>1/08/0/</t>
  </si>
  <si>
    <t>-4</t>
  </si>
  <si>
    <t xml:space="preserve">{\rtf1\ansi\ansicpg1252\deff0\deflang2057{\fonttbl{\f0\fnil\fcharset0 Microsoft Sans Serif;}}_x000D_
\viewkind4\uc1\pard\f0\fs17 E-mail\par_x000D_
}_x000D_
</t>
  </si>
  <si>
    <t>J:\DN07343\Change Log</t>
  </si>
  <si>
    <t>DN07347</t>
  </si>
  <si>
    <t>Our Lady of Lourdes, Drogheda</t>
  </si>
  <si>
    <t>DN07348</t>
  </si>
  <si>
    <t>St. Nessan's Community College, Limerick</t>
  </si>
  <si>
    <t>€10,300,000</t>
  </si>
  <si>
    <t>Started in Aug 2002</t>
  </si>
  <si>
    <t>Completed 2006</t>
  </si>
  <si>
    <t>St. Nessans' Community College, Moylish Park</t>
  </si>
  <si>
    <t>Limerick City</t>
  </si>
  <si>
    <t xml:space="preserve">{\rtf1\fbidis\ansi\ansicpg1252\deff0\deflang2057{\fonttbl{\f0\fswiss\fprq2\fcharset0 Arial;}{\f1\froman\fprq2\fcharset0 Times New Roman;}{\f2\fnil\fcharset0 MS Sans Serif;}}_x000D_
{\colortbl ;\red0\green0\blue255;}_x000D_
\viewkind4\uc1\pard\ltrpar\b\f0\fs18 St. Nessan's Community School, Co. Limerick_x000D_
\par _x000D_
\par \b0\fs20 New 650 pupils, \'806.5M 2nd level school in Limerick City._x000D_
\par _x000D_
\par This second level school was located on a city site and contains a range of teaching accommodation including classrooms and lab spaces.  The building also contains a large sports hall._x000D_
\par \cf1\b\f1\fs24 _x000D_
\par \cf0\b0\f0\fs20 BDP worked closely with the design team to analyse the buildings form, and develop the daylight and natural ventilation schemes prior to designing the buildings services._x000D_
\par _x000D_
\par Our in house daylight and thermal simulation capacity allows the design to be studied in detail an improved at the early stages of the project._x000D_
\par _x000D_
\par Particular attention was paid to producing a school with a low energy consumption and ease of maintenance._x000D_
\par \f2\fs17 _x000D_
\par }_x000D_
</t>
  </si>
  <si>
    <t xml:space="preserve">Department of Education and Science, Planning and Building Unit_x000D_
</t>
  </si>
  <si>
    <t>DN07349</t>
  </si>
  <si>
    <t>Dundalk Institute - Nursing School</t>
  </si>
  <si>
    <t>2005 Practical completion</t>
  </si>
  <si>
    <t xml:space="preserve">{\rtf1\fbidis\ansi\ansicpg1252\deff0\deflang2057{\fonttbl{\f0\fswiss\fprq2\fcharset0 Arial;}{\f1\fnil\fcharset0 Arial;}}_x000D_
\viewkind4\uc1\pard\ltrpar\qj\f0\fs16 The Dundalk Nurses Education Building was completed in 20005. It has an area of 3,828m\super 2\nosupersub  and a total project cost of \'809.2M.\par_x000D_
\par_x000D_
The building contains a mix of lecture theatres, offices and specialist teaching labs arranged around a central atrium.\par_x000D_
\par_x000D_
BDP provided M&amp;E services for the building including heating, ventilation, lighting, power, fire alarm, security, data, water, drainage, and specialist gas service\par_x000D_
\par_x000D_
\pard\ltrpar The majority of spaces within the building with the exception of the basement lecture theatres are naturally ventilated to minimise the buildings energy consumption.\par_x000D_
\pard\ltrpar\f1\fs20\par_x000D_
}_x000D_
</t>
  </si>
  <si>
    <t>DN07351</t>
  </si>
  <si>
    <t>Ballycroy Visitors Centre</t>
  </si>
  <si>
    <t>Donneygall</t>
  </si>
  <si>
    <t>DN07352</t>
  </si>
  <si>
    <t>Ballinasloe Convent</t>
  </si>
  <si>
    <t>€4,153,000</t>
  </si>
  <si>
    <t>Started on site approx Sept 2003</t>
  </si>
  <si>
    <t>Completed Sept 2004</t>
  </si>
  <si>
    <t xml:space="preserve">Portiuncula Convent_x000D_
Ballinasloe_x000D_
Co. Galway_x000D_
</t>
  </si>
  <si>
    <t xml:space="preserve">{\rtf1\fbidis\ansi\ansicpg1252\deff0\deflang2057{\fonttbl{\f0\fswiss\fprq2\fcharset0 Arial;}{\f1\fnil\fcharset0 MS Sans Serif;}}_x000D_
\viewkind4\uc1\pard\ltrpar\tx720\tqc\tx4320\tqr\tx8640\b\f0\fs24 Convent for the Franciscan Missionaries of the Divine Motherhood\b0\fs20\par_x000D_
\par_x000D_
Retirement home for nuns designed specifically to cater for the needs of the elderly.  Building planned around a central courtyard, over two storeys with bedrooms, chapel, offices, nurses\rquote  rooms, dinging room, group rooms and stores located off main corridors on each floor.  Each room was thus naturally ventilated and availed from an abundant source of natural daylight.  Full catering kitchen, laundry and plant rooms were located in a service block away from sensitive areas of building.  A number of bedrooms doubled as high dependency units for residents requiring specialist care.\par_x000D_
\pard\ltrpar\f1\fs17\par_x000D_
}_x000D_
</t>
  </si>
  <si>
    <t>Sister Anne O'Brien_x000D_
Franciscan Missionaries of the Divine Motherhood_x000D_
Portiuncula Convent_x000D_
Ballinasloe_x000D_
Co. Galway_x000D_
09096 44043</t>
  </si>
  <si>
    <t>DN07357</t>
  </si>
  <si>
    <t>WIT Nurses Education Building NEB</t>
  </si>
  <si>
    <t>02/08/04</t>
  </si>
  <si>
    <t>€13,000,000</t>
  </si>
  <si>
    <t xml:space="preserve">May 2002 Approximate appointment date - see fee file for exact date </t>
  </si>
  <si>
    <t xml:space="preserve">Sept 15/ 2005 Practical Completion </t>
  </si>
  <si>
    <t>Cork Road, Waterford</t>
  </si>
  <si>
    <t xml:space="preserve">{\rtf1\ansi\ansicpg1252\deff0\deflang2057{\fonttbl{\f0\fnil\fcharset0 MS Sans Serif;}{\f1\fswiss\fprq2\fcharset0 Arial;}}_x000D_
{\colortbl ;\red0\green0\blue0;}_x000D_
\viewkind4\uc1\pard\f0\fs20 This 3,910m\super 2\nosupersub  Nurses Education Building for Waterford Institute of Technology consists of lecture theatres, teaching accommodation and office accommodation arranged around a central atrium._x000D_
\par _x000D_
\par The buildings sustainability strategy is of particular interest, achieving an impressive monitored energy usage of 65 kWhm\super 2\nosupersub /yr._x000D_
\par _x000D_
\par The building was awarded the RIAI sustainability award in 2007, and an article was published in the Construct Ireland magazine detailing the passive sustainability qualities of the buildings design._x000D_
\par _x000D_
\par The building contains many passive design techniques including, advanced solar shading, specialist glazing containing light shelves, natural ventilation, exposed mass, and quality daylight design.  The passive elements are backed up by an advanced controls system that automatically adjusts the building and its systems to minimise energy usage._x000D_
\par _x000D_
\par BDP are remotely monitoring the building through a connection to our office in order to study its performance and assist the client in minimising the buildings energy in use._x000D_
\par _x000D_
\par  \cf1\f1\fs22 _x000D_
\par \cf0\f0\fs17 _x000D_
\par }_x000D_
</t>
  </si>
  <si>
    <t>K:\M&amp;E\Powerpoint Presentations\Various images\COMPLETED PROJECTS\NEB WIT\CIMG0045.JPG</t>
  </si>
  <si>
    <t>K:\M&amp;E\SUSTAINABILITY\ARTICLES of BDP Projects\CONSTRUCT IRELAND ARTICLES\NEB Article for construct Ireland sept 07.doc</t>
  </si>
  <si>
    <t>DN07358</t>
  </si>
  <si>
    <t>WIT - Enterprise Building</t>
  </si>
  <si>
    <t>11/10/04</t>
  </si>
  <si>
    <t>€4,118,071.95</t>
  </si>
  <si>
    <t>WIT Carriganore Campus, Old Kilmeaden Road</t>
  </si>
  <si>
    <t xml:space="preserve">{\rtf1\ansi\ansicpg1252\deff0\deflang2057{\fonttbl{\f0\fswiss\fprq2\fcharset0 Arial;}{\f1\fnil\fcharset0 MS Sans Serif;}}_x000D_
\viewkind4\uc1\pard\b\f0\fs20 WIT Enterprise And Research Unit\b0 _x000D_
\par _x000D_
\par \'804,118,071 building containing office type spaces for enterprise and research projects._x000D_
\par \f1\fs17 _x000D_
\par }_x000D_
</t>
  </si>
  <si>
    <t>DN07363</t>
  </si>
  <si>
    <t>Training Unit Glengarriff Parade</t>
  </si>
  <si>
    <t>Military</t>
  </si>
  <si>
    <t>DN07364</t>
  </si>
  <si>
    <t>Scoil Mhuire, Crumlin</t>
  </si>
  <si>
    <t>€96,872.00</t>
  </si>
  <si>
    <t>Sept 2004 Practical completion</t>
  </si>
  <si>
    <t>Scoil Muire , Loreto Junior Primary, Crumlin Road</t>
  </si>
  <si>
    <t>Dublin 12</t>
  </si>
  <si>
    <t xml:space="preserve">{\rtf1\ansi\ansicpg1252\deff0\deflang2057{\fonttbl{\f0\fnil\fcharset0 MS Sans Serif;}}_x000D_
\viewkind4\uc1\pard\f0\fs17 Refurbisment of the entire schools heating and water services installation._x000D_
\par }_x000D_
</t>
  </si>
  <si>
    <t>DN07369</t>
  </si>
  <si>
    <t>Orthodontic Unit - Sligo Hospital</t>
  </si>
  <si>
    <t>DN07370</t>
  </si>
  <si>
    <t>Meanscoil Naomh Colm</t>
  </si>
  <si>
    <t>€66,123.00</t>
  </si>
  <si>
    <t>Completed nov 2003</t>
  </si>
  <si>
    <t>Crumlin</t>
  </si>
  <si>
    <t>Dublin7</t>
  </si>
  <si>
    <t xml:space="preserve">{\rtf1\ansi\ansicpg1252\deff0\deflang2057{\fonttbl{\f0\fnil\fcharset0 MS Sans Serif;}}_x000D_
\viewkind4\uc1\pard\f0\fs17 Plant room and water services refurbishment_x000D_
\par }_x000D_
</t>
  </si>
  <si>
    <t>DN07371</t>
  </si>
  <si>
    <t>St Mary's Secondary School</t>
  </si>
  <si>
    <t>DN07373</t>
  </si>
  <si>
    <t>Phoenix Park Special School</t>
  </si>
  <si>
    <t>€1,494,451.58</t>
  </si>
  <si>
    <t>Appointed 2002</t>
  </si>
  <si>
    <t>Completed August 2007</t>
  </si>
  <si>
    <t>North Road, Phoenix Park</t>
  </si>
  <si>
    <t>Dublin 8</t>
  </si>
  <si>
    <t xml:space="preserve">{\rtf1\ansi\ansicpg1252\deff0\deflang2057{\fonttbl{\f0\fswiss\fprq2\fcharset0 Arial;}{\f1\fnil\fcharset0 MS Sans Serif;}}_x000D_
\viewkind4\uc1\pard\lang6153\f0\fs20 6 Room classroom extension to an existing building catering for students with special needs \lang2057\f1\fs17 _x000D_
\par }_x000D_
</t>
  </si>
  <si>
    <t>DN07376</t>
  </si>
  <si>
    <t>St. Thomas Community School - Dust Extraction</t>
  </si>
  <si>
    <t>DN07382</t>
  </si>
  <si>
    <t>Galway Business School NUIG</t>
  </si>
  <si>
    <t>€9,000,000.00</t>
  </si>
  <si>
    <t>We were appointed June 2002</t>
  </si>
  <si>
    <t>Complete approx Dec 2006</t>
  </si>
  <si>
    <t>NUIG Main campus</t>
  </si>
  <si>
    <t xml:space="preserve">{\rtf1\ansi\ansicpg1252\deff0\deflang2057{\fonttbl{\f0\fswiss\fprq2\fcharset0 Arial;}{\f1\fnil\fcharset0 MS Sans Serif;}}_x000D_
\viewkind4\uc1\pard\lang6153\f0\fs20 4,700m2 Expansion of existing undergraduate and post graduate business school including lecture theatre, offices, open plan study areas and servery._x000D_
\par _x000D_
\par This building is an excellent example of a naturally ventilated, high load educational building.  The high density computer rooms are completely naturally ventilated and provide an excellent level of user comfort.  This comfort is provided by an innovative stack ventilation system combined with night cooling thermal mass._x000D_
\par \lang2057\f1\fs17 _x000D_
\par }_x000D_
</t>
  </si>
  <si>
    <t xml:space="preserve">Greg Power_x000D_
Tel: 091-492955_x000D_
</t>
  </si>
  <si>
    <t>DN07384</t>
  </si>
  <si>
    <t>Tralee cnu</t>
  </si>
  <si>
    <t>€7,745,895.71</t>
  </si>
  <si>
    <t>Hand over date as of site meeting No.28</t>
  </si>
  <si>
    <t>Tender report issued Feb 2007</t>
  </si>
  <si>
    <t>04/07/2008  the predicted handover date as agreed in site meeting no 13</t>
  </si>
  <si>
    <t>Project start date (letter of acceptance sent to client) on 29 / July / 2002</t>
  </si>
  <si>
    <t>Project completed 10/2009</t>
  </si>
  <si>
    <t>Additional design works and costs agreed 20/10/09</t>
  </si>
  <si>
    <t>Contractor to start on site for additional works on Nov  23rd.</t>
  </si>
  <si>
    <t>project was tendered in Fb 2007</t>
  </si>
  <si>
    <t>Tralee_x000D_
Co. Kerry</t>
  </si>
  <si>
    <t>Kerry</t>
  </si>
  <si>
    <t xml:space="preserve">{\rtf1\ansi\ansicpg1252\deff0\deflang2057{\fonttbl{\f0\froman\fprq2\fcharset0 Times New Roman;}{\f1\fnil\fcharset0 MS Sans Serif;}}_x000D_
{\colortbl ;\red0\green0\blue0;}_x000D_
\viewkind4\uc1\pard\cf1\f0\fs24 The building is a 50 bed care unit for the elderly, and is part of SHB's '\i Ageing with Confidence'\i0  Strategy. The development consist of two 25 bed residential care modules, a central module, and a services module. The total area of the development will be approx 1500m\super 2\nosupersub ._x000D_
\par The client wishes to create a comfortable, non-institutional atmosphere in the unit which is one of a number of proposed developments in the area aimed at bringing non-acute healthcare for the elderly close to their community.\cf0\f1\fs17 _x000D_
\par }_x000D_
</t>
  </si>
  <si>
    <t>J:\DN07384\Images\plan.jpg</t>
  </si>
  <si>
    <t xml:space="preserve">{\rtf1\ansi\ansicpg1252\deff0\deflang2057{\fonttbl{\f0\fnil\fcharset0 MS Sans Serif;}}_x000D_
{\colortbl ;\red255\green0\blue0;\red0\green0\blue0;\red0\green0\blue255;}_x000D_
\viewkind4\uc1\pard\cf1\b\f0\fs17 Risk: \cf2\b0 The project is a considerable distance from the office and travel times to site are significant._x000D_
\par The project has also been dleayed for a considerable period just prior to tender_x000D_
\par \cf3\b Mitigation: \cf2\b0 Only one engineer to attend site meetings,  Avoid early site meetings where not required.\cf0 _x000D_
\par }_x000D_
</t>
  </si>
  <si>
    <t>VAT Inclusive</t>
  </si>
  <si>
    <t xml:space="preserve">Una Webster_x000D_
Southern Health Board_x000D_
Capital Projects Office_x000D_
Cork University Hospital_x000D_
Wilton_x000D_
Cork_x000D_
021 4927232_x000D_
</t>
  </si>
  <si>
    <t>DN07385</t>
  </si>
  <si>
    <t>Lucan Woodwork Dust Extract</t>
  </si>
  <si>
    <t>€43,186.64</t>
  </si>
  <si>
    <t>Completed 2003</t>
  </si>
  <si>
    <t xml:space="preserve">Lucan </t>
  </si>
  <si>
    <t xml:space="preserve">{\rtf1\ansi\ansicpg1252\deff0\deflang2057{\fonttbl{\f0\fnil\fcharset0 MS Sans Serif;}}_x000D_
\viewkind4\uc1\pard\f0\fs17 Dust Extract system _x000D_
\par }_x000D_
</t>
  </si>
  <si>
    <t>DN07393</t>
  </si>
  <si>
    <t>Carlow CBS Woodwork Dust Extract</t>
  </si>
  <si>
    <t>€27,062.00</t>
  </si>
  <si>
    <t>Complete early 2004</t>
  </si>
  <si>
    <t xml:space="preserve">{\rtf1\ansi\ansicpg1252\deff0\deflang2057{\fonttbl{\f0\fnil\fcharset0 MS Sans Serif;}}_x000D_
\viewkind4\uc1\pard\f0\fs17 Woodwork dust Extract_x000D_
\par }_x000D_
</t>
  </si>
  <si>
    <t>DN07398</t>
  </si>
  <si>
    <t>St.Peters BNS</t>
  </si>
  <si>
    <t>LIMEKILN ROAD GREENHILLS</t>
  </si>
  <si>
    <t xml:space="preserve">{\rtf1\ansi\ansicpg1252\deff0\deflang2057{\fonttbl{\f0\fnil\fcharset0 MS Sans Serif;}}_x000D_
\viewkind4\uc1\pard\f0\fs17 Install a new shower_x000D_
\par }_x000D_
</t>
  </si>
  <si>
    <t>DN07403</t>
  </si>
  <si>
    <t>Coolmine Sports and Leisure</t>
  </si>
  <si>
    <t>Dn07405</t>
  </si>
  <si>
    <t>St. Joseph's Schoaol for the Deaf</t>
  </si>
  <si>
    <t>L:\Dn07405</t>
  </si>
  <si>
    <t>DN07408</t>
  </si>
  <si>
    <t>Meanscoil Naomh kColm - Woodwork Dust Ext</t>
  </si>
  <si>
    <t>DN07409</t>
  </si>
  <si>
    <t>Roscrea Health Campus</t>
  </si>
  <si>
    <t>Roscrea</t>
  </si>
  <si>
    <t>Offaly / Tipperary</t>
  </si>
  <si>
    <t>DN07411</t>
  </si>
  <si>
    <t>Northampton PFI School</t>
  </si>
  <si>
    <t>UK</t>
  </si>
  <si>
    <t>DN07421</t>
  </si>
  <si>
    <t>Haulbowline Stores</t>
  </si>
  <si>
    <t>DN07431</t>
  </si>
  <si>
    <t>Century Court</t>
  </si>
  <si>
    <t>DN07432</t>
  </si>
  <si>
    <t>Rosmuc Visitor Centre</t>
  </si>
  <si>
    <t>Donegal</t>
  </si>
  <si>
    <t xml:space="preserve">{\rtf1\ansi\ansicpg1252\deff0\deflang2057{\fonttbl{\f0\fmodern\fcharset0 Courier New;}{\f1\fnil\fcharset0 Arial;}}_x000D_
\viewkind4\uc1\pard\f0\fs20 Physiology Building 1163sq m\par_x000D_
Zoology Building 2285sq m\par_x000D_
Chemistry Building 3437sq m\par_x000D_
Museum Building 3992sq m\par_x000D_
\pard Berkeley Library 6342sq m\f1\fs20\par_x000D_
}_x000D_
</t>
  </si>
  <si>
    <t>DN07433</t>
  </si>
  <si>
    <t>Colaiste Iognaid - Masterplan</t>
  </si>
  <si>
    <t>2004</t>
  </si>
  <si>
    <t>DN07434</t>
  </si>
  <si>
    <t>Scoil IDE and Scoil Aine</t>
  </si>
  <si>
    <t>€379,295.40</t>
  </si>
  <si>
    <t>Sept 2004 Practical Completion</t>
  </si>
  <si>
    <t>Clondalkin</t>
  </si>
  <si>
    <t>Dublin 22</t>
  </si>
  <si>
    <t xml:space="preserve">{\rtf1\ansi\ansicpg1252\deff0\deflang2057{\fonttbl{\f0\fnil\fcharset0 MS Sans Serif;}}_x000D_
\viewkind4\uc1\pard\f0\fs17 This project involved the complete refurbishment of two primary schools that are joined by a central link corridor._x000D_
\par _x000D_
\par The full works were completed during the summer of 2003_x000D_
\par }_x000D_
</t>
  </si>
  <si>
    <t>J:\DN07434\Images\04-04-30\DSCN0087.JPG</t>
  </si>
  <si>
    <t>DN07439</t>
  </si>
  <si>
    <t>NTP Innovation Centre</t>
  </si>
  <si>
    <t>DN07440</t>
  </si>
  <si>
    <t>Wicklow County Council old number</t>
  </si>
  <si>
    <t>DN07444</t>
  </si>
  <si>
    <t>Cork Car park</t>
  </si>
  <si>
    <t>Transport</t>
  </si>
  <si>
    <t>DN07456</t>
  </si>
  <si>
    <t>Victoria Square (Initially set up for JN, now BES) BT06123</t>
  </si>
  <si>
    <t>DN07459</t>
  </si>
  <si>
    <t>CI_St. Ignatius Church</t>
  </si>
  <si>
    <t>DN07460</t>
  </si>
  <si>
    <t>CI _ Jesuit Accomodation</t>
  </si>
  <si>
    <t>€1,200,000</t>
  </si>
  <si>
    <t>Early 2006 Practical Completion</t>
  </si>
  <si>
    <t>Raleigh Row, _x000D_
Galway City, _x000D_
Co. Galway</t>
  </si>
  <si>
    <t xml:space="preserve">{\rtf1\fbidis\ansi\ansicpg1252\deff0\deflang2057{\fonttbl{\f0\fswiss\fprq2\fcharset0 Arial;}{\f1\fnil\fcharset0 MS Sans Serif;}}_x000D_
\viewkind4\uc1\pard\ltrpar\tx720\tqc\tx4320\tqr\tx8640\b\f0\fs20 Jesuit Retirement Accommodation\par_x000D_
\b0\par_x000D_
The project consisted of a 12 bed private retirement home for the Jesuit Order in Galway. The accommodation was complete with fully functioning catering kitchen, communal areas, office areas and facilities for nurse care. \par_x000D_
\par_x000D_
Contract Type: RIAI (Blue) \par_x000D_
\pard\ltrpar\f1\fs17\par_x000D_
}_x000D_
</t>
  </si>
  <si>
    <t>\\dn-sfs1\Workgrp\M&amp;E\Powerpoint Presentations\Various images\COMPLETED PROJECTS\Colaiste Iognaid Jesuit Accomodation\rear facade.jpg</t>
  </si>
  <si>
    <t>thie figure is wrong</t>
  </si>
  <si>
    <t>Fr. John Humphries_x000D_
Society of Jesus, _x000D_
Raleigh Row, _x000D_
Galway City, _x000D_
Co. Galway_x000D_
Tel: 091 501537</t>
  </si>
  <si>
    <t>DN07461</t>
  </si>
  <si>
    <t>Jesuit School-Colaiste Iognaid</t>
  </si>
  <si>
    <t>€6,082,410,</t>
  </si>
  <si>
    <t>Project was tendered April 2010</t>
  </si>
  <si>
    <t xml:space="preserve">tender returns received in May 2010 and report prepared. </t>
  </si>
  <si>
    <t>Letter of intent issued June 2010</t>
  </si>
  <si>
    <t>Works started 11th August 2010_x000D_
See meeeting minutes for various issues and indutrial disputes. _x000D_
11th may 2011- Cordil give notice that works are suspended for two weeks pending a possible cash injection</t>
  </si>
  <si>
    <t>Project Retendered 7th Dec 2011. Returned tender 25th Jan 2012. Tender report issued to DES on 13th Feb 2012- purcell construction lowest tenderer. Purcell appointed to complete works Aug 12</t>
  </si>
  <si>
    <t>Colaiste Iognaid, Sea Rd, Galway City</t>
  </si>
  <si>
    <t xml:space="preserve">{\rtf1\ansi\ansicpg1252\deff0\deflang2057{\fonttbl{\f0\fnil\fcharset0 MS Sans Serif;}}_x000D_
\viewkind4\uc1\pard\f0\fs17 Project consists of both refurbishment, new build and demolition works within 3 buildings of the Colaiste Iognaid site in Galway City. \par_x000D_
\par_x000D_
Andrews Building: A large part of this building is to be demolished and replaced by a new school. Significant pre-demolition works are required prior to demolitions taking place. \par_x000D_
\par_x000D_
Griffin Building: A strip out and refurbishment of the mechanical, electrical and lift in an existing school building.\par_x000D_
\par_x000D_
O'Reilly: A strip out and refurbishment of the mechanical and electrical services to the main school science block. A new external lift is to be provided to improve access to the building. \par_x000D_
\par_x000D_
3000m2 new build, 500 Oreily  2,470 Griff and andrews 3,021 and church 612m2\par_x000D_
\par_x000D_
total refurb : 6,6003m2 \par_x000D_
}_x000D_
</t>
  </si>
  <si>
    <t xml:space="preserve">{\rtf1\ansi\ansicpg1252\deff0\deflang2057{\fonttbl{\f0\fnil\fcharset0 MS Sans Serif;}}_x000D_
\viewkind4\uc1\pard\f0\fs17 Risk:Contract price has come in significantly lower than expected. There is a risk that the contractors will be prolific with claims. \par_x000D_
\par_x000D_
Mitigation: apply the rules of the GCCC contract regarding variaitons exactly. Ensure that the team are aware of the rules governing the contracts. \par_x000D_
\par_x000D_
Risk: Fees are not sufficient. \par_x000D_
Mitagation: Minimise site involvement as much as is practical. Hold meetings with contractors in Dublin. \par_x000D_
\par_x000D_
Risk: Site works &amp; predemolition works- There is a significnat amount of site works to be completed. Contractors are to complete a below grd survey to mitigate risks. \par_x000D_
\par_x000D_
Update: 12/04/13- Contractor has put in claims to value of approximately 225,000. BDP refutes majority of claims and has issued correspondance to ER (Project manager). Risk of contractor proceeding to concillation. All BDP responses to queries to be carefully filed and all repsonses to be within time limits noted in GCCC.\par_x000D_
\par_x000D_
}_x000D_
</t>
  </si>
  <si>
    <t>QA</t>
  </si>
  <si>
    <t>PHB</t>
  </si>
  <si>
    <t xml:space="preserve">{\rtf1\ansi\ansicpg1252\deff0\deflang2057{\fonttbl{\f0\fnil\fcharset0 Microsoft Sans Serif;}}_x000D_
\viewkind4\uc1\pard\f0\fs17 Project updated to Newforma from teambinder\par_x000D_
}_x000D_
</t>
  </si>
  <si>
    <t>QA &amp; Cost controls- J Drive</t>
  </si>
  <si>
    <t>DN07462</t>
  </si>
  <si>
    <t>Our Lady of the Wayside small mechancial works</t>
  </si>
  <si>
    <t>€200,000.00</t>
  </si>
  <si>
    <t>Complete summer 2006</t>
  </si>
  <si>
    <t xml:space="preserve">{\rtf1\ansi\ansicpg1252\deff0\deflang2057{\fonttbl{\f0\fnil\fcharset0 MS Sans Serif;}}_x000D_
\viewkind4\uc1\pard\f0\fs17 Summer Works Refurbishment proejct_x000D_
\par }_x000D_
</t>
  </si>
  <si>
    <t>DN07466</t>
  </si>
  <si>
    <t>Generic Repeat Design for Primary Schools GRD</t>
  </si>
  <si>
    <t>€3,142,970</t>
  </si>
  <si>
    <t>Project began in 2003</t>
  </si>
  <si>
    <t>Sept 2005 Balgaddy completed but 2006 used for completion date as the GRD project extended.</t>
  </si>
  <si>
    <t>Balgaddy</t>
  </si>
  <si>
    <t>Co. Dublin</t>
  </si>
  <si>
    <t xml:space="preserve">{\rtf1\ansi\ansicpg1252\deff0\deflang2057{\fonttbl{\f0\fswiss\fprq2\fcharset0 Arial;}{\f1\froman\fprq2\fcharset0 Times New Roman;}{\f2\fnil\fcharset0 MS Sans Serif;}}_x000D_
\viewkind4\uc1\pard\lang6153\f0\fs20 New 16 classroom school in Balgaddy_x000D_
\par _x000D_
\par \lang2057\b\f1\fs24 Short listed for CIBSE Environmental Initiative of the year_x000D_
\par Short listed for the SEI Sustainability awards _x000D_
\par \lang6153\b0\f0\fs20 _x000D_
\par BDP were appointed to be part of the design team that developed twelve standard primary school designs that would be used in over 40 locations._x000D_
\par _x000D_
\par BDP took a pro-active role from the beginning of the project to assist with the study and design of the buildings concept drawings.  BDP assisted with the development of the passive solar strategies of the buildings form, the development of the natural lighting and ventilation scheme._x000D_
\par _x000D_
\par On completion of the optimisation of the passive elements of the school design, BDP proceed to develop the schools heating, water and lighting systems to ensure that the building runs with minimal maintenance requirements, quality user comfort, and minimal energy usage._x000D_
\par _x000D_
\par The schools heating system includes condensing, fully modulating, direct weather compensated boilers which reduce the energy use of the heating system by approximately 10% over traditional designs._x000D_
\par _x000D_
\par We have \b monitored\b0  \b the completed building\b0  for two years and have used the information gathered from this process to further improve our future school designs._x000D_
\par _x000D_
\par This project has provided use with a useful insight into modern primary school design in Ireland _x000D_
\par _x000D_
\par Monitored results from the first school constructed show that it has an impressive energy performance of 57kWh/m\super 2\nosupersub /yr_x000D_
\par _x000D_
\par \lang2057\f2\fs17 _x000D_
\par }_x000D_
</t>
  </si>
  <si>
    <t>Primary school GRD</t>
  </si>
  <si>
    <t>K:\M&amp;E\Powerpoint Presentations\Various images\COMPLETED PROJECTS\GRD Schools\Small\overview.jpg</t>
  </si>
  <si>
    <t>K:\M&amp;E\SUSTAINABILITY\ARTICLES of BDP Projects\CONSTRUCT IRELAND ARTICLES\GRD article in Construct Irleand.doc</t>
  </si>
  <si>
    <t>K:\M&amp;E\SUSTAINABILITY\COMPETITIONS AND AWARDS\SEI 2007\BÓC Final 2007 Category F - Excellence in building design questionnaire (GRD).doc</t>
  </si>
  <si>
    <t>DN07468</t>
  </si>
  <si>
    <t>CI _ Resitendtial/Comercial</t>
  </si>
  <si>
    <t>€3,600,000.00</t>
  </si>
  <si>
    <t>Galway City</t>
  </si>
  <si>
    <t>DN07473</t>
  </si>
  <si>
    <t>WIT - Carrignamore Development Plan</t>
  </si>
  <si>
    <t xml:space="preserve">Aug 03 Development plan report issued </t>
  </si>
  <si>
    <t>Old Kilmenaden Road, Waterford</t>
  </si>
  <si>
    <t xml:space="preserve">{\rtf1\ansi\ansicpg1252\deff0\deflang2057{\fonttbl{\f0\fnil\fcharset0 MS Sans Serif;}}_x000D_
\viewkind4\uc1\pard\f0\fs17 The development of a site servicing and sustainability strategy for a large, green field campus for Waterford Institute of Technology._x000D_
\par }_x000D_
</t>
  </si>
  <si>
    <t>DN07476</t>
  </si>
  <si>
    <t>Gaelscoil Monitoring</t>
  </si>
  <si>
    <t>Complete 2005 but finally signed off by the DES late 2007</t>
  </si>
  <si>
    <t>Co. Offaly</t>
  </si>
  <si>
    <t xml:space="preserve">{\rtf1\ansi\ansicpg1252\deff0\deflang2057{\fonttbl{\f0\fnil\fcharset0 MS Sans Serif;}}_x000D_
\viewkind4\uc1\pard\f0\fs17 The energy and environmental monitoring of the completed low energy research primary school._x000D_
\par }_x000D_
</t>
  </si>
  <si>
    <t>DN07477</t>
  </si>
  <si>
    <t>DIADT Digital Media Incubation Centre</t>
  </si>
  <si>
    <t>€ 3,898,000.00</t>
  </si>
  <si>
    <t>Early 2006 Started on site</t>
  </si>
  <si>
    <t>complete mid 2007</t>
  </si>
  <si>
    <t>Dun Laoghaire Institute of Art &amp; Design Technology, Kill Avenue, Dun Laoghaire</t>
  </si>
  <si>
    <t xml:space="preserve">{\rtf1\ansi\ansicpg1252\deff0\deflang2057{\fonttbl{\f0\fnil\fcharset0 MS Sans Serif;}}_x000D_
\viewkind4\uc1\pard\f0\fs17 This 1,100m\super 2\nosupersub  media incubation unit consists of several office and research sapces that support start up ventures associated with the Institute._x000D_
\par }_x000D_
</t>
  </si>
  <si>
    <t>\\dn-sfs1\Jobs\DN07477\Images\MOLA Sep 07\12AN2766.jpg</t>
  </si>
  <si>
    <t xml:space="preserve">Mss. Grace Weldon._x000D_
Direct Line: 214 4635_x000D_
Dun Laoghaire Institute of Art &amp; Design Technology_x000D_
Kill Avenue,_x000D_
Dun Laoghaire,_x000D_
Co. Dublin  _x000D_
Tel:    214 4600_x000D_
Fax:   214 4700_x000D_
_x000D_
</t>
  </si>
  <si>
    <t>DN07484</t>
  </si>
  <si>
    <t>Adamstown VEC Wood work</t>
  </si>
  <si>
    <t>€2,500.00</t>
  </si>
  <si>
    <t>Complete early 2006</t>
  </si>
  <si>
    <t>Adamstown</t>
  </si>
  <si>
    <t xml:space="preserve">{\rtf1\ansi\ansicpg1252\deff0\deflang2057{\fonttbl{\f0\fnil\fcharset0 MS Sans Serif;}}_x000D_
\viewkind4\uc1\pard\f0\fs17 Woodwork dust extract installation_x000D_
\par }_x000D_
</t>
  </si>
  <si>
    <t>DN07485</t>
  </si>
  <si>
    <t>Bunclody Voc. School Woodwork Extract</t>
  </si>
  <si>
    <t>€16,500.00</t>
  </si>
  <si>
    <t>Bunclody</t>
  </si>
  <si>
    <t>Co. Wexford</t>
  </si>
  <si>
    <t xml:space="preserve">{\rtf1\ansi\ansicpg1252\deff0\deflang2057{\fonttbl{\f0\fnil\fcharset0 MS Sans Serif;}}_x000D_
\viewkind4\uc1\pard\f0\fs17 Woodwork dust Extract system_x000D_
\par }_x000D_
</t>
  </si>
  <si>
    <t>DN07486</t>
  </si>
  <si>
    <t>Enniscorthy Voc. School Woodwork Extract</t>
  </si>
  <si>
    <t>€16,692.00</t>
  </si>
  <si>
    <t>Enniscorthy</t>
  </si>
  <si>
    <t xml:space="preserve">{\rtf1\ansi\ansicpg1252\deff0\deflang2057{\fonttbl{\f0\fnil\fcharset0 MS Sans Serif;}}_x000D_
\viewkind4\uc1\pard\f0\fs17 Dust Extract project_x000D_
\par }_x000D_
</t>
  </si>
  <si>
    <t>DN07494</t>
  </si>
  <si>
    <t>North Bay School, Killbarrack</t>
  </si>
  <si>
    <t>Summer 2004  Completed as a summer works</t>
  </si>
  <si>
    <t xml:space="preserve">{\rtf1\ansi\ansicpg1252\deff0\deflang2057{\fonttbl{\f0\fnil\fcharset0 MS Sans Serif;}}_x000D_
\viewkind4\uc1\pard\f0\fs17 Boiler house refurbishment_x000D_
\par }_x000D_
</t>
  </si>
  <si>
    <t>DN07496</t>
  </si>
  <si>
    <t>St. Joseph's School Fairview</t>
  </si>
  <si>
    <t>€33,720.00</t>
  </si>
  <si>
    <t>Fairview</t>
  </si>
  <si>
    <t xml:space="preserve">{\rtf1\ansi\ansicpg1252\deff0\deflang2057{\fonttbl{\f0\fnil\fcharset0 MS Sans Serif;}}_x000D_
\viewkind4\uc1\pard\f0\fs17 Lab refurbishment_x000D_
\par }_x000D_
</t>
  </si>
  <si>
    <t>DN07497</t>
  </si>
  <si>
    <t>Patrician College Science labs</t>
  </si>
  <si>
    <t>DN07498</t>
  </si>
  <si>
    <t>Kylemore Abbey</t>
  </si>
  <si>
    <t>DN07501</t>
  </si>
  <si>
    <t>MR09203 - e-Innovation Centre</t>
  </si>
  <si>
    <t>Sept 2005 the final simulation report was issued</t>
  </si>
  <si>
    <t xml:space="preserve">{\rtf1\ansi\ansicpg1252\deff0\deflang2057{\fonttbl{\f0\fnil\fcharset0 MS Sans Serif;}}_x000D_
\viewkind4\uc1\pard\f0\fs17 Provide simulation support on this project for the Manchester office\fs17 _x000D_
\par }_x000D_
</t>
  </si>
  <si>
    <t>Simulation</t>
  </si>
  <si>
    <t>DN07504</t>
  </si>
  <si>
    <t>BSkyB</t>
  </si>
  <si>
    <t>€110,000.00</t>
  </si>
  <si>
    <t>DN07505</t>
  </si>
  <si>
    <t>Cantrell &amp; Cochrane  DN Support to BT</t>
  </si>
  <si>
    <t>DN07508</t>
  </si>
  <si>
    <t>University of Ulster - Orpheus Building - BT06286</t>
  </si>
  <si>
    <t>DN07514</t>
  </si>
  <si>
    <t>Glanbia</t>
  </si>
  <si>
    <t>Closed approx 2004</t>
  </si>
  <si>
    <t>DN07516</t>
  </si>
  <si>
    <t>Scoil Chonglais, Baltinglass Dust Extraction</t>
  </si>
  <si>
    <t>€14,700.00</t>
  </si>
  <si>
    <t>Wickow</t>
  </si>
  <si>
    <t>DN07519</t>
  </si>
  <si>
    <t>West Meath Civic Offices</t>
  </si>
  <si>
    <t>Probably complete 2005</t>
  </si>
  <si>
    <t>Westmeath</t>
  </si>
  <si>
    <t xml:space="preserve">{\rtf1\ansi\ansicpg1252\deff0\deflang2057{\fonttbl{\f0\fnil\fcharset0 MS Sans Serif;}}_x000D_
\viewkind4\uc1\pard\f0\fs17 Competition for new Mullingar civic offices._x000D_
\par _x000D_
\par We were not sucsessful in this competition_x000D_
\par _x000D_
\par We were also appointed to give the client some advice on the winning bid.\fs17 _x000D_
\par }_x000D_
</t>
  </si>
  <si>
    <t>DN07522</t>
  </si>
  <si>
    <t>Kylemore College - lab refurb</t>
  </si>
  <si>
    <t>€112,000.00</t>
  </si>
  <si>
    <t>Tender</t>
  </si>
  <si>
    <t>Approximate completion date 2005</t>
  </si>
  <si>
    <t>Ballyfermot</t>
  </si>
  <si>
    <t xml:space="preserve">{\rtf1\fbidis\ansi\ansicpg1252\deff0\deflang2057{\fonttbl{\f0\fswiss\fprq2\fcharset0 Arial;}{\f1\fnil\fcharset0 MS Sans Serif;}}_x000D_
\viewkind4\uc1\pard\ltrpar\f0\fs20 The upgrading of the Mechanical and Electrical Services and Architectural Elements which shall include new laboratory benching for two Science Laboratories at Kylemore College Ballyfermot Dublin 12.  Existing Mechanical and Electrical Services and Benching shall be removed and disposed of in a safe manner to facilitate the upgrading of the laboratory\f1\fs17 _x000D_
\par }_x000D_
</t>
  </si>
  <si>
    <t>DN07523</t>
  </si>
  <si>
    <t>Rathmines Senior College</t>
  </si>
  <si>
    <t>DN07524</t>
  </si>
  <si>
    <t>Connolly House, North Strand</t>
  </si>
  <si>
    <t>North Strand</t>
  </si>
  <si>
    <t xml:space="preserve">{\rtf1\fbidis\ansi\ansicpg1252\deff0\deflang2057{\fonttbl{\f0\fnil\fcharset0 MS Sans Serif;}}_x000D_
\viewkind4\uc1\pard\ltrpar\f0\fs17 Refurbishment of existing heating system within existing school building, project completed over summer vacation period._x000D_
\par }_x000D_
</t>
  </si>
  <si>
    <t>DN07530</t>
  </si>
  <si>
    <t>Ballyshannon PE Hall</t>
  </si>
  <si>
    <t xml:space="preserve">{\rtf1\ansi\ansicpg1252\deff0\deflang2057{\fonttbl{\f0\fnil\fcharset0 MS Sans Serif;}}_x000D_
\viewkind4\uc1\pard\f0\fs17 New School sports hall based on teh DES prototype sports hall project, completed by BDP\fs17 _x000D_
\par }_x000D_
</t>
  </si>
  <si>
    <t>DN07532</t>
  </si>
  <si>
    <t>Waterford Civic Offices, Internal Room Ventilation</t>
  </si>
  <si>
    <t>€57,692.00</t>
  </si>
  <si>
    <t>Returned from tender April 2004</t>
  </si>
  <si>
    <t xml:space="preserve">{\rtf1\ansi\ansicpg1252\deff0\deflang2057{\fonttbl{\f0\fnil\fcharset0 MS Sans Serif;}}_x000D_
{\colortbl ;\red255\green0\blue0;}_x000D_
\viewkind4\uc1\pard\f0\fs17 BDP were asked to tender for the installation of cooling units in the Waterford County Council offices._x000D_
\par _x000D_
\par BDP produced a report, met with the client and then took the project to tender._x000D_
\par _x000D_
\par The \cf1\b client then claimed that they could not find a fee agreement on file \cf0\b0 and refuesd to pay our fees for the project.  We then carried out no further work on the project._x000D_
\par \fs17 _x000D_
\par }_x000D_
</t>
  </si>
  <si>
    <t>DN07533</t>
  </si>
  <si>
    <t>Navan PE Hall</t>
  </si>
  <si>
    <t xml:space="preserve">{\rtf1\ansi\ansicpg1252\deff0\deflang2057{\fonttbl{\f0\fnil\fcharset0 MS Sans Serif;}}_x000D_
\viewkind4\uc1\pard\f0\fs17 New sports hall baased on the DES prototype tdeeloped by BDP\fs17 _x000D_
\par }_x000D_
</t>
  </si>
  <si>
    <t>DN07536</t>
  </si>
  <si>
    <t>Birr Community School</t>
  </si>
  <si>
    <t xml:space="preserve">{\rtf1\ansi\ansicpg1252\deff0\deflang2057{\fonttbl{\f0\fnil\fcharset0 MS Sans Serif;}}_x000D_
\viewkind4\uc1\pard\f0\fs17 Replacement of existin gschool roof by BDP architects and associated high level elctrical services replacement inlcuding lightign and lighting control system\fs17 _x000D_
\par }_x000D_
</t>
  </si>
  <si>
    <t>DN07537</t>
  </si>
  <si>
    <t>Mount Carmel Summer Works</t>
  </si>
  <si>
    <t>DN07538</t>
  </si>
  <si>
    <t>Our Lady of Good Counsel, Killiney</t>
  </si>
  <si>
    <t>DN07540</t>
  </si>
  <si>
    <t>Arklow School Heating</t>
  </si>
  <si>
    <t xml:space="preserve">{\rtf1\fbidis\ansi\ansicpg1252\deff0\deflang2057{\fonttbl{\f0\fnil\fcharset0 MS Sans Serif;}}_x000D_
\viewkind4\uc1\pard\ltrpar\f0\fs17 Boiler refurbishment conducted over school summer vacation - further details see Dn07178_x000D_
\par }_x000D_
</t>
  </si>
  <si>
    <t>DN07544</t>
  </si>
  <si>
    <t>Valleymount School, Blessington</t>
  </si>
  <si>
    <t>DN07546</t>
  </si>
  <si>
    <t>New Manchester Office simulations MRZ009603</t>
  </si>
  <si>
    <t>DN07549</t>
  </si>
  <si>
    <t>Beaumont Hospital - Hepatology Extension</t>
  </si>
  <si>
    <t>€1,060,000.00</t>
  </si>
  <si>
    <t>On site</t>
  </si>
  <si>
    <t>Architect issued phase 1 Practical Completion on 23.05.08</t>
  </si>
  <si>
    <t>started on site approx Oct 2008</t>
  </si>
  <si>
    <t xml:space="preserve">{\rtf1\ansi\ansicpg1252\deff0\deflang2057{\fonttbl{\f0\fswiss\fprq2\fcharset0 Arial;}{\f1\fnil\fcharset0 MS Sans Serif;}}_x000D_
\viewkind4\uc1\pard\f0\fs20 The development consists of a new building construction and refurbishment of an existing area. _x000D_
\par _x000D_
\par The new building consists of six consultation rooms, nursing office, administration office, reception area filing and store rooms. Facilities also include staff W.C. and shower room, public W.C. and kitchenette._x000D_
\par _x000D_
\par The refurbishment of the existing area includes the relocation of toilet facilities, conversion of store room and toilets into offices, and the renovation of existing offices into seminar/meeting rooms._x000D_
\par The development requires the works to be carried out on a phased bases as the adjacent areas are active 24 hours as day, and the integration of mechanical and electrical services carefully planned._x000D_
\par \f1\fs17 _x000D_
\par }_x000D_
</t>
  </si>
  <si>
    <t>DN07550</t>
  </si>
  <si>
    <t>Omagh  Arts Centre - BT05894</t>
  </si>
  <si>
    <t>Omagh</t>
  </si>
  <si>
    <t>DN07551</t>
  </si>
  <si>
    <t>Springfield Fab 2 Extension - BT06309</t>
  </si>
  <si>
    <t>DN07552</t>
  </si>
  <si>
    <t>Roscommon County Hospital -</t>
  </si>
  <si>
    <t>DN07553</t>
  </si>
  <si>
    <t>Carlow National School</t>
  </si>
  <si>
    <t>€4,425,608.9</t>
  </si>
  <si>
    <t>Anthony Kenny</t>
  </si>
  <si>
    <t>16/01/06 Started on site</t>
  </si>
  <si>
    <t xml:space="preserve">{\rtf1\ansi\ansicpg1252\deff0\deflang2057{\fonttbl{\f0\froman\fprq2\fcharset0 Times New Roman;}{\f1\fnil\fcharset0 MS Sans Serif;}}_x000D_
\viewkind4\uc1\pard\f0\fs24 16 Class GRD (Generic Repeat Design) school.  _x000D_
\par \f1\fs17 _x000D_
\par }_x000D_
</t>
  </si>
  <si>
    <t>J:\DN07553\Images\171106\DSCN2579.JPG</t>
  </si>
  <si>
    <t>ex vat incl site works</t>
  </si>
  <si>
    <t>DN07555</t>
  </si>
  <si>
    <t>Printing Press, Mahon Point</t>
  </si>
  <si>
    <t>€8,000,000.00</t>
  </si>
  <si>
    <t>Complete 2006</t>
  </si>
  <si>
    <t>Mahon Point</t>
  </si>
  <si>
    <t xml:space="preserve">{\rtf1\fbidis\ansi\ansicpg1252\deff0\deflang2057{\fonttbl{\f0\fswiss\fprq2\fcharset0 Arial;}{\f1\fnil\fcharset0 MS Sans Serif;}}_x000D_
\viewkind4\uc1\pard\ltrpar\qj\b\f0\fs20 NEW PRINGTING PRESS, CORK_x000D_
\par \b0 Design and supervision of Engineering Services for New Printing Press, M&amp;E value \'803m_x000D_
\par _x000D_
\par BDP Professions:  M&amp;E / C&amp;S_x000D_
\par \pard\ltrpar Area:  4100m2\f1\fs17 _x000D_
\par }_x000D_
</t>
  </si>
  <si>
    <t>J:\DN07555\Images\Prof Photos\600 pix\209.jpg</t>
  </si>
  <si>
    <t>DN07558</t>
  </si>
  <si>
    <t>University of Ulster Redevelopment - BT06299</t>
  </si>
  <si>
    <t>DN07559</t>
  </si>
  <si>
    <t>KM System Development - CE06329</t>
  </si>
  <si>
    <t>DN07566</t>
  </si>
  <si>
    <t>Mullingar Town Centre Development</t>
  </si>
  <si>
    <t>€80,000,000.00</t>
  </si>
  <si>
    <t>Norman Bennie</t>
  </si>
  <si>
    <t>Stephen Gallagher</t>
  </si>
  <si>
    <t>2005 Project started</t>
  </si>
  <si>
    <t>The project was shelved by the developer</t>
  </si>
  <si>
    <t>DN07567</t>
  </si>
  <si>
    <t>Dublin VEC Summer Works</t>
  </si>
  <si>
    <t>DN07569</t>
  </si>
  <si>
    <t>John Bosco National School</t>
  </si>
  <si>
    <t>DN07570</t>
  </si>
  <si>
    <t>SEI Design Study Example - Wicklow Offices</t>
  </si>
  <si>
    <t xml:space="preserve">{\rtf1\fbidis\ansi\ansicpg1252\deff0\deflang2057{\fonttbl{\f0\fswiss\fprq2\fcharset0 Arial;}{\f1\fnil\fcharset0 MS Sans Serif;}{\f2\fnil\fcharset0 Arial;}}_x000D_
\viewkind4\uc1\pard\ltrpar\sa200\sl276\slmult1\f0\fs20 Refurbishment and modification program including an energy study, energy development plan, and building extension.\par_x000D_
\par_x000D_
BDP carried out a full energy study of the existing Wicklow County Council offices and through the use of advanced simulations, developed a strategy for significantly improving the internal environment within the offices without the need for energy intensive air conditioning.\par_x000D_
\f1\fs17\par_x000D_
\f0\fs20 The following energy-saving measures were identified and auctioned:\par_x000D_
\bullet  Convert the building\rquote s heating system from oil to gas.\par_x000D_
\bullet  Install local room heating controls (thermostatic radiator valves)\par_x000D_
\bullet  Install light level and occupant detection controls on the lighting. \par_x000D_
\bullet  Replace light fittings in the older section of the building with high-frequency fittings.\par_x000D_
\bullet  Convert water heating from a local electric to a centralised gas system.\par_x000D_
\bullet  Replace old single glazing with double glazing.\par_x000D_
\bullet  Install additional window opening sections in both the old and the new parts of the building, ensuring a sufficient vertical distance between the openings to maximise the ventilation rate. This avoided the need to add air conditioning.\par_x000D_
\bullet  Production of an environmental management plan that detailed Wicklow County Council Offices\rquote  energy consumption, environmental purchasing policy and waste strategies. \par_x000D_
\pard\ltrpar\f2\fs20\par_x000D_
}_x000D_
</t>
  </si>
  <si>
    <t>DN07572</t>
  </si>
  <si>
    <t>Beaumont Hospital - St. Jospeh's, Raheny Refurbishment</t>
  </si>
  <si>
    <t>DN07576</t>
  </si>
  <si>
    <t>Sligo Ward Refurbishment</t>
  </si>
  <si>
    <t>DN07581</t>
  </si>
  <si>
    <t>St. Joseph's Hospital, Dungarvan</t>
  </si>
  <si>
    <t>16/01/2007</t>
  </si>
  <si>
    <t>€8,992,431.00</t>
  </si>
  <si>
    <t>223703</t>
  </si>
  <si>
    <t>Due for completion the end of October</t>
  </si>
  <si>
    <t>10/07/06 Stage 3 Issued</t>
  </si>
  <si>
    <t>28/05/2007 - Start on site</t>
  </si>
  <si>
    <t>Our involvement started approx Jan 2004</t>
  </si>
  <si>
    <t>Project Completed May 2009, delays due to main contractors attendance on site being insufficient.</t>
  </si>
  <si>
    <t xml:space="preserve">Waterford Regional Hospital_x000D_
Dunmore Road, _x000D_
Waterford._x000D_
</t>
  </si>
  <si>
    <t xml:space="preserve">{\rtf1\ansi\ansicpg1252\deff0\deflang2057{\fonttbl{\f0\fnil\fcharset0 MS Sans Serif;}{\f1\fswiss\fprq2\fcharset0 Arial Narrow;}}_x000D_
\viewkind4\uc1\pard\f0\fs17 Existing building is 1200 m2 ours is 2100m2  - total 3300_x000D_
\par _x000D_
\par \pard\qj\lang6153\f1\fs24 32 bed community hospital and 15 place day hospital with an area of 2,100m\super 2\nosupersub ._x000D_
\par _x000D_
\par The building contains naturally lit and naturally ventilated spaces. The main heating system includes the use of a biomass boiler which was carefully optimised to feed an existing building in addition to the new building so that its payback period was reduced to five years._x000D_
\par _x000D_
\par \pard Also of note is the innovative controls strategy developed by Chris which reduces the buildings energy usage while minimising user interaction requirements.\lang2057\f0\fs17 _x000D_
\par }_x000D_
</t>
  </si>
  <si>
    <t>J:\DN07581\Images\Dungarvin Hosp 3D 270406.jpg</t>
  </si>
  <si>
    <t xml:space="preserve">George O’Neill_x000D_
Waterford Regional Hospital_x000D_
Dunmore Road, _x000D_
Waterford._x000D_
051 – 842 409_x000D_
</t>
  </si>
  <si>
    <t>DN07582</t>
  </si>
  <si>
    <t>DES Energy Awareness Campaign</t>
  </si>
  <si>
    <t xml:space="preserve">{\rtf1\ansi\ansicpg1252\deff0\deflang2057{\fonttbl{\f0\froman\fprq2\fcharset0 Times New Roman;}{\f1\fnil\fcharset0 MS Sans Serif;}}_x000D_
{\colortbl ;\red0\green0\blue255;}_x000D_
\viewkind4\uc1\pard\f0\fs24 This project is a collection of energy related research tasks relating to the GRD schools project:_x000D_
\par _x000D_
\par I\cf1\b nternet based energy leaghe_x000D_
\par Interactive building Opperation and Maintenance Manuals_x000D_
\par BREEAM framework analysis_x000D_
\par Generic interactive education (touch screen)_x000D_
\par Monitoring of the first of the GRD schools for one year\f1\fs17 _x000D_
\par }_x000D_
</t>
  </si>
  <si>
    <t>DN07583</t>
  </si>
  <si>
    <t>WIT Campus Controls Integreation</t>
  </si>
  <si>
    <t>8300</t>
  </si>
  <si>
    <t>Feb 2005 : Survey report issued although we are providing ongoing assistance in the development of the web based controls installation.</t>
  </si>
  <si>
    <t>Waterford Institute of Technology, Cork Road, Waterford</t>
  </si>
  <si>
    <t xml:space="preserve">{\rtf1\ansi\ansicpg1252\deff0\deflang2057{\fonttbl{\f0\froman\fprq2\fcharset0 Times New Roman;}{\f1\fnil\fcharset0 MS Sans Serif;}}_x000D_
{\colortbl ;\red0\green0\blue0;}_x000D_
\viewkind4\uc1\pard\cf1\f0\fs24 This project invovled advising the client on the developement of a web based building controls strategy for all of their buildings._x000D_
\par _x000D_
\par The project aslo included carrying our a full energy survey of all 13 of the buildings contained in WIT and advisign of strategies that could be undertaken to improve their energy performance.\cf0\f1\fs17 _x000D_
\par }_x000D_
</t>
  </si>
  <si>
    <t>01/03/2009</t>
  </si>
  <si>
    <t>39</t>
  </si>
  <si>
    <t>DN07584</t>
  </si>
  <si>
    <t>Marks Alley School</t>
  </si>
  <si>
    <t>Early 2006 Practical completion achieved</t>
  </si>
  <si>
    <t>DN07587</t>
  </si>
  <si>
    <t>Sligo Orthodonthic - Extension</t>
  </si>
  <si>
    <t>DN07588</t>
  </si>
  <si>
    <t>Connolly Barracks - The Curragh</t>
  </si>
  <si>
    <t>P1007564</t>
  </si>
  <si>
    <t>Galway Racecourse Kilanin Stand</t>
  </si>
  <si>
    <t>€17,281,236.00</t>
  </si>
  <si>
    <t>06/01/05 Stage 4 issued</t>
  </si>
  <si>
    <t>July 2007  Completed</t>
  </si>
  <si>
    <t xml:space="preserve">{\rtf1\ansi\ansicpg1252\deff0\deflang2057{\fonttbl{\f0\fswiss\fprq2\fcharset0 Arial;}{\f1\fnil\fcharset0 MS Sans Serif;}}_x000D_
\viewkind4\uc1\pard\f0\fs22 This 6000m\super 2\nosupersub  new stand for Galway racecourse was completed on time for the 2007 summer race season._x000D_
\par _x000D_
\par The main circulation and viewing areas are largely naturally ventilated, minimising energy consumption while providing a comfortable internal environment.  Monitoring of the space temperatures during the race week has demonstrated that the strategy was highly successful in maintaining comfortable air temperatures despite the large internal gains and solar gains from the south facing glazing that opens onto the race track._x000D_
\par _x000D_
\par BDP's design includes an innovative de-misting system that successfully keeps the main viewing glazing free from condensation through the use of discrete jets which wash the glazing with de-humidified air._x000D_
\par \f1\fs17 _x000D_
\par }_x000D_
</t>
  </si>
  <si>
    <t>J:\P1007564\Images\07-03-30\P3300059.JPG</t>
  </si>
  <si>
    <t>Mr John Moloney_x000D_
Manager_x000D_
Galway Racecourse_x000D_
Ballybrit_x000D_
Galway_x000D_
091-753870</t>
  </si>
  <si>
    <t>P1007574</t>
  </si>
  <si>
    <t>Special Care Baby Unit - Portiuncula SCBU</t>
  </si>
  <si>
    <t>Portiuncula Hospital, Ballinasloe</t>
  </si>
  <si>
    <t xml:space="preserve">{\rtf1\ansi\ansicpg1252\deff0\deflang2057{\fonttbl{\f0\fnil\fcharset0 MS Sans Serif;}}_x000D_
\viewkind4\uc1\pard\f0\fs17 Conversion of existing offices to new special care baby unit located in Portiuncula Hospital.  Accommodation for special care, high dependancy and intensive care.  Unit fully air conditioned with control of internal conditions via close control units._x000D_
\par }_x000D_
</t>
  </si>
  <si>
    <t>P5000000</t>
  </si>
  <si>
    <t>Kylemore College Dust Extraction</t>
  </si>
  <si>
    <t>Kylemore College, Ballyfremot</t>
  </si>
  <si>
    <t xml:space="preserve">{\rtf1\ansi\ansicpg1252\deff0\deflang2057{\fonttbl{\f0\froman\fprq2\fcharset0 Times New Roman;}{\f1\fnil\fcharset0 MS Sans Serif;}}_x000D_
{\colortbl ;\red0\green0\blue0;}_x000D_
\viewkind4\uc1\pard\cf1\f0\fs24 Woodwork machinery dust extract system installation\cf0\f1\fs17 _x000D_
\par }_x000D_
</t>
  </si>
  <si>
    <t>P5000002</t>
  </si>
  <si>
    <t>Rutland Street Primary &amp; Pre-School - Current</t>
  </si>
  <si>
    <t>€7,048,000.00</t>
  </si>
  <si>
    <t>156584</t>
  </si>
  <si>
    <t>Remaining Area PC</t>
  </si>
  <si>
    <t>project begain approx 2001</t>
  </si>
  <si>
    <t>due for completion spring 2008</t>
  </si>
  <si>
    <t>Due for completion October 08- Elecno electrical contractors went bust in July 2007. main contractor Collen construction took on domestic electrical HES to finsh building</t>
  </si>
  <si>
    <t>Practical completion issued 22/12/2008 with exclusions of GP hall, disbaled refuge, lift installtion, lightening protection, ansul system, amin entrance ceiling, access control A05, third floor play area</t>
  </si>
  <si>
    <t>Final Practical Completion Cert 24th February 2009</t>
  </si>
  <si>
    <t>End of defects 24th February 2010-</t>
  </si>
  <si>
    <t>Rutland Street, Dublin 1</t>
  </si>
  <si>
    <t xml:space="preserve">{\rtf1\ansi\ansicpg1252\deff0\deflang2057{\fonttbl{\f0\fswiss\fprq2\fcharset0 Arial;}{\f1\fnil\fcharset0 MS Sans Serif;}}_x000D_
\viewkind4\uc1\pard\lang6153\f0\fs20 New 4,000m\super 2\nosupersub  inner city pre-school and primary school.\par_x000D_
\par_x000D_
This school offered particular challenges as an inner city school on a relatively small site.\par_x000D_
\par_x000D_
This school is an excellent example of how BDP's extensive school experience and pro-active approach was of benefit to the deign team.  BDP arranged a team visit to the Hampton Gurney primary school in London which was a useful example of a modern, recently completed inner city primary school.\par_x000D_
\par_x000D_
BDP worked closely with the design team to analyse the buildings form, and develop the daylight and natural ventilation schemes prior to designing the buildings services.\par_x000D_
\par_x000D_
Particular attention was paid to producing a school with a low energy consumption and ease of maintenance.\par_x000D_
\par_x000D_
A full kitchen and servery area was included (which is unusal for a primary school) and there is a covered playground on the roof which appers to be another first in this country. \par_x000D_
\lang2057\f1\fs17\par_x000D_
}_x000D_
</t>
  </si>
  <si>
    <t>J:\P5000002\Images\09-01-16 (Electrical Snag)\CIMG7559.JPG</t>
  </si>
  <si>
    <t>01/08/08</t>
  </si>
  <si>
    <t>-2</t>
  </si>
  <si>
    <t>19946S</t>
  </si>
  <si>
    <t>P5000003</t>
  </si>
  <si>
    <t>Beaumont Hospital - Boiler Replacement</t>
  </si>
  <si>
    <t>P5000004</t>
  </si>
  <si>
    <t>Beaumont Hospital - MRI INSTALLATION</t>
  </si>
  <si>
    <t>P5000005</t>
  </si>
  <si>
    <t>SEI  New Office Developmet</t>
  </si>
  <si>
    <t>P5000007</t>
  </si>
  <si>
    <t>UCC Social Science Building (Mardyke Gardens)</t>
  </si>
  <si>
    <t>€1,500,000.00</t>
  </si>
  <si>
    <t>Dublin CC</t>
  </si>
  <si>
    <t>P5000008</t>
  </si>
  <si>
    <t>Colaise Dhulaigh - Refurb of Home Economics</t>
  </si>
  <si>
    <t>P5000017</t>
  </si>
  <si>
    <t>St. Nicholas of Myra Summer Works</t>
  </si>
  <si>
    <t>P5000019</t>
  </si>
  <si>
    <t>Belfast Schools</t>
  </si>
  <si>
    <t>na</t>
  </si>
  <si>
    <t>Complete - Bid</t>
  </si>
  <si>
    <t>P5000022</t>
  </si>
  <si>
    <t>Roscommon County Hospital Outpatients Dept</t>
  </si>
  <si>
    <t>P5000024</t>
  </si>
  <si>
    <t>Carrignamore House Redevelopment</t>
  </si>
  <si>
    <t>P5000025</t>
  </si>
  <si>
    <t>Wicklow County Council Offices</t>
  </si>
  <si>
    <t>Our commission began in 2003</t>
  </si>
  <si>
    <t>Works complete 2006</t>
  </si>
  <si>
    <t>Station Road</t>
  </si>
  <si>
    <t xml:space="preserve">{\rtf1\ansi\ansicpg1252\deff0\deflang2057{\fonttbl{\f0\fswiss\fprq2\fcharset0 Arial;}{\f1\froman\fprq2\fcharset0 Times New Roman;}{\f2\fnil\fcharset0 MS Sans Serif;}}_x000D_
\viewkind4\uc1\pard\b\f0\fs20 Wicklow County Council Offices\b0 _x000D_
\par _x000D_
\par Refurbishment and modification program including an energy study, energy development plan, and small building extension._x000D_
\par \f1\fs24 BDP carried out a full energy study of the existing Wicklow County Council offices and through the use of advanced simulations, developed a strategy for significantly improving the internal environment within the offices without the need for energy intensive air conditioning._x000D_
\par _x000D_
\par A number of energy saving strategies were applied to the existing building, dramatically improving internal comfort and reducing the buildings energy consumption._x000D_
\par \f2\fs17 _x000D_
\par }_x000D_
</t>
  </si>
  <si>
    <t>\\dn-sfs1\Workgrp\M&amp;E\SUSTAINABILITY\ARTICLES of BDP Projects\CONSTRUCT IRELAND ARTICLES\Wiclow County Council Construct Ireland Aug 07.pdf</t>
  </si>
  <si>
    <t>\\dn-sfs1\Workgrp\M&amp;E\SUSTAINABILITY\FLY SHEETS AND CASE STUDIES\Wicklow Case Study.pdf</t>
  </si>
  <si>
    <t>P5000026</t>
  </si>
  <si>
    <t>Criminal Courts Complex</t>
  </si>
  <si>
    <t>P5000036</t>
  </si>
  <si>
    <t>Inchicore National School</t>
  </si>
  <si>
    <t>28/06/06</t>
  </si>
  <si>
    <t>2,177,474.10</t>
  </si>
  <si>
    <t>The project started probably some time in 2005 but the exact date is not known_x000D_
Stage 3 Submission 09/03/07</t>
  </si>
  <si>
    <t>04/04/07  Stage three approval received_x000D_
_x000D_
23/06/08 Submitted stage 4/5 design to QS to forward to PM to forward to DOE</t>
  </si>
  <si>
    <t>DES instruct design team to proceed under new form of contract 3rd March 2009Cordil started on site 23rd June 2010_x000D_
_x000D_
DES (Blanaid Sheil) approved BDPs costs of 4500 for DAC changes. 09/08/10_x000D_
_x000D_
DES accepted the sateg 2b docs on 10th September 2009</t>
  </si>
  <si>
    <t>1th May 2011- Cordil give notice that works are suspended for 2 weeks pending a possible cash injection. Cordil went bust. Project retendered via bondsman in October. Approval given by DES on 15/12/2011 for LOI to issue to Midland. LOI issued 20/12/201</t>
  </si>
  <si>
    <t>0th Dec 2011 letter of intent issued today to Midland Construction. Revised Project value €1,867,900.59 _x000D_
8th Feb 2012- DES advised that the Bondsman will not be completing the works. project to be retendered. BDP to follow up on fees outstanding fees.</t>
  </si>
  <si>
    <t xml:space="preserve">LOI issued to McCanns on 3rd July 2012. BDP still waitng for fees agreement on GCCC. DO NOT ATTEND SITE UNTIL AGREED. DB Following up with TS. Fees on retender paid. McCanns  withdrew tender. Report on 2nd MEAT Tenderer submiteed7/09/12. </t>
  </si>
  <si>
    <t xml:space="preserve">K&amp;J townmore LOA 11/10/12. Kickoff meeting held 22/10/12. ST runnin job through site. Phase 1 (new extension) handover sept 2013, phase 2 (existing school handover)- Mya 2014, phase 3- sept 2014. </t>
  </si>
  <si>
    <t>Inchicore National School, Sarsfield Road, Dublin 10</t>
  </si>
  <si>
    <t xml:space="preserve">{\rtf1\ansi\ansicpg1252\deff0\deflang2057{\fonttbl{\f0\fnil\fcharset0 Arial;}{\f1\fswiss\fprq2\fcharset0 Arial;}{\f2\fnil\fcharset0 MS Sans Serif;}}_x000D_
\viewkind4\uc1\pard\b\fs20 Inchicore National School_x000D_
\par \b0\f1 _x000D_
\par Six classroom extension to an existing school as a stand alone building and a refurbishment of the existing school building.  A particular challenge of this school is it's inner city location near a busy road, requiring attention to detail of the acoustic design of the ventilation system.  The refurbishment of the existing school requires particular attention to the careful co-ordination of services with the structure._x000D_
\par _x000D_
\par The new school structure contains large areas of exposed mass and required some significant co-ordination of services to maintain the architectural image._x000D_
\par _x000D_
\par Total project area of 1,634m\super 2\nosupersub ._x000D_
\par \f2\fs17 _x000D_
\par }_x000D_
</t>
  </si>
  <si>
    <t>J:\P5000036\Images\Presentation1.jpg</t>
  </si>
  <si>
    <t>http://www.inchicorens.ie/</t>
  </si>
  <si>
    <t xml:space="preserve">{\rtf1\ansi\ansicpg1252\deff0\deflang2057{\fonttbl{\f0\fnil\fcharset0 MS Sans Serif;}}_x000D_
{\colortbl ;\red255\green0\blue0;\red0\green0\blue0;}_x000D_
\viewkind4\uc1\pard\cf1\f0\fs17 Updated 13/08/2010\par_x000D_
\cf2 There are significant risks on this project.\par_x000D_
\par_x000D_
1) The project has returned from tender at approximatelly 1M below the expected figure and it is inevitable that the contractor will attempt to make savings.\line\par_x000D_
2)  The project architect has limited experinece in school design and may attempt to modify the design while on site.\par_x000D_
\par_x000D_
\cf1 Mitigations\par_x000D_
\par_x000D_
\cf2 1) It is vital that we are firm with the contractor from the start of the project\par_x000D_
2) It is vital that we refuse to make any changes to the already agreed design without fees being agreed.\par_x000D_
3) We must minimise our costs by avoidign site attendance at the early stages of the project.\cf0\par_x000D_
}_x000D_
</t>
  </si>
  <si>
    <t xml:space="preserve">ex vat  </t>
  </si>
  <si>
    <t>Pat Fogarty_x000D_
Department of Education and Skills_x000D_
Portlaoise Road_x000D_
Tullamore_x000D_
Co. Offaly</t>
  </si>
  <si>
    <t xml:space="preserve">{\rtf1\ansi\ansicpg1252\deff0\deflang2057{\fonttbl{\f0\fnil\fcharset0 Microsoft Sans Serif;}}_x000D_
\viewkind4\uc1\pard\f0\fs17 Project PST files are used for the storage of email.\par_x000D_
QDMS was used for document issues as this was a very old project.\par_x000D_
Future document issues are unlikly to occur\par_x000D_
}_x000D_
</t>
  </si>
  <si>
    <t>The stage 3 report effectively forms the project brief and is in the reports folder</t>
  </si>
  <si>
    <t>/minutes</t>
  </si>
  <si>
    <t xml:space="preserve">{\rtf1\ansi\ansicpg1252\deff0\deflang2057{\fonttbl{\f0\fnil\fcharset0 Microsoft Sans Serif;}}_x000D_
\viewkind4\uc1\pard\f0\fs17 This project has been moved to newforma since project re-commencement on site. Previously all communications were via email with email stored in PST's files\par_x000D_
\par_x000D_
}_x000D_
</t>
  </si>
  <si>
    <t>/qa/ folder</t>
  </si>
  <si>
    <t>20139T</t>
  </si>
  <si>
    <t>P5000038</t>
  </si>
  <si>
    <t>Patrician College Summer Dust extract</t>
  </si>
  <si>
    <t>P5000039</t>
  </si>
  <si>
    <t>NUIG Creche</t>
  </si>
  <si>
    <t>Phase 2 Start date 11-02-08</t>
  </si>
  <si>
    <t>Phase 2 programme Completion date11-12-08</t>
  </si>
  <si>
    <t xml:space="preserve">{\rtf1\ansi\ansicpg1252\deff0\deflang2057{\fonttbl{\f0\fnil\fcharset0 MS Sans Serif;}}_x000D_
\viewkind4\uc1\pard\f0\fs17 Small creche building for NUIG\par_x000D_
}_x000D_
</t>
  </si>
  <si>
    <t>J:\P5000039\Images\photos\060703\P7030004.JPG</t>
  </si>
  <si>
    <t xml:space="preserve">{\rtf1\ansi\ansicpg1252\deff0\deflang2057{\fonttbl{\f0\fnil\fcharset0 MS Sans Serif;}}_x000D_
{\colortbl ;\red255\green0\blue0;\red0\green0\blue0;\red0\green0\blue255;}_x000D_
\viewkind4\uc1\pard\cf1\b\f0\fs17 Risk: \cf2\b0 The project program has been extended repeatedly, and the project manager associated with the project has required exessive attendances from BDP.  The project fee has been cosumed before site stage has begun._x000D_
\par \cf3\b Mittigation:\cf2\b0  Only one engineer to attend site meetings, minimise our work, refuse to take on any tasks outside our scope of opperation\cf0 _x000D_
\par }_x000D_
</t>
  </si>
  <si>
    <t>P5000040</t>
  </si>
  <si>
    <t>Forster Street Galway</t>
  </si>
  <si>
    <t>€5,000,000.00</t>
  </si>
  <si>
    <t>Jan 2006 Started on site</t>
  </si>
  <si>
    <t>Apr 2007 Practical completion achieved</t>
  </si>
  <si>
    <t>Fiorster Street, Galway City</t>
  </si>
  <si>
    <t xml:space="preserve">{\rtf1\ansi\ansicpg1252\deff0\deflang2057{\fonttbl{\f0\froman\fprq2\fcharset0 Times New Roman;}{\f1\fnil\fcharset0 MS Sans Serif;}}_x000D_
{\colortbl ;\red255\green0\blue0;\red0\green0\blue0;\red0\green0\blue255;}_x000D_
\viewkind4\uc1\pard\cf1\b\f0\fs24 Forster Street \cf0\b0 is a mixed deve\cf2 lopm\cf0 ent containing two retail units on the ground floor, two offices on the first floor, and 4 apartments.\par_x000D_
It is a low energy development featuring \cf3 triple glazing\cf0 , \cf3 heat recovery ventilation\cf0 , \cf3 solar thermal panels\cf0 , and a closed loop vertical \cf3 heat pump\cf0\par_x000D_
\f1\fs17\par_x000D_
}_x000D_
</t>
  </si>
  <si>
    <t>Mixed</t>
  </si>
  <si>
    <t>\\dn-sfs1\Workgrp\M&amp;E\Powerpoint Presentations\Various images\COMPLETED PROJECTS\Forster Street\graphic.jpg</t>
  </si>
  <si>
    <t>K:\M&amp;E\SUSTAINABILITY\ARTICLES of BDP Projects\CONSTRUCT IRELAND ARTICLES\Construct Ireland June 07 Forster street.pdf</t>
  </si>
  <si>
    <t>K:\M&amp;E\SUSTAINABILITY\FLY SHEETS AND CASE STUDIES\Forster street fly sheet.doc</t>
  </si>
  <si>
    <t xml:space="preserve"> our consultancy fee was €33,787 ex vat</t>
  </si>
  <si>
    <t xml:space="preserve">Mr. Oliver Hynes_x000D_
37 to 39 Forster Street,_x000D_
Off Eyre Square._x000D_
Galway._x000D_
Mobile: 087 7847737_x000D_
Email: ollihynes@gmail.com_x000D_
</t>
  </si>
  <si>
    <t>P5000041</t>
  </si>
  <si>
    <t>Nursing home &amp; Healing Centre</t>
  </si>
  <si>
    <t xml:space="preserve">{\rtf1\ansi\ansicpg1252\deff0\deflang2057{\fonttbl{\f0\fnil\fcharset0 MS Sans Serif;}}_x000D_
\viewkind4\uc1\pard\f0\fs17 Large community care development.  This project was placed on hold while still at stage 1 and we are currently assuming that it will not proceed in the future._x000D_
\par }_x000D_
</t>
  </si>
  <si>
    <t>P5000042</t>
  </si>
  <si>
    <t>Smurfit News Press, Kells</t>
  </si>
  <si>
    <t>Completed 11/02/2010</t>
  </si>
  <si>
    <t xml:space="preserve">Kells_x000D_
</t>
  </si>
  <si>
    <t xml:space="preserve">{\rtf1\ansi\ansicpg1252\deff0\deflang2057{\fonttbl{\f0\fnil\fcharset0 MS Sans Serif;}}_x000D_
\viewkind4\uc1\pard\f0\fs17 BDP designed the Printing Facility at Kells in 2000. (Architects, M&amp;E, C&amp;S, Landscaping) In 2008 BDP were commisioned to design building modifications to accomodate a new Man Roland Press in place of one of the old KBA Presses. This involved the provision of new foundations which involved major civil works, as well as minor modifications to the building and its services.\par_x000D_
}_x000D_
</t>
  </si>
  <si>
    <t xml:space="preserve">{\rtf1\ansi\ansicpg1252\deff0\deflang2057{\fonttbl{\f0\fnil\fcharset0 MS Sans Serif;}}_x000D_
\viewkind4\uc1\pard\f0\fs17 see Project Handbook in J Folder\par_x000D_
}_x000D_
</t>
  </si>
  <si>
    <t>ALL</t>
  </si>
  <si>
    <t>Botanic Road Building Survey Report 2010_x000D_
Kells Plant Survey Report 2010</t>
  </si>
  <si>
    <t xml:space="preserve">{\rtf1\ansi\ansicpg1252\deff0\deflang2057{\fonttbl{\f0\fnil\fcharset0 Microsoft Sans Serif;}}_x000D_
\viewkind4\uc1\pard\f0\fs17 see Project Handbook in J Folder\par_x000D_
}_x000D_
</t>
  </si>
  <si>
    <t xml:space="preserve">{\rtf1\ansi\ansicpg1252\deff0\deflang2057{\fonttbl{\f0\fnil\fcharset0 Microsoft Sans Serif;}}_x000D_
\viewkind4\uc1\pard\f0\fs17 see Project handbook in J Folder\par_x000D_
}_x000D_
</t>
  </si>
  <si>
    <t>P5000045</t>
  </si>
  <si>
    <t>Newcourt &amp; St. Andrews Schools</t>
  </si>
  <si>
    <t>€5,053,487.91</t>
  </si>
  <si>
    <t>105,503</t>
  </si>
  <si>
    <t>Nov 06 Stage 3 Issued</t>
  </si>
  <si>
    <t>Go to tender at the end of May 2007</t>
  </si>
  <si>
    <t>13-05-2008 - Letter from DES J:\P5000045\Letters\Client\08-05-13 - Contract letter\1408_001.pdf</t>
  </si>
  <si>
    <t>31/08/2009 the project was completed</t>
  </si>
  <si>
    <t>Summer 2010; additional works to the exisitng section of the building that were taken out as a cost saving went ahead, funded by the client.</t>
  </si>
  <si>
    <t xml:space="preserve">{\rtf1\ansi\ansicpg1252\deff0\deflang2057{\fonttbl{\f0\fnil\fcharset0 Arial;}{\f1\fswiss\fprq2\fcharset0 Arial;}{\f2\fnil\fcharset0 MS Sans Serif;}}_x000D_
\viewkind4\uc1\pard\b\fs20 Newcourt and St. Andrews Schools\par_x000D_
\b0\f1\par_x000D_
Refurbishment of existing 1,800m\super 2\nosupersub  and new build of 1,900m\super 2\nosupersub  extension to the existing school building. \par_x000D_
\par_x000D_
The new extension included relocation of switch room and boiler house, refurbishment of existing areas including GP hall and classrooms, and demolition and reconstruction of the central administration area. Complicated phasing of works was required to maintain functionality of the existing school and access.\par_x000D_
\par_x000D_
School is part secondary but predominantly primary.\f2\fs17\par_x000D_
}_x000D_
</t>
  </si>
  <si>
    <t>J:\P5000045\Images\Arial View.JPG</t>
  </si>
  <si>
    <t>Dan Buckley (Newcourt Principal) 01-2860468_x000D_
Peter Cradden (St. Andrew's Principal) 01-2867161</t>
  </si>
  <si>
    <t>7</t>
  </si>
  <si>
    <t>"M:\P5000045\Data In\Main Contractor - (Purcell's)\08-11-24 - Revised Programme\Microsoft Project - 081113 St Andrews revised programme.pdf"</t>
  </si>
  <si>
    <t xml:space="preserve">{\rtf1\ansi\ansicpg1252\deff0\deflang2057{\fonttbl{\f0\fnil\fcharset0 Microsoft Sans Serif;}}_x000D_
\viewkind4\uc1\pard\f0\fs17 E-mail's for the project are being saved to a .pst files on the K:\\ drive, in the project folder and in the E-mail sub-folder.  Each person working on the project has a separate .pst file within this folder, and all e-mail for the project are saved into this file.\par_x000D_
}_x000D_
</t>
  </si>
  <si>
    <t>J:\P5000045\Cost Control\Payement Certs</t>
  </si>
  <si>
    <t>13597M</t>
  </si>
  <si>
    <t>P5000046</t>
  </si>
  <si>
    <t>Muire na nGael NS</t>
  </si>
  <si>
    <t>2,801,948.01</t>
  </si>
  <si>
    <t xml:space="preserve">07/03/07  Received email request to invoice for stage 1/2/3 </t>
  </si>
  <si>
    <t>11/06/07  Submitted our stage 4 to the architect to send to the DES but we are to proceed to tender</t>
  </si>
  <si>
    <t>09/07/07 Sent out to tender_x000D_
23 Sept 08 Received instruction to re-tender to GCCC_x000D_
Issued to the QS by post in digital format on 31st January 2009</t>
  </si>
  <si>
    <t>Email recevied from Paul Mahon, the Architect, on 13th February 2009 stating the DES want to review the package of information again before is is sent out to tender. Chris Croly asks whether it is OK to send thema  digital format copy of the information</t>
  </si>
  <si>
    <t xml:space="preserve">April 7th 2009 : DES letter received approving 2B and instructing proceeding to tender_x000D_
21/09/09  - letter of intent issued to contractor_x000D_
Start date 21st November 2009_x000D_
PC Phase 1: 3rd Sept 2010_x000D_
PC Phase 2: 21st Dec 2010_x000D_
</t>
  </si>
  <si>
    <t>29/11/10 - Arch issued letter to contractor on lack of Resource_x000D_
Pahse 2 started Jan 2011- projected end date march 2011</t>
  </si>
  <si>
    <t>19/12/2011- Substantial completion certificate received from DON architects- Copy in the J drive under letters</t>
  </si>
  <si>
    <t>Willow Dale, Dundalk, Co. Louth</t>
  </si>
  <si>
    <t xml:space="preserve">{\rtf1\ansi\ansicpg1252\deff0\deflang2057{\fonttbl{\f0\fnil\fcharset0 MS Sans Serif;}}_x000D_
\viewkind4\uc1\pard\f0\fs17 Ten classroom extension to an existin primary school and refurb of existing school building.\par_x000D_
}_x000D_
</t>
  </si>
  <si>
    <t xml:space="preserve">{\rtf1\ansi\ansicpg1252\deff0\deflang2057{\fonttbl{\f0\fnil\fcharset0 MS Sans Serif;}}_x000D_
{\colortbl ;\red255\green0\blue0;\red0\green0\blue255;}_x000D_
\viewkind4\uc1\pard\cf1\f0\fs17 Risks:\cf0  This is an existing school with extension. There is a risk for BDP to be asked to produce reports and analysis which is outside our scope of works.\par_x000D_
\par_x000D_
\cf2 Mitigation:\cf0  Do not carry out work which is not within our scope. Keep  meetings to a minimal and avoid site meeting where we are realy not required.\par_x000D_
\par_x000D_
RISK: Phasing of the building and issues with handover. \par_x000D_
Mitigation: BDP to refuse to attend formal handover demos until confirmation is received that works are completed.\par_x000D_
\par_x000D_
RISK: IN Dec 2010 contractors relationship with school deteroriated due to missed contract dates etc. BOM now heavily involved in site meetings.\par_x000D_
\par_x000D_
Mitigation: Address BOM queries as they arise. Refuse to complete additional work without agreeing fees. \par_x000D_
\par_x000D_
\par_x000D_
}_x000D_
</t>
  </si>
  <si>
    <t>2,886,592.11</t>
  </si>
  <si>
    <t xml:space="preserve">Pat Fogarty_x000D_
Department of Education and Skills_x000D_
Portlaoise Road_x000D_
Tullamore_x000D_
Co. Offally_x000D_
</t>
  </si>
  <si>
    <t xml:space="preserve">{\rtf1\ansi\ansicpg1252\deff0\deflang2057{\fonttbl{\f0\fnil\fcharset0 Microsoft Sans Serif;}}_x000D_
\viewkind4\uc1\pard\f0\fs17 Drawings list is in excel\par_x000D_
Outlook emails are being used. PST files are set up for all engineers involved in project. \par_x000D_
}_x000D_
</t>
  </si>
  <si>
    <t xml:space="preserve">{\rtf1\ansi\ansicpg1252\deff0\deflang2057{\fonttbl{\f0\fnil\fcharset0 Microsoft Sans Serif;}}_x000D_
\viewkind4\uc1\pard\f0\fs17 All communications by e-mail and a saved on the 'J' drive under each team members name. \par_x000D_
}_x000D_
</t>
  </si>
  <si>
    <t>J:\P5000046\Cost Control\Variations</t>
  </si>
  <si>
    <t>19598V</t>
  </si>
  <si>
    <t>P5000047</t>
  </si>
  <si>
    <t>Bradford School (Tong School)</t>
  </si>
  <si>
    <t>P5000048</t>
  </si>
  <si>
    <t>Lapps Quay Offices</t>
  </si>
  <si>
    <t>Completer October 2006</t>
  </si>
  <si>
    <t>Lapps Quay</t>
  </si>
  <si>
    <t>P5000049</t>
  </si>
  <si>
    <t>Bessboro Child &amp; Adolescent Refurb (Eist Linn)</t>
  </si>
  <si>
    <t>16/09/05</t>
  </si>
  <si>
    <t>€6,352,821 incl vat</t>
  </si>
  <si>
    <t>183,146</t>
  </si>
  <si>
    <t>Project started Oct 2005_x000D_
Stage 2 Report Submitted - December 2005</t>
  </si>
  <si>
    <t>Stage 3 Report Submitted - April 2007</t>
  </si>
  <si>
    <t>Middle January - Going to Tender</t>
  </si>
  <si>
    <t>Deadline for tender documents was 20/03/08</t>
  </si>
  <si>
    <t>09/09/2008 Letter of appointment of the main contractor received.  13/10/2008 - Commenced enabling works. Jan '09 - Commenced main contract.</t>
  </si>
  <si>
    <t>Expected competion date is teh 11th June 2010_x000D_
Significant delays were experienced on site due to the contractors financial difficulties.  BDP have received some additional fee for the project extension.</t>
  </si>
  <si>
    <t>18/08/2010 - Project Handed over to Client_x000D_
_x000D_
Following liquidation of Pierse Construction, snags etc. had to be dealt with under a new contract.  Thsi was completed in February 2011</t>
  </si>
  <si>
    <t>Bessboro Estate, Blackrock, Cork</t>
  </si>
  <si>
    <t xml:space="preserve">{\rtf1\fbidis\ansi\ansicpg1252\deff0\deflang2057{\fonttbl{\f0\fnil\fcharset0 Arial;}}_x000D_
{\colortbl ;\red0\green0\blue255;\red0\green0\blue0;}_x000D_
\viewkind4\uc1\pard\ltrpar\fs20 This \'805.5m project involved the refurbishment of / extension to existing buildings to provide inpatient accommodation, teaching and care facilities for child and adolescent care.\par_x000D_
\par_x000D_
A key requirement of the brief was to provide a safe and secure environment for staff and patients, whilst avoiding an institutional feel. This was very successfully achieved and BDP\rquote s BES Engineers played a key role in designing excellent daylight and natural ventilation solutions. \par_x000D_
\par_x000D_
The selection of engineering services systems and the routing of services throughout the building required careful consideration to avoid exposed elements that could potentially cause harm to patients.\par_x000D_
\pard\ltrpar\fi-360\li720\cf1\par_x000D_
\pard\ltrpar\cf2 Careful co-ordination of services within limited services spaces around the existing building required particular attention. Care  was also required whilst carrying out the works within a live campus.\cf1\par_x000D_
\cf0\par_x000D_
}_x000D_
</t>
  </si>
  <si>
    <t>Accommodation/School</t>
  </si>
  <si>
    <t>20% new build</t>
  </si>
  <si>
    <t>J:\P5000049\Images\Arial View.bmp</t>
  </si>
  <si>
    <t>04/12/07 stg 3 cost plan confirmed by QS on this date</t>
  </si>
  <si>
    <t xml:space="preserve">Una Webster  021- 492 7232_x000D_
Estates Department, HSE South,_x000D_
Unit 2A South Ring Business Park,_x000D_
Kinsale Road,_x000D_
Cork._x000D_
</t>
  </si>
  <si>
    <t>J:\P5000049\Client Brief</t>
  </si>
  <si>
    <t>M:\P5000049\Data In\Main Contractor</t>
  </si>
  <si>
    <t>J:\P5000049\Cost Control\Variations</t>
  </si>
  <si>
    <t>P5000055</t>
  </si>
  <si>
    <t>Colaiste Choilm, Tullamore</t>
  </si>
  <si>
    <t>10/10/05</t>
  </si>
  <si>
    <t>244105</t>
  </si>
  <si>
    <t>10/10/05 Project Starteda_x000D_
Nov 06 Stage 3 Issued but the scheme changed subsequent to issue - proceed with option 3</t>
  </si>
  <si>
    <t>28/03/07 Approval to proceed with stg 1+2 with letter back to DES saying it will take 16 weeks_x000D_
_x000D_
25/10/2007 Stage 1 report (GCCC) Issued</t>
  </si>
  <si>
    <t xml:space="preserve">06/12/2007 Stage 1 report approved at a meeting at the DES offices_x000D_
Stage 2a Completion for the 2nd May 2008  : 14/04/08: Frozen drawings arrived two weeks late._x000D_
Stage 2a Report Issued to DESS on 21/05/08 (Still Pending Approval)_x000D_
</t>
  </si>
  <si>
    <t>31/03/09 letter received stating that 2b woudl be delayed  possibly to 7th august. 22/01/2009  Stage 2a approved but not approved to proceed on site_x000D_
04/08/09  Design team meetin held to kick off Stage 2b_x000D_
03/12/09 Stage 2b Submission issued to client</t>
  </si>
  <si>
    <t>16/03/10 Issued to QS for sending to tender_x000D_
€7,115,250.92 was the pre tender cost estimate_x000D_
Project was tendered in April 2010. Post tender meetings were held with SISK to discuss tender. SISK tender accepted in June 2010. Contract amount: €5,399,000.0</t>
  </si>
  <si>
    <t xml:space="preserve"> Project commenced on Site on 25th July 2010. M&amp;E contractors appointed by SISK are K&amp;M electical &amp;  GMG Mechanical November 2010. _x000D_
DES approved Changes to WC layouts- 22nd Feb 2011._x000D_
Layouts for new TG rm not approved- client will pay for directly-</t>
  </si>
  <si>
    <t xml:space="preserve">06/04/2011- AP attended FA cause&amp;effect handover meeting._x000D_
2/09/2011 schoo handed over_x000D_
19/09/2011 Hall handed over_x000D_
18/11/11 Plantroom handed over_x000D_
17/02/12 Complete handover including Bantile_x000D_
</t>
  </si>
  <si>
    <t>O'Moore St. Tullamore, Co. Offaly</t>
  </si>
  <si>
    <t>\\dn-sfs1\Jobs\P5000055\Calculations\CalcsM\Full Simulation\full_rotated\Col Choilm 2.JPG</t>
  </si>
  <si>
    <t xml:space="preserve">{\rtf1\ansi\ansicpg1252\deff0\deflang2057{\fonttbl{\f0\fnil\fcharset0 MS Sans Serif;}}_x000D_
{\colortbl ;\red255\green0\blue0;\red0\green0\blue0;\red0\green0\blue255;}_x000D_
\viewkind4\uc1\pard\cf1\b\f0\fs17 Risks: \cf2\b0 As a low energy research school there is potential for un-tested technologies to fail.  There is also a potential for BDP to be asked to produce reports and analysis which is outside our scope of works.\par_x000D_
\cf3\b\par_x000D_
Mitigation: \cf2\b0 Keep systmems as simple as possible, minimise the number of un-tested systems installed, cary out no work outside our scope without first agreeing additional fees.  Encourage the team to move forward with the project as quickly as possible.\par_x000D_
Keep close track of the number of meetings attended at each stage of the project.\par_x000D_
\par_x000D_
\cf1 Updated 13/03/2010\par_x000D_
\cf2 Risks are minimal to date and have been significatally reduced by the inclusion of a backup boiler.  At site the main risk is the chp unit, biomass biler, and pv systems and thier integration.\par_x000D_
\cf1\b\par_x000D_
Update 06/06/2010 pretender cost was \'807,115,250.92 tender value was \'805,463,675  The contractor has been challenged in relation to this tender response .\par_x000D_
\par_x000D_
Risk: Contractor will attempt to recover cost of project. \par_x000D_
\par_x000D_
Mitigation: throuogh review of plant submittals.\par_x000D_
}_x000D_
</t>
  </si>
  <si>
    <t>John Dolan_x000D_
Department of Education and Science_x000D_
Portlaoise Road_x000D_
Tullamore_x000D_
Tel: 05793 21363</t>
  </si>
  <si>
    <t>11</t>
  </si>
  <si>
    <t xml:space="preserve">{\rtf1\ansi\ansicpg1252\deff0\deflang2057{\fonttbl{\f0\fnil\fcharset0 Microsoft Sans Serif;}}_x000D_
\viewkind4\uc1\pard\f0\fs17 QDMS was used as the document transmittal system up to 2b stage.\par_x000D_
\par_x000D_
Teambinder will now be used for all issues wiht all received documents recorded in dated folders in the M drive.\par_x000D_
}_x000D_
</t>
  </si>
  <si>
    <t>j:/Projectnumber/Breif/</t>
  </si>
  <si>
    <t>j:/Projectnumber/Breief/Project programs/</t>
  </si>
  <si>
    <t xml:space="preserve">{\rtf1\fbidis\ansi\ansicpg1252\deff0\deflang2057{\fonttbl{\f0\fswiss\fprq2\fcharset0 Microsoft Sans Serif;}}_x000D_
{\colortbl ;\red255\green0\blue0;}_x000D_
\viewkind4\uc1\pard\ltrpar\f0\fs17 Email is the preferred method of communication for the project in order to minimise the projects environmental impact:\par_x000D_
A \cf1 project mail box\cf0  has been created called\par_x000D_
P5000055 - Colaiste Choilm\par_x000D_
All staff workign on the project have access to this mailbox\par_x000D_
All emails received or sent by any member of the team are saved in this mailbox as a record of a the projects email correspondance.\par_x000D_
\par_x000D_
Revisionable documents are uploaded and issued via teambinder for all formal stage issues\par_x000D_
\par_x000D_
}_x000D_
</t>
  </si>
  <si>
    <t>j:/Projectnumber/Cost Control/Variations/</t>
  </si>
  <si>
    <t>65610S</t>
  </si>
  <si>
    <t>P5000067</t>
  </si>
  <si>
    <t>WIT Enterance Building (Cube)</t>
  </si>
  <si>
    <t>20/01/06</t>
  </si>
  <si>
    <t>€2,00,000</t>
  </si>
  <si>
    <t>P5000069</t>
  </si>
  <si>
    <t>Carlow IT woodwork</t>
  </si>
  <si>
    <t>€112,500</t>
  </si>
  <si>
    <t>Started March 2006</t>
  </si>
  <si>
    <t>Completed December 2006 On time</t>
  </si>
  <si>
    <t>P5000074</t>
  </si>
  <si>
    <t>Monkstown GRD</t>
  </si>
  <si>
    <t>€7,572,597.94</t>
  </si>
  <si>
    <t>130,546</t>
  </si>
  <si>
    <t>Complete approx Dec 08</t>
  </si>
  <si>
    <t>IADT Campus, Dun Laoghaire, Co. Dublin</t>
  </si>
  <si>
    <t xml:space="preserve">{\rtf1\ansi\ansicpg1252\deff0\deflang2057{\fonttbl{\f0\fnil\fcharset0 MS Sans Serif;}}_x000D_
\viewkind4\uc1\pard\f0\fs17 This project consisted of a 16 classroom Generic Repeat Design school on the campus of the Institute of Art Design and Technology, Dun Laoghaire.  The works included major site infrastructural works for the campus services and also a full size all weather soccer pitch.\par_x000D_
}_x000D_
</t>
  </si>
  <si>
    <t>Consturction Contract Sum (15/01/'08)</t>
  </si>
  <si>
    <t>60</t>
  </si>
  <si>
    <t>20060G</t>
  </si>
  <si>
    <t>P5000084</t>
  </si>
  <si>
    <t>WIT Maintenance Contract</t>
  </si>
  <si>
    <t>7,000</t>
  </si>
  <si>
    <t>P5000087</t>
  </si>
  <si>
    <t>John Bosco Summer Works 2006</t>
  </si>
  <si>
    <t>€500,000</t>
  </si>
  <si>
    <t>P5000088</t>
  </si>
  <si>
    <t>Our Lady of thes Wayside Summer Works (E)</t>
  </si>
  <si>
    <t>€300,000</t>
  </si>
  <si>
    <t>P5000089</t>
  </si>
  <si>
    <t>Dundalk IT - Carrolls Facility</t>
  </si>
  <si>
    <t>€20,000,000</t>
  </si>
  <si>
    <t>M&amp;E was sent for tender 11 january 2008</t>
  </si>
  <si>
    <t>M&amp;E tenders returned 22 february 2008. mech €3.76 mil, elec €1.99 mil, lift €57,000.</t>
  </si>
  <si>
    <t>The project is currently on hold  but is expected to commence on site  in august</t>
  </si>
  <si>
    <t>Project started on site on Nov 2008</t>
  </si>
  <si>
    <t>15/03/2010 Practical completion cert signed</t>
  </si>
  <si>
    <t>Phase 2: Tendered August 2011- Go ahead for successful contractor given 17th Oct 2011</t>
  </si>
  <si>
    <t>Phase 2- contract docs signed &amp; bond recevied_x000D_
Started on site 12/12/2011. projected  end date 11/05/2012</t>
  </si>
  <si>
    <t>Connor Lait _x000D_
Dundalk Institute of Technology_x000D_
Dundalk _x000D_
conor.lait@dkit.ie_x000D_
Co Louth</t>
  </si>
  <si>
    <t xml:space="preserve">{\rtf1\fbidis\ansi\ansicpg1252\deff0\deflang2057{\fonttbl{\f0\fswiss\fprq2\fcharset0 Arial;}{\f1\fnil\fcharset0 MS Sans Serif;}{\f2\fswiss\fprq2\fcharset0 Calibri;}}_x000D_
\viewkind4\uc1\pard\ltrpar\f0\fs20 School of Informatics, Music &amp; Creative Media\par_x000D_
The refurbishment of the 11,000m\super 2\nosupersub  Carrolls factory in Dundalk into educational and office space.  This project was winner of the internal BDP Sustainability Awards 2007. The building is mechanically cooled due to its  deep plan. A thermal storage system/ice banks have been included to utilise the excess energy available during the off peak times from the campus wind turbine. Fan coil units and chilled beams are used in most rooms. Roof vents have been utilised in a number of large spaces and circulation areas to provide natural ventilation. The BMS system has been designed to incorporate CO2 and PIR sensors in conjunction with VSD drives on fans and pumps to minimise energy consumption\f1\fs17\par_x000D_
\par_x000D_
Our low energy desing work resulted in the BER rating for the facility increasing from a  G to a  B1 rating.\par_x000D_
\par_x000D_
\f2\fs22 Phase 2 of the Carrolls Project includes the fit out of 2 additional spaces, a large locker room for the storage of musical instruments and a versatile research space for student projects in DKIT. Total fit out area 635m2.  The works include the installation of  new electrical and mechanical services including an additional AHU and distribution boards and the interconnecting of the controls to the existing systems. \par_x000D_
\f1\fs17\par_x000D_
}_x000D_
</t>
  </si>
  <si>
    <t xml:space="preserve">{\rtf1\ansi\ansicpg1252\deff0\deflang2057{\fonttbl{\f0\fnil\fcharset0 MS Sans Serif;}}_x000D_
\viewkind4\uc1\pard\f0\fs17 Existing building with a very complex roof structure\par_x000D_
The architect is also known to make notable changes while on site\par_x000D_
\par_x000D_
Our engineers have been instructed not to take instructions for changes to design from the architect without agreement with the project director.  \par_x000D_
}_x000D_
</t>
  </si>
  <si>
    <t>approx</t>
  </si>
  <si>
    <t xml:space="preserve">Conor Lait_x000D_
087 901 5444_x000D_
Dundalk Institute of Technology_x000D_
Dundalk _x000D_
Co Louth_x000D_
</t>
  </si>
  <si>
    <t>P5000096</t>
  </si>
  <si>
    <t>Birr 2006 Summer Works</t>
  </si>
  <si>
    <t xml:space="preserve">{\rtf1\ansi\ansicpg1252\deff0\deflang2057{\fonttbl{\f0\fnil\fcharset0 MS Sans Serif;}}_x000D_
\viewkind4\uc1\pard\f0\fs17 This is not the electrical services refurbishment works.  See other proejct number._x000D_
\par _x000D_
\par }_x000D_
</t>
  </si>
  <si>
    <t>P5000098</t>
  </si>
  <si>
    <t>Storm Technologies Office</t>
  </si>
  <si>
    <t>660,000 M&amp;E</t>
  </si>
  <si>
    <t>46,900</t>
  </si>
  <si>
    <t>Sept 2006 Approximate start date</t>
  </si>
  <si>
    <t>25/10/07 M&amp;E Brief Issued</t>
  </si>
  <si>
    <t>20/12/06 Sketch design report issued</t>
  </si>
  <si>
    <t>06/09/07  The project was placed on hold due to cost over runs on the main contract</t>
  </si>
  <si>
    <t>Galway Business Park, Dun Daingean</t>
  </si>
  <si>
    <t xml:space="preserve">{\rtf1\ansi\ansicpg1252\deff0\deflang2057{\fonttbl{\f0\fnil\fcharset0 MS Sans Serif;}{\f1\froman\fprq2\fcharset0 Times New Roman;}}_x000D_
\viewkind4\uc1\pard\f0\fs17 Storm Technologies office is a 1,674m\super 2\nosupersub  low energy office building.  This building has been designed to be the lowest energy office building in Ireland and contains a mix of passive and active energy saving techniques to achieve an impressive performance. \f1\fs24 _x000D_
\par \f0\fs17 _x000D_
\par }_x000D_
</t>
  </si>
  <si>
    <t>J:\P5000098\Images\Storm Visuals\STORMSKETCUP 2.jpg</t>
  </si>
  <si>
    <t xml:space="preserve">{\rtf1\ansi\ansicpg1252\deff0\deflang2057{\fonttbl{\f0\fnil\fcharset0 MS Sans Serif;}}_x000D_
{\colortbl ;\red255\green0\blue0;\red0\green0\blue0;\red0\green0\blue255;}_x000D_
\viewkind4\uc1\pard\cf1\b\f0\fs17 Risks: \cf2\b0 The project architect and QS are not experienced in the design of low energy buildings and there appears to be no clear drivers to minimise the project program.  The complexity of the project and the projects location are also risk factors to be considered._x000D_
\par \cf3\b Mitigations:\cf2\b0   Keep the design as simple as possible.  Drive the team to complet the project on as short a program as possible._x000D_
\par Avoid getting dragged into additional works requirments.  Make sure that a clear breif is established\cf0 _x000D_
\par }_x000D_
</t>
  </si>
  <si>
    <t>M&amp;E,C&amp;S</t>
  </si>
  <si>
    <t>16/01/08</t>
  </si>
  <si>
    <t>-10</t>
  </si>
  <si>
    <t>P5000100</t>
  </si>
  <si>
    <t>Mary Mother of Hope School D15</t>
  </si>
  <si>
    <t>€4,222,695</t>
  </si>
  <si>
    <t>Started January 2006</t>
  </si>
  <si>
    <t>Completed July 2007 On time</t>
  </si>
  <si>
    <t xml:space="preserve">{\rtf1\ansi\ansicpg1252\deff0\deflang2057{\fonttbl{\f0\fswiss\fprq2\fcharset0 Arial;}{\f1\fnil\fcharset0 MS Sans Serif;}}_x000D_
\viewkind4\uc1\pard\lang6153\f0\fs20 16 Classroom Generic Repeat Design School _x000D_
\par _x000D_
\par Following our work designing the standard GRD primary school tender documents, we were appointed for a number of further GRD schools.  One of the first that we have completed is the Mary Mother of Hope Primary School._x000D_
\par _x000D_
\par This school contains 16 classrooms, support spaces and a general purpose hall._x000D_
\par \lang2057\f1\fs17 _x000D_
\par }_x000D_
</t>
  </si>
  <si>
    <t>K:\M&amp;E\Powerpoint Presentations\Various images\COMPLETED PROJECTS\Mary Mother of Hope GRD\PA140009.JPG</t>
  </si>
  <si>
    <t>P5000101</t>
  </si>
  <si>
    <t>CET Castaheany Educate Together</t>
  </si>
  <si>
    <t>€4,666,670</t>
  </si>
  <si>
    <t>89,452</t>
  </si>
  <si>
    <t>Project started on site June 2007</t>
  </si>
  <si>
    <t>Building Handover 06/06/08 One month early</t>
  </si>
  <si>
    <t xml:space="preserve">{\rtf1\ansi\ansicpg1252\deff0\deflang2057{\fonttbl{\f0\fswiss\fprq2\fcharset0 Arial;}{\f1\fnil\fcharset0 MS Sans Serif;}}_x000D_
\viewkind4\uc1\pard\lang6153\f0\fs20 16 Classroom Generic Repeat Design School _x000D_
\par _x000D_
\par Following our work designing the standard GRD primary school tender documents, we were appointed for a number of further GRD schools.  One of the first that we have completed is the Mary Mother of Hope Primary School._x000D_
\par _x000D_
\par This school contains 16 classrooms, support spaces and a general purpose hall._x000D_
\par \lang2057\f1\fs17 _x000D_
\par _x000D_
\par }_x000D_
</t>
  </si>
  <si>
    <t>Contract Sum for entire project</t>
  </si>
  <si>
    <t>30</t>
  </si>
  <si>
    <t>P5000103</t>
  </si>
  <si>
    <t>Sligo General Hospital - The Transit Lounge</t>
  </si>
  <si>
    <t>18/05/06</t>
  </si>
  <si>
    <t>01/02/07</t>
  </si>
  <si>
    <t>Completed April 2008</t>
  </si>
  <si>
    <t>Sligo General Hospital</t>
  </si>
  <si>
    <t xml:space="preserve">{\rtf1\ansi\ansicpg1252\deff0\deflang2057{\fonttbl{\f0\fnil\fcharset0 MS Sans Serif;}}_x000D_
\viewkind4\uc1\pard\f0\fs17 New extension consisting of an acoute assesment unit with two treatment wards with associated offices and waiting rooms.\par_x000D_
}_x000D_
</t>
  </si>
  <si>
    <t>P5000114</t>
  </si>
  <si>
    <t>Patrician College Summer Work 2006</t>
  </si>
  <si>
    <t>08/06/06</t>
  </si>
  <si>
    <t>P5000120</t>
  </si>
  <si>
    <t>St. Columbanus School GRD (Ballivor)</t>
  </si>
  <si>
    <t>€4,322,230.00</t>
  </si>
  <si>
    <t>due jan 07</t>
  </si>
  <si>
    <t>20/03/07 Approved to proceed to stage 4</t>
  </si>
  <si>
    <t>07/01/08 Letter of appointment of main contractor issued.</t>
  </si>
  <si>
    <t>07/08/08 MCoCo stated by e-mail street lighting to be as per ESB requirements.</t>
  </si>
  <si>
    <t>April 2009 - New main contractor appointed.</t>
  </si>
  <si>
    <t>16-09-09- Opinion on Compliance Cert Issued</t>
  </si>
  <si>
    <t>10-11-22 - Final Electrical Account issued_x000D_
_x000D_
10-12-09 - Draft mechanical final account issued subject to remaining plantroom snags_x000D_
11-02-04 - Final Mechanical Account Issued</t>
  </si>
  <si>
    <t>Ballivor</t>
  </si>
  <si>
    <t xml:space="preserve">{\rtf1\ansi\ansicpg1252\deff0\deflang2057{\fonttbl{\f0\fnil\fcharset0 MS Sans Serif;}}_x000D_
\viewkind4\uc1\pard\f0\fs17 16 Classroom Generic Repeat School\par_x000D_
}_x000D_
</t>
  </si>
  <si>
    <t>J:\P5000120\Images\09-08-29 Elec Snags\DSCF3991.JPG</t>
  </si>
  <si>
    <t xml:space="preserve">{\rtf1\ansi\ansicpg1252\deff0\deflang2057{\fonttbl{\f0\fnil\fcharset0 Arial;}{\f1\fnil\fcharset0 MS Sans Serif;}}_x000D_
{\colortbl ;\red255\green0\blue0;\red0\green0\blue255;}_x000D_
\viewkind4\uc1\pard\cf1\fs20 Risks:\cf0\f1\fs17  As a GRD school the Risks should be quite low except of any planning restrictions by teh CoCo. \par_x000D_
\par_x000D_
\cf2 Mitigation: \cf0 The team should not work outside of our brief for GRD schools.\par_x000D_
\par_x000D_
\cf1\f0\fs20 Updated 5/04/2009\cf0\f1\fs17 : Main contractor went into liquidation in Dec 08. Meeting held with teh DoES on this mater and all of the Design team agreed cost for resolving this issue with the DoES. A special act was created on teh time sheets to record the time to resolve these works. New contractor appinted in April 2009.\par_x000D_
\par_x000D_
\par_x000D_
\par_x000D_
 \par_x000D_
}_x000D_
</t>
  </si>
  <si>
    <t>4094959.44 incl vat</t>
  </si>
  <si>
    <t>J:\P5000120\QA\Prodject Directors Breif</t>
  </si>
  <si>
    <t xml:space="preserve">{\rtf1\ansi\ansicpg1252\deff0\deflang2057{\fonttbl{\f0\fnil\fcharset0 Microsoft Sans Serif;}}_x000D_
\viewkind4\uc1\pard\f0\fs17 All communication by email with all e-mails saved on the 'J' drive.\par_x000D_
}_x000D_
</t>
  </si>
  <si>
    <t>J:\P5000120\Cost Control\Variations</t>
  </si>
  <si>
    <t>18016O</t>
  </si>
  <si>
    <t>P5000122</t>
  </si>
  <si>
    <t>Mountrath Community School</t>
  </si>
  <si>
    <t>23/08/06</t>
  </si>
  <si>
    <t>€8,893,211.58</t>
  </si>
  <si>
    <t>172,103</t>
  </si>
  <si>
    <t>Roll number is 91550B</t>
  </si>
  <si>
    <t>Projet was due to go to tender Dec 2007,  Delayed due to architect not being complete, later delays in early 2008 due to DES placeing project on hold pending decision on future of the project</t>
  </si>
  <si>
    <t>Project went to tender on the 22nd Feb and returned on 7th April</t>
  </si>
  <si>
    <t>Letter of acceptance sent to JSL 22 May 2008</t>
  </si>
  <si>
    <t>24/08/09 possession cert issued for handing the main building over to the client. Some Site works remain.</t>
  </si>
  <si>
    <t>30/09/09  Practical completion cert issued</t>
  </si>
  <si>
    <t>11/08/2010 Final account approval achieved in letter from DOES. _x000D_
_x000D_
Final Desnag completed by BOS in October/November 2010. All snags addressed. Remaining items on pedestrian crossing are being dealt with by structural/architect/co.council. not to do wi</t>
  </si>
  <si>
    <t>Mountrath Community School, Limerick Road, Mountrath</t>
  </si>
  <si>
    <t xml:space="preserve">{\rtf1\fbidis\ansi\ansicpg1252\deff0\deflang2057{\fonttbl{\f0\fnil\fcharset0 Arial;}{\f1\fnil\fcharset0 MS Sans Serif;}{\f2\fswiss\fprq2\fcharset0 Arial;}}_x000D_
{\colortbl ;\red255\green0\blue0;}_x000D_
\viewkind4\uc1\pard\ltrpar\b\fs23 Mountrath Community School\b0\f1\fs17\par_x000D_
\par_x000D_
\f2\fs20 New 6,235m2 school development on the site of an existing school in Mountrath, Co. Laois.  The new school was built to the rear of the existing school building whilst the existing school remained in operation.  The existing school was demolished upon completion of the new school.\par_x000D_
\par_x000D_
This school includes teaching accommodation, labs, administration rooms, a general purpose room, and a large sports hall.\par_x000D_
\par_x000D_
\cf1\f0 The project was complied for 80k less than the contract sum, within program and below the budget.\cf0\f2\par_x000D_
\f1\fs17\par_x000D_
}_x000D_
</t>
  </si>
  <si>
    <t>J:\P5000122\Images\09-07-31 CC site photos, stat, home ec canopies, gp area, lab, metal work\P7300006.JPG</t>
  </si>
  <si>
    <t xml:space="preserve">{\rtf1\ansi\ansicpg1252\deff0\deflang2057{\fonttbl{\f0\fnil\fcharset0 MS Sans Serif;}}_x000D_
{\colortbl ;\red255\green0\blue0;\red0\green0\blue0;\red0\green0\blue255;}_x000D_
\viewkind4\uc1\pard\cf1\b\f0\fs17 Risks \cf2\b0 : The project architect has never worked on school buildings in Ireland previously._x000D_
\par _x000D_
\par \cf3\b Mitigation: \cf2\b0 Provide clear advise to the architect, including tasks not directly related to M&amp;E.  Check Architectural documetns and drawings carefully and point out any deviations from standard DES proceedure.\cf0 _x000D_
\par }_x000D_
</t>
  </si>
  <si>
    <t>ex vat  as on  23/06/2008</t>
  </si>
  <si>
    <t xml:space="preserve">Paul Mackle_x000D_
Ridge Road_x000D_
Portlaoise_x000D_
Co Laois_x000D_
0502-21352_x000D_
</t>
  </si>
  <si>
    <t>5.7</t>
  </si>
  <si>
    <t>j:\P5000122\QA\PHB.doc</t>
  </si>
  <si>
    <t xml:space="preserve">{\rtf1\ansi\ansicpg1252\deff0\deflang2057{\fonttbl{\f0\fnil\fcharset0 Microsoft Sans Serif;}}_x000D_
\viewkind4\uc1\pard\f0\fs17 Engineers save all project emails in *.pst files, accessible to all\par_x000D_
\par_x000D_
Tender documentation sent via Teambinder\par_x000D_
}_x000D_
</t>
  </si>
  <si>
    <t>j:\P5000122\QA\Project Change Control</t>
  </si>
  <si>
    <t>91550B</t>
  </si>
  <si>
    <t>P5000124</t>
  </si>
  <si>
    <t>Clermont House</t>
  </si>
  <si>
    <t>1,025,000</t>
  </si>
  <si>
    <t>sef</t>
  </si>
  <si>
    <t>Rathnew, Co. wicklow</t>
  </si>
  <si>
    <t xml:space="preserve">{\rtf1\ansi\ansicpg1252\deff0\deflang2057{\fonttbl{\f0\fnil\fcharset0 MS Sans Serif;}}_x000D_
\viewkind4\uc1\pard\f0\fs17 Clermont House is sited in Rathnew Co. Wicklow. It was originally an 18th century country house which was converted for use as a boarding school in the 19th century. There was an extension bulit in the 1950s for increased student accomodations. \par_x000D_
BDP commenced M&amp;E refurbishment works in the 1950s area in 2006. The ground floor area of the 1950s section was upgraded for use as a teaching space for the Wicklow Co. Campus-in conjunction with Carlow IT. Several IT rooms were also created. \par_x000D_
\par_x000D_
The second phase of works commenced in July 2007 and consisted of the refurbishment of the original 18th century house. The house is a 3-storey building with basement and is a protected structure. Existing services were stripped out and a basement plant room and comms were created. As much as possible existing service routes were re-used to avoid damage to the building fabric. \par_x000D_
The existing bedrooms were converted into office spaces and electrical services for each floor were divided to allow floors to be rented by different agencies.\par_x000D_
The ground floor areas were converted into office spaces and the billard and snooker rooms were converted into a new co. council chamber room and reception room respectively.  \par_x000D_
M&amp;E items were carefully selected to fit in with the theme of the house. \par_x000D_
\par_x000D_
The works were completed in May 2008 and are currently occupied by the Co. Enterprise board, and several county council departments. \par_x000D_
}_x000D_
</t>
  </si>
  <si>
    <t xml:space="preserve">Peter Phelan: 087-9116068 or 0404-20100_x000D_
Tony O'Neill:087-2686572_x000D_
_x000D_
Wicklow County Council Offices, _x000D_
Station Rd, _x000D_
Wicklow Town_x000D_
Co. Wicklow_x000D_
</t>
  </si>
  <si>
    <t>P5000135</t>
  </si>
  <si>
    <t>FGS Down and Connor PPP consultancy</t>
  </si>
  <si>
    <t>Dec 2006 work carried out in Dec but also January - invovled several weeks in Belfast</t>
  </si>
  <si>
    <t>Various</t>
  </si>
  <si>
    <t>Down</t>
  </si>
  <si>
    <t xml:space="preserve">{\rtf1\ansi\ansicpg1252\deff0\deflang2057{\fonttbl{\f0\fnil\fcharset0 MS Sans Serif;}}_x000D_
\viewkind4\uc1\pard\f0\fs17 BDP were asked to act as client advisor when assessing a package of PPP schools._x000D_
\par _x000D_
\par In particual we offered advise on judging the sustainability of each of the proposals forwarded._x000D_
\par }_x000D_
</t>
  </si>
  <si>
    <t>Sustainability</t>
  </si>
  <si>
    <t xml:space="preserve">{\rtf1\ansi\ansicpg1252\deff0\deflang2057{\fonttbl{\f0\fnil\fcharset0 MS Sans Serif;}}_x000D_
\viewkind4\uc1\pard\f0\fs17 We were paid on a time charge basis so risks are very low_x000D_
\par }_x000D_
</t>
  </si>
  <si>
    <t>P5000138</t>
  </si>
  <si>
    <t>Butlerstown Retail Park (B&amp;Q)</t>
  </si>
  <si>
    <t>€1,450,000 M&amp;E</t>
  </si>
  <si>
    <t>P5000139</t>
  </si>
  <si>
    <t>Tuam Road Development</t>
  </si>
  <si>
    <t>06-11-06</t>
  </si>
  <si>
    <t>€7,000,000.00</t>
  </si>
  <si>
    <t>concept stage complete 12/09/07</t>
  </si>
  <si>
    <t xml:space="preserve">{\rtf1\ansi\ansicpg1252\deff0\deflang2057{\fonttbl{\f0\fnil\fcharset0 MS Sans Serif;}}_x000D_
\viewkind4\uc1\pard\f0\fs17 Medium sized block of appartments. We produced a sketch dsign before the project was placed on hold\par_x000D_
}_x000D_
</t>
  </si>
  <si>
    <t>P5000142</t>
  </si>
  <si>
    <t>Irish Life Centre Office Refurb OPW</t>
  </si>
  <si>
    <t>€500,000.00</t>
  </si>
  <si>
    <t>Rory Walsh</t>
  </si>
  <si>
    <t>P5000148</t>
  </si>
  <si>
    <t>SGH Acute Assessment Unit (sligo)</t>
  </si>
  <si>
    <t>26th November - Official project start date for the M &amp; E contractors._x000D_
Completed April 2008</t>
  </si>
  <si>
    <t>Sligh General Hospital, sligo</t>
  </si>
  <si>
    <t>Co. Sligo</t>
  </si>
  <si>
    <t xml:space="preserve">{\rtf1\ansi\ansicpg1252\deff0\deflang2057{\fonttbl{\f0\fnil\fcharset0 MS Sans Serif;}}_x000D_
\viewkind4\uc1\pard\f0\fs17 refer to the transit lounge project for more info, these are the same projects\par_x000D_
}_x000D_
</t>
  </si>
  <si>
    <t>P5000149</t>
  </si>
  <si>
    <t>Farmhand Development, Damastown</t>
  </si>
  <si>
    <t>€10,988,223.20</t>
  </si>
  <si>
    <t>On site 24/09/2007</t>
  </si>
  <si>
    <t>Building handover  27/10/08</t>
  </si>
  <si>
    <t>Damastown</t>
  </si>
  <si>
    <t xml:space="preserve">{\rtf1\ansi\ansicpg1252\deff0\deflang2057{\fonttbl{\f0\fswiss\fprq2\fcharset0 Arial;}{\f1\fnil\fcharset0 MS Sans Serif;}}_x000D_
{\colortbl ;\red0\green0\blue0;}_x000D_
\viewkind4\uc1\pard\keepn\nowidctlpar\sb120\sa120\cf1\f0\fs20 New premises for Farmhand Ltd. comprising of offices and warehouse / workshop facilities at Damastown, Co. Dublin.  General and private offices to the front of the building on ground and first floors.  A circular doom feature contains the main entrance and foyer on the ground floor and conference room on the first floor.  Adjacent the main entrance to the front of the building is a display area for demonstrating Farmhand Ltd. products.  To the front of the building is a water feature adjacent car parking._x000D_
\par The back of the building comprises of stores, warehouse, workshops and offices.  To the rear and side of the building are external stores, truckwash and spray booth facilities._x000D_
\par \pard\cf0\f1\fs17 _x000D_
\par }_x000D_
</t>
  </si>
  <si>
    <t>John Scrivener_x000D_
Damastown Industrial pk_x000D_
Co Dublin</t>
  </si>
  <si>
    <t>P5000153</t>
  </si>
  <si>
    <t>Fairgreen Shopping Centre Carlow</t>
  </si>
  <si>
    <t>Achieved Stage 1 and was then placed on hold</t>
  </si>
  <si>
    <t>Carlow Town</t>
  </si>
  <si>
    <t xml:space="preserve">{\rtf1\ansi\ansicpg1252\deff0\deflang2057{\fonttbl{\f0\fnil\fcharset0 MS Sans Serif;}}_x000D_
\viewkind4\uc1\pard\f0\fs17 New build of a large shopping centre in Carlow \par_x000D_
\par_x000D_
Was placed on hold following a sketch design.\par_x000D_
}_x000D_
</t>
  </si>
  <si>
    <t>P5000158</t>
  </si>
  <si>
    <t>New Jobstown Woodwork  room ventilation</t>
  </si>
  <si>
    <t>P5000160</t>
  </si>
  <si>
    <t>Georges place</t>
  </si>
  <si>
    <t>floor to be complete for law society moving in</t>
  </si>
  <si>
    <t>issued M&amp;E documents w/e 22/6/08 to client QS for negotiation with in situ builder</t>
  </si>
  <si>
    <t>recived M&amp;E costs 11/7/08 for review</t>
  </si>
  <si>
    <t>George Lane D7</t>
  </si>
  <si>
    <t>dublin</t>
  </si>
  <si>
    <t xml:space="preserve">{\rtf1\ansi\ansicpg1252\deff0\deflang2057{\fonttbl{\f0\fnil\fcharset0 MS Sans Serif;}}_x000D_
\viewkind4\uc1\pard\f0\fs17 project includes the fit out of 1340m2 of office space. BDP are the M&amp;E and architetctural consultants._x000D_
\par }_x000D_
</t>
  </si>
  <si>
    <t>P5000166</t>
  </si>
  <si>
    <t>Bowen cnu design and build</t>
  </si>
  <si>
    <t>Bid</t>
  </si>
  <si>
    <t>P5000168</t>
  </si>
  <si>
    <t>NUIG Human Biology Building</t>
  </si>
  <si>
    <t>€16,469,339</t>
  </si>
  <si>
    <t>Alan Brophy</t>
  </si>
  <si>
    <t>Kevin Walsh</t>
  </si>
  <si>
    <t>15/09/08 Approval to resume the project._x000D_
Target completion set to 1 sept 2011 with planning by Christmas 2008</t>
  </si>
  <si>
    <t>NUIG_x000D_
Galway City</t>
  </si>
  <si>
    <t xml:space="preserve">{\rtf1\ansi\ansicpg1252\deff0\deflang2057{\fonttbl{\f0\fnil\fcharset0 MS Sans Serif;}{\f1\froman\fprq2\fcharset0 Times New Roman;}}_x000D_
\viewkind4\uc1\pard\f0\fs17 A new 8000m\super 2\nosupersub  research building for NUIG.  This building consists of research labs for the study of human biology.\par_x000D_
\par_x000D_
\pard\sl360\slmult1\f1\fs24 The new human biology building for NUIG will contain the departments of pharmacology, physiology, and anatomy in a state of the art teaching faculty.\par_x000D_
\pard\f0\fs17\par_x000D_
}_x000D_
</t>
  </si>
  <si>
    <t>M:\P5000168\Data In\Incoming Drawings\FROM ARCHITECT\09-03-12 Architectural Planning Drawings\jpgs\12P29 copy55.jpg</t>
  </si>
  <si>
    <t xml:space="preserve">{\rtf1\ansi\ansicpg1252\deff0\deflang2057{\fonttbl{\f0\fnil\fcharset0 Arial;}{\f1\fswiss\fprq2\fcharset0 Arial;}{\f2\fnil\fcharset0 MS Sans Serif;}{\f3\froman\fprq2\fcharset0 Times New Roman;}}_x000D_
{\colortbl ;\red255\green0\blue128;\red128\green0\blue255;\red0\green0\blue0;\red255\green0\blue0;}_x000D_
\viewkind4\uc1\pard\cf1\fs20 Risks\cf0\f1  - \cf2 updated April 2013\par_x000D_
\par_x000D_
\cf0 The reworking on the tender documents has lead to a project that is now over budget and efforts are being made to resolve the budget problems prior to tender.\line\line The use of a D&amp;B novated contract is a potential risk because we have not worked in this arrangement before.  It is important to write the tender documents to transfer as much repsonsibitiy to the contractor as possible.  It is vital to have input into the document that explains to the contractor what his relationship to the novated consultans is  so that we can limit our scope of work as the novated consultant.\cf1\f0\par_x000D_
\par_x000D_
Risks\cf0\f1  - \cf2 updated Mar 2010\cf0\par_x000D_
\par_x000D_
1. The previous project on which we worked with the project manager, expereinced significant delays.\par_x000D_
2. The hard rock in the ground, could lead to programme delay.\par_x000D_
3. The programme generally.\par_x000D_
4. The Planning and the fact the Client wishes to proceed at risk through the planning submission. Galway always ask for further information.\par_x000D_
5. The Client - there are a large number of users. The user groups need to be managed effectively and their requirements gleaned from them to help form our brief.\par_x000D_
6. The fire consultant and the fire officer at NUIG need to be informed requested of details of fire systems within the basement.\par_x000D_
\par_x000D_
\cf1 Mittigations\par_x000D_
\par_x000D_
\cf3 Avoid carrying out work until we are sure the design has reached an appropriate level.\par_x000D_
\par_x000D_
Generate a basis of design document to tie down our understanding of the brief.  Make it clear that our breif is considered to be the architects drawigns and not the room data sheets as there are discrpantcies between the two.\par_x000D_
\cf0\par_x000D_
Project Managers risk Register is in:\par_x000D_
J:\\P5000168\\QA\\PM's Risk Register\par_x000D_
\f2\fs17\par_x000D_
\par_x000D_
\cf4\f0\fs20 Reviewed : 08/03/2010 with the folloiwng additions:\par_x000D_
\par_x000D_
\cf3\f1 Going forward to the site stage of the project the most significant risks are:\par_x000D_
\par_x000D_
\pard\fi-360\li720\tx720 1)\tab The client will change the brief\par_x000D_
\pard\fi-360\li720 2)\tab The end user equipment will have additional services requirements not envisaged\cf0\f3\fs24\par_x000D_
\cf3\f1\fs20 3)\tab The architect will engage in \ldblquote design development\rdblquote\cf0\f3\fs24\par_x000D_
\cf3\f1\fs20 4)\tab The project will be delayed due to the contractor\rquote s lack of understanding of the complexity of the project.\cf0\f3\fs24\par_x000D_
\pard\cf3\f1\fs20\par_x000D_
Our approach to mitigation is to spot the occurrence of any of the above as soon as possible and address before the concern grows.  To object strongly to any architectural changes as soon as they occur, and to highlight the implication of client changes before carrying out work on them.\cf0\f3\fs24\par_x000D_
\f2\fs17\par_x000D_
}_x000D_
</t>
  </si>
  <si>
    <t>Overall budget of €31.5m including equipment</t>
  </si>
  <si>
    <t xml:space="preserve">Patrick Faherty_x000D_
Buildings Office_x000D_
National University of Ireland Galway_x000D_
(091) 49 29 75_x000D_
</t>
  </si>
  <si>
    <t xml:space="preserve"> SPC008 - BAM-Value Engineering  _x000D_
 SPC009 - BAM Client Requests _x000D_
</t>
  </si>
  <si>
    <t xml:space="preserve">{\rtf1\ansi\ansicpg1252\deff0\deflang2057{\fonttbl{\f0\fnil\fcharset0 Microsoft Sans Serif;}}_x000D_
\viewkind4\uc1\pard\f0\fs17 The project is not following the typical stage procedure approval one would associate with education projects. We have been working on the plans with the Architect and the rest of the design team and have worked through to planning stage but have not required formal stage approval. However, the Client has requested the planning submission for his review and some comments have been taken on board.\par_x000D_
\par_x000D_
\par_x000D_
}_x000D_
</t>
  </si>
  <si>
    <t>brief under the job number</t>
  </si>
  <si>
    <t>QA\Programme</t>
  </si>
  <si>
    <t xml:space="preserve">{\rtf1\ansi\ansicpg1252\deff0\deflang2057{\fonttbl{\f0\fnil\fcharset0 Microsoft Sans Serif;}}_x000D_
\viewkind4\uc1\pard\f0\fs17 Up to July 2012, a project mailbox was used.  From then on Newforma was used and all email was transferred to newforma\par_x000D_
\par_x000D_
Teambinder was used until July 2012 and then Newforma.\par_x000D_
}_x000D_
</t>
  </si>
  <si>
    <t>See QA folder</t>
  </si>
  <si>
    <t>P5000174</t>
  </si>
  <si>
    <t>Bettystown D&amp;B Scoil Olibheir Naofa (laytown)</t>
  </si>
  <si>
    <t>€10,000,000</t>
  </si>
  <si>
    <t>31/01/08 First meeting with the DES to discuss Laytown</t>
  </si>
  <si>
    <t>Tender date suppopost to go to tender June 08</t>
  </si>
  <si>
    <t>Practical completion achieved 24 April 2010</t>
  </si>
  <si>
    <t xml:space="preserve">Bettystown_x000D_
</t>
  </si>
  <si>
    <t xml:space="preserve">{\rtf1\ansi\ansicpg1252\deff0\deflang2057{\fonttbl{\f0\froman\fprq2\fcharset0 Times New Roman;}{\f1\fnil\fcharset0 MS Sans Serif;}}_x000D_
\viewkind4\uc1\pard\f0\fs24 Design and build of a 24 classroom primary school in Bettystown.  Accommodation includes a general purpose hall, classrooms, special needs unit, and associated office space.\par_x000D_
Our design was selected in part because of our progressive approach to sustainable design which included low water content heating, a bore hole water recovery system, enhanced daylight of 5% daylight factor to classrooms, improved window U-Values realtive to the building regulations etc.\f1\fs17\par_x000D_
}_x000D_
</t>
  </si>
  <si>
    <t>J:\P5000174\Images\Site Photos\10.04.20\R0017946.JPG</t>
  </si>
  <si>
    <t>approx figure</t>
  </si>
  <si>
    <t xml:space="preserve">John Dolan_x000D_
Department of Education and Science_x000D_
</t>
  </si>
  <si>
    <t>P5000176</t>
  </si>
  <si>
    <t>National Gallery of Ireland  for OPW  ngi P5000485 for bookings</t>
  </si>
  <si>
    <t>€29,000,000.00</t>
  </si>
  <si>
    <t>15/05/08 email received approving proceeding to planning. Project is planned to be issued for planning permission in November 2008</t>
  </si>
  <si>
    <t>October 2011 Prepare Tender docs for €27m refurbishment of Historic Wings_x000D_
19-06/2013 - Tender documents to QA</t>
  </si>
  <si>
    <t>Merrion Square West</t>
  </si>
  <si>
    <t>Dublin 2</t>
  </si>
  <si>
    <t xml:space="preserve">{\rtf1\fbidis\ansi\ansicpg1252\deff0\deflang2057{\fonttbl{\f0\fnil\fcharset0 MS Sans Serif;}{\f1\fswiss\fprq2\fcharset0 Arial;}{\f2\fswiss\fprq2\fcharset0 Calibri;}}_x000D_
{\colortbl ;\red0\green0\blue128;}_x000D_
\viewkind4\uc1\pard\ltrpar\f0\fs17 Refurbishment and extension of the national Gallery of Ireland. Initially progress with roof refurbishment works in Dargan Wing  (2010/2012) and Milltown Wing (2012/2013). Dargan Wing roof works includes provision of new ventilation to attic to remove heat gains, as well as new electrical services installations within attic. \par_x000D_
Development of design to Tender Stage for full refurbishment of historic wings and provision of new basement Energy Centre progressed in 2011/12. This includes introduction of air conditioning systems to provide the required environmental systems for art collections. Great care was required in routing new engineering services through the historic structure of the building requiring extensive consultation with conservation architects. Fire protection and security were other major issues to be addressed.\par_x000D_
\par_x000D_
\cf1\f1\fs20 Client: Office of Public Works\par_x000D_
Date : Start Jan 2007 - current \par_x000D_
Value \'8030m\par_x000D_
Project Director :D Brennan\par_x000D_
\pard\ltrpar\sl276\slmult1 Mech :Engineer C Croly / D Regan\par_x000D_
Elec:  Engineer R Smyth\par_x000D_
Archt: Heneghan Peng\cf0\f2\fs22\par_x000D_
\pard\ltrpar\cf1\f1\fs20\par_x000D_
\cf0\f0\fs17\par_x000D_
}_x000D_
</t>
  </si>
  <si>
    <t>Public</t>
  </si>
  <si>
    <t xml:space="preserve">{\rtf1\fbidis\ansi\ansicpg1252\deff0\deflang2057{\fonttbl{\f0\fnil\fcharset0 MS Sans Serif;}{\f1\fswiss\fprq2\fcharset0 Calibri;}}_x000D_
{\colortbl ;\red255\green0\blue0;}_x000D_
\viewkind4\uc1\pard\ltrpar\f0\fs17 See Project handbook in J Folder\par_x000D_
See H&amp;S folder in J\par_x000D_
\par_x000D_
\pard\ltrpar\qj\cf1\lang1033\b\f1\fs20 Feb 2012\par_x000D_
\cf0\b0 There is a risk that obstructions in the proposed distribution routes will be discovered due to impracticality of fully opened up survey. This will result in change to design and /or need to \ldblquote box out\rdblquote  service routes rather than conceal within existing fabric. Client advised of need for contingency budget to deal with such issues.\par_x000D_
\par_x000D_
There is a risk that building or demolition works interfere with existing services within the Beit or Millennium wings which turn out to pass through or are served from the historic wings due to impracticality of fully opened up survey. This will result in temporary loss of service. Engage with Gallery FM team to best establish routes of all existing services. Review all record drawings available.\par_x000D_
\par_x000D_
There is a risk of fire breaking out within the site during unoccupied hours due to slow burn or faulty electrical site equipment. This will result in fire being unobserved and spreading. Vigilance required throughout construction. Temporary fire alarm system required for construction site.\par_x000D_
\par_x000D_
There is a risk of specifying new equipment to integrate with existing systems which may become obsolete before completion due to need to integrate operation of whole gallery. This will result in need to upgrade existing systems beyond site boundary or split/duplicate controls. Consider this issue at technical submittal stage.\par_x000D_
\par_x000D_
\par_x000D_
\par_x000D_
\pard\ltrpar\sa100\fs22\par_x000D_
\pard\ltrpar\lang2057\f0\fs17\par_x000D_
}_x000D_
</t>
  </si>
  <si>
    <t>Phase 1 Refurb</t>
  </si>
  <si>
    <t>Christian Clotworthy_x000D_
National Gallery of Ireland_x000D_
Merrion Square_x000D_
Dublin 2</t>
  </si>
  <si>
    <t xml:space="preserve">{\rtf1\ansi\ansicpg1252\deff0\deflang2057{\fonttbl{\f0\fnil\fcharset0 Microsoft Sans Serif;}}_x000D_
\viewkind4\uc1\pard\f0\fs17 See Project handbook in J Folder\par_x000D_
}_x000D_
</t>
  </si>
  <si>
    <t>J:\P5000176\QA\Brief\OPW Briefing Information</t>
  </si>
  <si>
    <t>M:\P5000176\Data In\Incomming Documents\Architect\Programmes</t>
  </si>
  <si>
    <t xml:space="preserve">{\rtf1\fbidis\ansi\ansicpg1252\deff0\deflang2057{\fonttbl{\f0\fswiss\fprq2\fcharset0 Calibri;}{\f1\fnil\fcharset0 Microsoft Sans Serif;}}_x000D_
{\colortbl ;\red31\green73\blue125;}_x000D_
\viewkind4\uc1\pard\ltrpar\cf1\f0\fs22 The mailbox \cf0 P5000176 - National Gallery of Ireland  has been created.\par_x000D_
\par_x000D_
All correspondence to and from BDP on this project must be moved to relevant folders within the mailbox.   \f1\fs17\par_x000D_
}_x000D_
</t>
  </si>
  <si>
    <t>P5000178</t>
  </si>
  <si>
    <t>Birr 2007 Summer Works</t>
  </si>
  <si>
    <t>P5000203</t>
  </si>
  <si>
    <t>OPW Office Mullingar</t>
  </si>
  <si>
    <t>Jan 2008 it was announced that we were not sucessful in achieving this bid</t>
  </si>
  <si>
    <t xml:space="preserve">{\rtf1\ansi\ansicpg1252\deff0\deflang2057{\fonttbl{\f0\fnil\fcharset0 MS Sans Serif;}}_x000D_
\viewkind4\uc1\pard\f0\fs17 This project invovled the submission of a bid for a package of three offices, two of which we were involved in as M&amp;E consultants._x000D_
\par _x000D_
\par Our architectural department was involved in the Mullingar office and we were involved in the Mullingar and Calrow officea._x000D_
\par \fs17 _x000D_
\par }_x000D_
</t>
  </si>
  <si>
    <t>P5000206</t>
  </si>
  <si>
    <t>OPW Carlow</t>
  </si>
  <si>
    <t>P5000211</t>
  </si>
  <si>
    <t>Graham HQ</t>
  </si>
  <si>
    <t>7,000,000</t>
  </si>
  <si>
    <t>Work largely completed in 2007</t>
  </si>
  <si>
    <t>Dromore _x000D_
Co. Down_x000D_
M1</t>
  </si>
  <si>
    <t xml:space="preserve">{\rtf1\ansi\ansicpg1252\deff0\deflang2057{\fonttbl{\f0\fnil\fcharset0 MS Sans Serif;}}_x000D_
\viewkind4\uc1\pard\f0\fs17 This project is a new headquaters building for Graham Construction.  BDP Belfast are providing architectural services for the project and our Dublin Engineers are providing sustainability advise.\par_x000D_
\par_x000D_
This was the moste energy efficient office design in Northern Ireland on completion.\par_x000D_
\par_x000D_
See article above for futher details\par_x000D_
}_x000D_
</t>
  </si>
  <si>
    <t>K:\M&amp;E\Powerpoint Presentations\Various images\COMPLETED PROJECTS\Graham HQ\Rory_Moore_Photography\GRAHAM HQ JPG\Atrium for email.jpg</t>
  </si>
  <si>
    <t>K:\M&amp;E\SUSTAINABILITY\ARTICLES of BDP Projects\Architectural Journals\GHQ_Perspective_MarchApril2010.pdf</t>
  </si>
  <si>
    <t>Sust,Arch,C&amp;S</t>
  </si>
  <si>
    <t>P5000212</t>
  </si>
  <si>
    <t>VEC woodwork projects</t>
  </si>
  <si>
    <t>Skerries, Colaiste Cillian, Swords  - back from tender</t>
  </si>
  <si>
    <t>Mcdaras, Greeenhills, Firhouse  - Report submitted  26</t>
  </si>
  <si>
    <t>Various locations</t>
  </si>
  <si>
    <t xml:space="preserve">{\rtf1\ansi\ansicpg1252\deff0\deflang2057{\fonttbl{\f0\fnil\fcharset0 MS Sans Serif;}}_x000D_
\viewkind4\uc1\pard\f0\fs17 Several woodowrk projects for the Dublin West VEC have been grouped together to form a single project due to thier small size._x000D_
\par _x000D_
\par This project number is used to hold all of these projects._x000D_
\par }_x000D_
</t>
  </si>
  <si>
    <t>P5000214</t>
  </si>
  <si>
    <t>GRD Additional works</t>
  </si>
  <si>
    <t>€6,000.00</t>
  </si>
  <si>
    <t>24/06/07  We sent fee proposal of 6k for consolidating heating circuits</t>
  </si>
  <si>
    <t xml:space="preserve">{\rtf1\ansi\ansicpg1252\deff0\deflang2057{\fonttbl{\f0\fnil\fcharset0 MS Sans Serif;}}_x000D_
\viewkind4\uc1\pard\f0\fs17 This project invoves the re-writing of the tender documents for the GRD project to cater for the new GCCC form of contract._x000D_
\par _x000D_
\par This work also includes the reduction of heating circuits to a single pumped circuit and the incorperation of a number of comments from various consultants on our documents._x000D_
\par }_x000D_
</t>
  </si>
  <si>
    <t>P5000218</t>
  </si>
  <si>
    <t xml:space="preserve">OPW Roscommon Land Registry </t>
  </si>
  <si>
    <t>20/07/07 Kick off meeting with Bennets in Mullingar</t>
  </si>
  <si>
    <t>28/08/07 deadline for submission of queries</t>
  </si>
  <si>
    <t>P5000221</t>
  </si>
  <si>
    <t>Scoil Naomh Eoin navan</t>
  </si>
  <si>
    <t>€2,571,455.08</t>
  </si>
  <si>
    <t>53760</t>
  </si>
  <si>
    <t>Appointment sept 2007</t>
  </si>
  <si>
    <t>27/06/08 Issued Stage 2 A report to Architect</t>
  </si>
  <si>
    <t>01/02/09 response on our Stage 2a letter was received from the DES via the Architect.  Forwarded relatively late to BDP.</t>
  </si>
  <si>
    <t>27/07/09 Issued Stage 2B to Architect</t>
  </si>
  <si>
    <t>10/11/09 DoES issued e-mail with the go ahead for the Enabling works (redirect MV lines)</t>
  </si>
  <si>
    <t>Scoil Naoimh Eoin, Clonmagadden Valley, Navan, Co Meath</t>
  </si>
  <si>
    <t>Co. meath</t>
  </si>
  <si>
    <t xml:space="preserve">{\rtf1\ansi\ansicpg1252\deff0\deflang2057{\fonttbl{\f0\fnil\fcharset0 MS Sans Serif;}}_x000D_
\viewkind4\uc1\pard\f0\fs17 16 Classroom GRD_x000D_
\par }_x000D_
</t>
  </si>
  <si>
    <t xml:space="preserve">{\rtf1\ansi\ansicpg1252\deff0\deflang2057{\fonttbl{\f0\fnil\fcharset0 MS Sans Serif;}}_x000D_
{\colortbl ;\red255\green0\blue0;\red0\green0\blue0;\red0\green0\blue255;}_x000D_
\viewkind4\uc1\pard\cf1\b\f0\fs17 Risk \cf2\b0 GRD school, low fee availible. _x000D_
\par \cf3\b Mitigation \cf2\b0 Minimise no of site visits at early stages. Ensure utilities site info issued to avoid additional meetings.\cf0 _x000D_
\par }_x000D_
</t>
  </si>
  <si>
    <t>5</t>
  </si>
  <si>
    <t xml:space="preserve">{\rtf1\ansi\ansicpg1252\deff0\deflang2057{\fonttbl{\f0\fnil\fcharset0 Microsoft Sans Serif;}}_x000D_
\viewkind4\uc1\pard\f0\fs17 All communication by email with all e-mails saved on the 'J' drive.\fs17\par_x000D_
}_x000D_
</t>
  </si>
  <si>
    <t>120180Q</t>
  </si>
  <si>
    <t>P5000231</t>
  </si>
  <si>
    <t>Blocks A&amp;B, Cathal Brugha</t>
  </si>
  <si>
    <t>02/11/2007 Preliminary stage report</t>
  </si>
  <si>
    <t>07/01/08 Letter received to proceed to detailed design stage</t>
  </si>
  <si>
    <t>June 2008 - project currently on hold pending decision from client to proceed to tender</t>
  </si>
  <si>
    <t>Cathal Brugha Barracks, Rathmines, Dublin 6</t>
  </si>
  <si>
    <t>Dublin City</t>
  </si>
  <si>
    <t xml:space="preserve">{\rtf1\fbidis\ansi\ansicpg1252\deff0\deflang2057{\fonttbl{\f0\fnil\fcharset0 MS Sans Serif;}{\f1\fswiss\fprq2\fcharset0 Calibri;}}_x000D_
\viewkind4\uc1\pard\ltrpar\sa200\sl276\slmult1\f0\fs17 The refurbishment of a building to form accommodation barracks  \f1\fs22\par_x000D_
\pard\ltrpar\f0\fs17 The project reached tender stage and was then placed on hold\par_x000D_
}_x000D_
</t>
  </si>
  <si>
    <t>P5000253</t>
  </si>
  <si>
    <t>St Annes Ardclough</t>
  </si>
  <si>
    <t>€2,347,484.57</t>
  </si>
  <si>
    <t>08/01/08  The project began_x000D_
_x000D_
31/03/08  Planning not submitted to date. Will push tender and start date out by several months</t>
  </si>
  <si>
    <t>13/06/08 Stage 2A report issued to architect_x000D_
_x000D_
15/01/08 letter received from DES approving Stage 2</t>
  </si>
  <si>
    <t>Curretnly on hold (July 09)_x000D_
_x000D_
31/07/09 Approval received to issue 2b documents in two weeks tinme</t>
  </si>
  <si>
    <t>12/04/10 DoES issued stage 2b approval. _x000D_
_x000D_
19/07/10 Project tender return 29.16% below total estmate. Elec came in at 54.3%, Mech at 56.4% and lift at 57.4%.</t>
  </si>
  <si>
    <t>17/08/10 Tender return report issued to QS.</t>
  </si>
  <si>
    <t>08/11/10 Letter of Intent issued to Contractor_x000D_
_x000D_
16/12/10 Contract signing. Contractor on Site 10/01/11</t>
  </si>
  <si>
    <t>DoES approval for approval of the Completions Works contract to proceed issued on 15/02/2013. _x000D_
Letter of intent issued to Townlink by ER on 19-02-13_x000D_
_x000D_
Townlink appointed on 23/04/2013. Their programme states finish on 13/06/13._x000D_
SC issued on 19/07/13</t>
  </si>
  <si>
    <t xml:space="preserve">Ardclough </t>
  </si>
  <si>
    <t xml:space="preserve">Co Kildare </t>
  </si>
  <si>
    <t xml:space="preserve">{\rtf1\ansi\ansicpg1252\deff0\deflang2057{\fonttbl{\f0\fnil\fcharset0 MS Sans Serif;}}_x000D_
\viewkind4\uc1\pard\f0\fs20 This is a GRD 16 primary school with a 4 unit Special Education Init_x000D_
\par _x000D_
\par Our duties Involve preparing site services tender documents for the project, tendering the project, and supervising on site.\fs17 _x000D_
\par }_x000D_
</t>
  </si>
  <si>
    <t>K:\M&amp;E\Powerpoint Presentations\Various images\COMPLETED PROJECTS\GRD Schools\Small\overview sml.jpg</t>
  </si>
  <si>
    <t xml:space="preserve">{\rtf1\ansi\ansicpg1252\deff0\deflang2057{\fonttbl{\f0\fnil\fcharset0 MS Sans Serif;}}_x000D_
{\colortbl ;\red255\green0\blue0;\red0\green0\blue0;\red0\green0\blue255;}_x000D_
\viewkind4\uc1\pard\cf1\b\f0\fs17 Update 14/04/13\par_x000D_
\cf2\b0 The contractors, contract was terminated and an alternative contractor apointed to complete the works.  BDP were paid additional fees for organising the completion.  The original contractor Glenman will probalby mount a leagal case against the contract termination.  BDP need to be careful to agree all fees for any involvement in advance.  There is a potential risk that BDP will be implicated in their contribution towards determining the termination but the case for termination of the contractor was extermely strong.\cf1\b\par_x000D_
\par_x000D_
Risks:  \cf2\b0 Relatively low fee due to relatively few duties.\par_x000D_
\cf3\b Mitigation: \cf2\b0 Minimise pre-tender work.  Minimise our attendance at site meetings, during the beginning stages of the project.\par_x000D_
Resolve site related issues promptly at the start of the project on site in order to avoid them dragging us to several meetings\cf0\par_x000D_
}_x000D_
</t>
  </si>
  <si>
    <t>17674B</t>
  </si>
  <si>
    <t>P5000254</t>
  </si>
  <si>
    <t>Waterford Private Hospital</t>
  </si>
  <si>
    <t>€90,000,000.00</t>
  </si>
  <si>
    <t>189244</t>
  </si>
  <si>
    <t>Feasibility</t>
  </si>
  <si>
    <t>Waterford City</t>
  </si>
  <si>
    <t xml:space="preserve">{\rtf1\ansi\ansicpg1252\deff0\deflang2057{\fonttbl{\f0\fnil\fcharset0 MS Sans Serif;}}_x000D_
\viewkind4\uc1\pard\f0\fs17 New Private Co-Located Hospital to be built on main Waterford General Hospital site_x000D_
\par }_x000D_
</t>
  </si>
  <si>
    <t>20</t>
  </si>
  <si>
    <t>P5000255</t>
  </si>
  <si>
    <t>Carlow IT Enabling works</t>
  </si>
  <si>
    <t>29/07/08 Enabling Report Issued to Client</t>
  </si>
  <si>
    <t>CIT, Kilkenny Road,</t>
  </si>
  <si>
    <t xml:space="preserve">{\rtf1\ansi\ansicpg1252\deff0\deflang2057{\fonttbl{\f0\fnil\fcharset0 MS Sans Serif;}}_x000D_
\viewkind4\uc1\pard\f0\fs17 Enabling works report for proposed new building developement on CIT Campus_x000D_
\par }_x000D_
</t>
  </si>
  <si>
    <t>P5000263</t>
  </si>
  <si>
    <t>EPBD Schools Studies</t>
  </si>
  <si>
    <t>09/08/06 Sent grant request form to John Dolan with a view to beginning the project, however the des did not  provide the list of schools for surveying as required</t>
  </si>
  <si>
    <t>12/12/07  Carried out first survey</t>
  </si>
  <si>
    <t>29/02/08  Completed final School Survey (site visit)</t>
  </si>
  <si>
    <t>24/07/08 Submitted Report with proposed Cert Ratings for various school types/ages</t>
  </si>
  <si>
    <t>23/12/08 Following meeting with SEI last week(18/12/08) we were asked to adapt the web site to reflect the new methodology</t>
  </si>
  <si>
    <t xml:space="preserve">{\rtf1\ansi\ansicpg1252\deff0\deflang2057{\fonttbl{\f0\fnil\fcharset0 MS Sans Serif;}{\f1\fswiss\fcharset0 Arial;}{\f2\froman\fcharset0 Times New Roman;}}_x000D_
{\colortbl ;\red0\green0\blue255;}_x000D_
\viewkind4\uc1\pard\f0\fs17 Carry out a sruvey of a series of schools\par_x000D_
Determine an appropriate energy benchmark for various schools of various ages\par_x000D_
Create a web site that produces EPBD energy certs\par_x000D_
\par_x000D_
admin access\par_x000D_
\pard\sb100\sa100\cf1\ul\f1\fs20 &lt;https://admin.register365.com/add_domain/&gt;\cf0\ulnone\f2\fs24\par_x000D_
\pard\f0\fs17 with the user name chris-croly@bdp.ie and the password in the formate of c....1\par_x000D_
}_x000D_
</t>
  </si>
  <si>
    <t xml:space="preserve">{\rtf1\ansi\ansicpg1252\deff0\deflang2057{\fonttbl{\f0\fnil\fcharset0 MS Sans Serif;}}_x000D_
{\colortbl ;\red255\green0\blue0;\red0\green0\blue0;\red0\green0\blue255;}_x000D_
\viewkind4\uc1\pard\cf1\b\f0\fs17 Risks_x000D_
\par \cf2\b0 The DES did not provide the list of schools required at the time required to complete the work within our fee._x000D_
\par The DES provided a list of schools that were spread geographically rather than in groups as required and noted in our fee agreement._x000D_
\par \cf3\b Mitigation_x000D_
\par \cf2\b0 We must either survey less schools than inteded for the same fee, or achive a greater fee._x000D_
\par We should try to pickup remote schools while carrying out other work._x000D_
\par \cf0 _x000D_
\par }_x000D_
</t>
  </si>
  <si>
    <t>P5000273</t>
  </si>
  <si>
    <t>Blacks Road - Vistion</t>
  </si>
  <si>
    <t>Jan 2008 Our involvement started</t>
  </si>
  <si>
    <t xml:space="preserve">{\rtf1\ansi\ansicpg1252\deff0\deflang2057{\fonttbl{\f0\fnil\fcharset0 MS Sans Serif;}}_x000D_
\viewkind4\uc1\pard\f0\fs17 Sustainability masterplanning consultancy for a 600 dwelling development in Belfast.\fs17 _x000D_
\par }_x000D_
</t>
  </si>
  <si>
    <t>M&amp;E,Arch,Plan</t>
  </si>
  <si>
    <t>P5000286</t>
  </si>
  <si>
    <t>Dublin Dental School Lecture Theatre Ltg</t>
  </si>
  <si>
    <t>€30,000.00</t>
  </si>
  <si>
    <t>Design Issued to Client for approval 22/05/08</t>
  </si>
  <si>
    <t>P5000287</t>
  </si>
  <si>
    <t>Third Level PPP Bundle One</t>
  </si>
  <si>
    <t>J:\P5000287\Images\BDP AERIAL.jpg</t>
  </si>
  <si>
    <t>P5000290</t>
  </si>
  <si>
    <t>Louth County Council offices Study</t>
  </si>
  <si>
    <t>€18,000</t>
  </si>
  <si>
    <t>19th Feb 2008 - Initial Site Visit &amp; Survey</t>
  </si>
  <si>
    <t>6th Mar 2008 - Study Began</t>
  </si>
  <si>
    <t>23 April 2008 - Final report issued to the council</t>
  </si>
  <si>
    <t>16 May 2008 - Final Report presented to Board of Management</t>
  </si>
  <si>
    <t>St. Alphonsus Road, Dundalk</t>
  </si>
  <si>
    <t xml:space="preserve">{\rtf1\fbidis\ansi\ansicpg1252\deff0\deflang2057{\fonttbl{\f0\fswiss\fprq2\fcharset0 Arial;}{\f1\fnil\fcharset0 MS Sans Serif;}}_x000D_
\viewkind4\uc1\pard\ltrpar\sa200\sl276\slmult1\f0\fs20 BDP were commissioned by Louth County Council to undertake a survey of the overheating problem in their offices and to publish a report suggesting a variety of solutions which could be undertaken to remedy the situation. \par_x000D_
\par_x000D_
We were also asked to provide a suggested strategy for reducing the buildings energy consumption over a number of years.\par_x000D_
\par_x000D_
BDP were then commissioned to complete the refurbishment works based on the energy report. SEAI funding was successfully obtained that covered 75% of the funding of the works.\par_x000D_
\par_x000D_
The refurbishment works involved a lighting upgrade, boiler replacement, heating controls installation and an upgrade of the natural ventilation system in the building to include noise attenuation louvres on the facade adjacent to the main road. The extract ventilation through the atrium roof was increased in order to create a cross ventilation effect combined with a stack effect from the louvres though to the atirum.\par_x000D_
\pard\ltrpar\f1\fs17\par_x000D_
}_x000D_
</t>
  </si>
  <si>
    <t>J:\P5000290\Images\P2190040.JPG</t>
  </si>
  <si>
    <t xml:space="preserve">{\rtf1\ansi\ansicpg1252\deff0\deflang2057{\fonttbl{\f0\fnil\fcharset0 Arial;}{\f1\froman\fprq2\fcharset0 Times New Roman;}{\f2\fnil\fcharset0 MS Sans Serif;}}_x000D_
{\colortbl ;\red255\green0\blue0;}_x000D_
\viewkind4\uc1\pard\cf1\b\fs20 Risks\cf0\b0\f1\fs24 _x000D_
\par Overheating is a subjective issue and it is important to advise of the relative effects of the proposed measures rather than providing specific guarantees of resultant performance._x000D_
\par \f2\fs17 _x000D_
\par }_x000D_
</t>
  </si>
  <si>
    <t>Fee value</t>
  </si>
  <si>
    <t>P5000291</t>
  </si>
  <si>
    <t>Northumbland School</t>
  </si>
  <si>
    <t>London</t>
  </si>
  <si>
    <t xml:space="preserve">{\rtf1\ansi\ansicpg1252\deff0\deflang2057{\fonttbl{\f0\fnil\fcharset0 MS Sans Serif;}}_x000D_
\viewkind4\uc1\pard\f0\fs17 Simulation work on an existing school for the BDP London office\fs17 _x000D_
\par }_x000D_
</t>
  </si>
  <si>
    <t>P5000306</t>
  </si>
  <si>
    <t xml:space="preserve">Magherafelt BREEAM </t>
  </si>
  <si>
    <t>26/05/08  Began formal BREEAM assesment_x000D_
July 2012 the final assessment was completed</t>
  </si>
  <si>
    <t xml:space="preserve">{\rtf1\ansi\ansicpg1252\deff0\deflang2057{\fonttbl{\f0\fnil\fcharset0 Arial;}}_x000D_
\viewkind4\uc1\pard\fs20 BDP carried out a BREEAM assessment for the Magherafelt High School\par_x000D_
}_x000D_
</t>
  </si>
  <si>
    <t>P5000310</t>
  </si>
  <si>
    <t>Bord Gais Competition</t>
  </si>
  <si>
    <t>P5000312</t>
  </si>
  <si>
    <t>Enniskerry Phase II Development</t>
  </si>
  <si>
    <t>06/05/08  Project Confirmed as real by email from Treasury</t>
  </si>
  <si>
    <t>13/06/08 Initial Site Visit attended by DB,CC,BOS, Stephen Murphy (Treasury Holdings), Mary-Anne Parsons (Colm O'Broin &amp; Partners)</t>
  </si>
  <si>
    <t>Kilgarron Hill, Enniskerry</t>
  </si>
  <si>
    <t>Co. Wicklow</t>
  </si>
  <si>
    <t xml:space="preserve">{\rtf1\ansi\ansicpg1252\deff0\deflang2057{\fonttbl{\f0\fnil\fcharset0 MS Sans Serif;}}_x000D_
\viewkind4\uc1\pard\f0\fs17 100 unit residential development on a 19.28 acres site at Kilgarron Hill, Enniskerry, Co. Wicklow. This is Phase 2 of a development. BDP not involved in Phase 1. A BER A2-A3 rating is being sought on each of the 6 house types to populate this estate. This site is elevated above Enniskerry village and slopes downhil in a northerly direction. _x000D_
\par BDP have ben hired as sustainability consultants and to provide BER ratings for the various house types._x000D_
\par }_x000D_
</t>
  </si>
  <si>
    <t>P5000322</t>
  </si>
  <si>
    <t>Alterations to Layout, Enterprise Building, WIT</t>
  </si>
  <si>
    <t>10 July 08  Brief document issued to WIT</t>
  </si>
  <si>
    <t>P5000325</t>
  </si>
  <si>
    <t>88 Thomas Street</t>
  </si>
  <si>
    <t>10/07/08  Received letter of appointment</t>
  </si>
  <si>
    <t>Planning Application to be made earlier february</t>
  </si>
  <si>
    <t>Projec placed on hold, probably in early 2009</t>
  </si>
  <si>
    <t>88 Thomas Street_x000D_
Dublin 8</t>
  </si>
  <si>
    <t xml:space="preserve">{\rtf1\ansi\ansicpg1252\deff0\deflang2057{\fonttbl{\f0\fnil\fcharset0 MS Sans Serif;}}_x000D_
\viewkind4\uc1\pard\f0\fs17 88 Thomas st is a 6 storey low energy office development. BDP are involved with the mechanical and electrical design. It is proposed to use a micro CHP system for heating and electricity generation. Natural ventilation and night time cooling will also be provided. \par_x000D_
\par_x000D_
The existing building on the site will need to be demloished before works can take place. The building has been designed so that there are shops on the ground floors with road frontage on Thomas St. The upper floors will be let individually and the focus has been on marketing the offices as an incubation centre, like others in the Thomas St. Area. \par_x000D_
\par_x000D_
Thomas st. has been indentified by Dublin City Council as a focus area for high rise and business development. \par_x000D_
}_x000D_
</t>
  </si>
  <si>
    <t xml:space="preserve">{\rtf1\ansi\ansicpg1252\deff0\deflang2057{\fonttbl{\f0\fnil\fcharset0 Microsoft Sans Serif;}{\f1\fnil\fcharset0 Arial;}}_x000D_
{\colortbl ;\red255\green0\blue0;\red0\green0\blue0;\red0\green0\blue255;}_x000D_
\viewkind4\uc1\pard\cf1\f0\fs17 Risk\cf2\f1\fs20 _x000D_
\par _x000D_
\par The building is in a city centre location, Potential traffic noise is a consideration.  Interruption of utilities to surrounding buildings is also a concern._x000D_
\par _x000D_
\par From a financial perspective, we have not worked with Castlepark previously and the rate of progress of the prouject could be a concern._x000D_
\par _x000D_
\par \cf3 Mitigation_x000D_
\par _x000D_
\par \cf2 Carefully monitor the project program.  Develop a simple, robust building solution.  Clearly establish services routes to avoid co-ordination difficulties.\cf0\f0\fs17 _x000D_
\par }_x000D_
</t>
  </si>
  <si>
    <t>P5000327</t>
  </si>
  <si>
    <t>Lansdowne Road IPA</t>
  </si>
  <si>
    <t>P5000328</t>
  </si>
  <si>
    <t>Phibblestown schools</t>
  </si>
  <si>
    <t>15,000,000</t>
  </si>
  <si>
    <t>105,000</t>
  </si>
  <si>
    <t>Stage 2a</t>
  </si>
  <si>
    <t xml:space="preserve">12/09/08 _x000D_
-               Commentary on scheme_x000D_
-	Energy Performance Targets_x000D_
-	Utility Suppliers_x000D_
-	Rainwater Recovery_x000D_
</t>
  </si>
  <si>
    <t xml:space="preserve">_x000D_
19/09/08_x000D_
Site Layout_x000D_
-	Site Master Plan Commentary_x000D_
</t>
  </si>
  <si>
    <t>19/09/08_x000D_
Drawings_x000D_
-	Site Plan_x000D_
-	Floor Plans_x000D_
-	Sections &amp; Elevations_x000D_
-	Roof Plans_x000D_
-	Typical Sections_x000D_
-	Services_x000D_
-	Further Sections_x000D_
-	Detailed _x000D_
dimensioned layouts</t>
  </si>
  <si>
    <t>Phibblestown,_x000D_
Dublin 15</t>
  </si>
  <si>
    <t xml:space="preserve">{\rtf1\ansi\ansicpg1252\deff0\deflang2057{\fonttbl{\f0\fnil\fcharset0 MS Sans Serif;}}_x000D_
\viewkind4\uc1\pard\f0\fs17 Design Primary and Post Primary Schools in Phibblestown, Dublin 15.\par_x000D_
This is a D&amp;B bid with Grahams as our Client.\par_x000D_
}_x000D_
</t>
  </si>
  <si>
    <t xml:space="preserve">{\rtf1\ansi\ansicpg1252\deff0\deflang2057{\fonttbl{\f0\fnil\fcharset0 MS Sans Serif;}}_x000D_
\viewkind4\uc1\pard\f0\fs17 Low Fee\par_x000D_
Working with existing drawings which are non-compliant\par_x000D_
Potential planning problems if we are successful with the bid\par_x000D_
\par_x000D_
We are mitigating the above risks in the following ways:\par_x000D_
we are carefully managing our input, and lookingn at ways in which we can standardise our designs and use previous drawing information from similar projects\par_x000D_
We are changing elements of teh existing design to make them DoES compliant layouts\par_x000D_
We are informing the Client of the potential planning risks and we are also going to liaise with the local planning authority.\par_x000D_
}_x000D_
</t>
  </si>
  <si>
    <t>Miscellaneous folder on the J drive under the job number</t>
  </si>
  <si>
    <t>All work to be complete by 28th September 2008</t>
  </si>
  <si>
    <t xml:space="preserve">{\rtf1\ansi\ansicpg1252\deff0\deflang2057{\fonttbl{\f0\fnil\fcharset0 Microsoft Sans Serif;}}_x000D_
\viewkind4\uc1\pard\f0\fs17 We are using teambinder.\par_x000D_
However, during the design process which is extremely tight we are communicatiing with each other on a daily basis via the telephone and small, short workshops as well as using the in house Outlook email system.\par_x000D_
At the end of the stage, everyone will copy to the pst file\par_x000D_
}_x000D_
</t>
  </si>
  <si>
    <t>QA folder</t>
  </si>
  <si>
    <t>P5000342</t>
  </si>
  <si>
    <t>PPP Schools Bundle Two</t>
  </si>
  <si>
    <t>75,000</t>
  </si>
  <si>
    <t>complete</t>
  </si>
  <si>
    <t>stage 1 submissin 28/11/08 Stage 2 06/03/09</t>
  </si>
  <si>
    <t>24/09/08 Kick off meetign with DES</t>
  </si>
  <si>
    <t>stage 1 submissin 28/11/08 Stage 2 06/03/09_x000D_
22/12/08 response received on our stage one report</t>
  </si>
  <si>
    <t>KEY DATES: Tues/Wed 20/01/09 consultaion meetings_x000D_
23/01/09 Arch design freeze_x000D_
03/02/09 Draft text_x000D_
13/02/09 Cost plan freeze_x000D_
17/02/09 Consultation meeting 2_x000D_
06/03/09 Submission submitted</t>
  </si>
  <si>
    <t xml:space="preserve">Click on Map below for a full list of the school locations size etc._x000D_
</t>
  </si>
  <si>
    <t>Kildare, Cork, Wicklow, Limerick</t>
  </si>
  <si>
    <t xml:space="preserve">{\rtf1\ansi\ansicpg1252\deff0\deflang2057{\fonttbl{\f0\fnil\fcharset0 Arial;}}_x000D_
\viewkind4\uc1\pard\fs20 This project involves a PPP bid for four secondary and one primary school._x000D_
\par _x000D_
\par The PPP mangement period is 25 years._x000D_
\par _x000D_
\par There are three architects working on seperate packages._x000D_
\par }_x000D_
</t>
  </si>
  <si>
    <t xml:space="preserve">{\rtf1\ansi\ansicpg1252\deff0\deflang2057{\fonttbl{\f0\fnil\fcharset0 Microsoft Sans Serif;}}_x000D_
{\colortbl ;\red255\green0\blue0;\red0\green0\blue0;\red0\green128\blue128;}_x000D_
\viewkind4\uc1\pard\cf1\f0\fs17 Risks: \cf2 Our fee for the project is extermely small and the project must be managed very efficiently to ensure that a significant cost over-run does not occur._x000D_
\par _x000D_
\par One of the architects is not familiar with Irish schools proeject design._x000D_
\par _x000D_
\par \cf3 Mitigation: \cf2 Carefully manage our team.  Make sure that the three poroject architects use standard deatils for all projects where possible.  Make sure the architec who has not worked on Irish school gets as much support as possible to avoid issues that may cause project rejection.\cf0 _x000D_
\par }_x000D_
</t>
  </si>
  <si>
    <t>29/09/08</t>
  </si>
  <si>
    <t>J:/projectnumber/Brief/</t>
  </si>
  <si>
    <t>J:/projectnumber/Brief/(The program is contained wtihin the breif)</t>
  </si>
  <si>
    <t xml:space="preserve">{\rtf1\ansi\ansicpg1252\deff0\deflang2057{\fonttbl{\f0\fnil\fcharset0 Microsoft Sans Serif;}}_x000D_
\viewkind4\uc1\pard\f0\fs17 Email will be saved in PST files withi n the project J drive.\par_x000D_
\par_x000D_
Teambinder will be used for formal document issues.\par_x000D_
}_x000D_
</t>
  </si>
  <si>
    <t>J:/Cost Control/</t>
  </si>
  <si>
    <t>P5000343</t>
  </si>
  <si>
    <t>Guerilla Lighting</t>
  </si>
  <si>
    <t>Chantelle Stewart</t>
  </si>
  <si>
    <t>Lighting Marketing</t>
  </si>
  <si>
    <t>P5000344</t>
  </si>
  <si>
    <t>Richard Rose Academy, Cumbria</t>
  </si>
  <si>
    <t>Sustainability Consult</t>
  </si>
  <si>
    <t>P5000363</t>
  </si>
  <si>
    <t>Hilton Hotel Lagos</t>
  </si>
  <si>
    <t>€60M</t>
  </si>
  <si>
    <t>Stage 2b</t>
  </si>
  <si>
    <t xml:space="preserve">{\rtf1\fbidis\ansi\ansicpg1252\deff0\deflang2057{\fonttbl{\f0\fswiss\fprq2\fcharset0 Arial;}{\f1\fnil\fcharset0 Arial;}}_x000D_
\viewkind4\uc1\pard\ltrpar\f0\fs17 New 250 key hotel in Lagos, Nigeria. The building includes 3 restaurants, meeting suites, spa and function /ballroom set in a landscaped park. The building is serviced using a full independent energy centre and servicing strategy. \f1\fs20\par_x000D_
}_x000D_
</t>
  </si>
  <si>
    <t>Hotel</t>
  </si>
  <si>
    <t xml:space="preserve">{\rtf1\fbidis\ansi\ansicpg1252\deff0\deflang2057{\fonttbl{\f0\fswiss\fprq2\fcharset0 Calibri;}{\f1\fnil\fcharset0 Microsoft Sans Serif;}}_x000D_
{\colortbl ;\red31\green73\blue125;}_x000D_
\viewkind4\uc1\pard\ltrpar\cf1\f0\fs22 Teambinder was used up to July 2012 and all correspondence from that date on shall be in Newforma\cf0\f1\fs17 .\fs17\par_x000D_
}_x000D_
</t>
  </si>
  <si>
    <t>P5000365</t>
  </si>
  <si>
    <t>Louth County Council Offices Refurbishment Works</t>
  </si>
  <si>
    <t>€182,234</t>
  </si>
  <si>
    <t xml:space="preserve">08-09-18 - BDP asked to quote for advancing project to tender stage_x000D_
_x000D_
08-11-24 - Site meeting to clarify scope of works_x000D_
_x000D_
</t>
  </si>
  <si>
    <t xml:space="preserve">09-01-15 - DEC recieved from SEI_x000D_
 _x000D_
09-02-06 - e-tender placement for pre-quals_x000D_
_x000D_
09-03-25 - Tender invites sent out_x000D_
</t>
  </si>
  <si>
    <t>09-05-22 - SEEEP Application submitted to SEI_x000D_
_x000D_
09-06-08 - SEEP Grant achieved at 100% of labour costs and 50% of materials</t>
  </si>
  <si>
    <t>09-08-28 - Official letter of acceptance to Gansons_x000D_
09-09-01 - Gansons started on site</t>
  </si>
  <si>
    <t>09-11-30 - Practical Completion of Works_x000D_
_x000D_
10-12-03 - final account agreed following extensive snagging</t>
  </si>
  <si>
    <t xml:space="preserve">{\rtf1\ansi\ansicpg1252\deff0\deflang2057{\fonttbl{\f0\fnil\fcharset0 MS Sans Serif;}{\f1\fnil\fcharset0 Arial;}}_x000D_
{\colortbl ;\red255\green0\blue0;\red0\green128\blue64;}_x000D_
\viewkind4\uc1\pard\f0\fs17 Commissioned by Louth County Council to undertake a survey of the \cf1 overheating\cf0  problem in their offices and to publish a report suggesting a variety of solutions which could be undertaken to remedy the situation. \par_x000D_
\par_x000D_
We were also asked to provide a suggested strategy for reducing the buildings \cf2 energy consumption \cf0 over a number of years.\par_x000D_
\par_x000D_
BDP were then commissioned to complete the refurbishment works based on the energy report. SEAI funding was successfully obtained that covered 75% of the funding of the works.\par_x000D_
\par_x000D_
The refurbishment works involved a lighting upgrade, boiler replacement, heating controls installation and an upgrade of the natural ventilation system in the building to include noise attenuation louvres on the facade adjacent to the main road. The extract ventilation through the atrium roof was increased in order to create a cross ventilation effect combined with a stack effect from the louvres though to the atirum. \f1\fs20\par_x000D_
}_x000D_
</t>
  </si>
  <si>
    <t>J:\P5000365\Images\09-01-19\CIMG1282.JPG</t>
  </si>
  <si>
    <t>ex VAT</t>
  </si>
  <si>
    <t>Mechanical, Electrical, Architecture</t>
  </si>
  <si>
    <t>Noise attenuation louvres_x000D_
heating refurbishment_x000D_
boiler replacement_x000D_
lighting upgrade</t>
  </si>
  <si>
    <t>P5000367</t>
  </si>
  <si>
    <t>EPC - Royal Bournemouth Hospital Medical Records Library</t>
  </si>
  <si>
    <t>Drawings Recieved from Bristol</t>
  </si>
  <si>
    <t>P5000368</t>
  </si>
  <si>
    <t>Holy Child School, Killiney</t>
  </si>
  <si>
    <t>P5000376</t>
  </si>
  <si>
    <t>Redland Institute Simulation</t>
  </si>
  <si>
    <t>06/01/08 Simulation model sent to Dublin office</t>
  </si>
  <si>
    <t xml:space="preserve">{\rtf1\ansi\ansicpg1252\deff0\deflang2057{\fonttbl{\f0\fnil\fcharset0 Arial;}}_x000D_
\viewkind4\uc1\pard\fs20 Carry out a simulation check on behalf of the London BDP office\par_x000D_
}_x000D_
</t>
  </si>
  <si>
    <t>P5000381</t>
  </si>
  <si>
    <t>Carlow IT Apprentice Building Extension</t>
  </si>
  <si>
    <t>€1,300,000</t>
  </si>
  <si>
    <t>21060</t>
  </si>
  <si>
    <t xml:space="preserve">Stage 1,2 &amp; 2A Report </t>
  </si>
  <si>
    <t>Instruction to produce stage 1,2 &amp; 2A Report given at Client meeting No.1 (06/04/09) and in Architects programme (28-04-09)</t>
  </si>
  <si>
    <t>Stage 1 to 2A report required by 1 June 09</t>
  </si>
  <si>
    <t>Stage 2B complete but early July 09</t>
  </si>
  <si>
    <t>Tender Doc's by end of Aug 09 with a 6 week tender period</t>
  </si>
  <si>
    <t xml:space="preserve">8 month build programme starting from mid Jan 10. Main contractor appointed in Dec </t>
  </si>
  <si>
    <t>PC- Sept 2010</t>
  </si>
  <si>
    <t>Kilkenny Road,_x000D_
Carlow</t>
  </si>
  <si>
    <t xml:space="preserve">{\rtf1\ansi\ansicpg1252\deff0\deflang2057{\fonttbl{\f0\fnil\fcharset0 Arial;}}_x000D_
\viewkind4\uc1\pard\fs20 Electrical Workshop extension to the existing Apprentice Building (Woodwork).\par_x000D_
\par_x000D_
M&amp;E services will connect to the existing services of the building. The extension contains two ground floor electrical workshops with store + toilet and the first floor contains two electrical classroom lads, two class rooms and one office.  \par_x000D_
}_x000D_
</t>
  </si>
  <si>
    <t xml:space="preserve">{\rtf1\ansi\ansicpg1252\deff0\deflang2057{\fonttbl{\f0\fnil\fcharset0 Arial;}{\f1\fnil\fcharset0 Microsoft Sans Serif;}}_x000D_
{\colortbl ;\red255\green0\blue0;\red0\green0\blue255;}_x000D_
\viewkind4\uc1\pard\cf1\fs20 Risks:\cf0\f1\fs17  The fee agreement on this project is quite low. \par_x000D_
\par_x000D_
\cf2\f0\fs20 Mitigations:\cf0\f1\fs17  The terms of our appointment have been clearly identifed to the client and any deviations will incure addational costs. Site Meetings will be kepted to once a month.\par_x000D_
\par_x000D_
\cf1 Updated 15/06/2010\cf0\par_x000D_
Site meetings have been kepted to once a month.  Where the client has requested changes they have been reminded that there will be additional Design Costs to proceed or have been transfared to the contractor. \par_x000D_
}_x000D_
</t>
  </si>
  <si>
    <t>excl. VAT</t>
  </si>
  <si>
    <t>Patrick Murphy (Estates)_x000D_
Carlow Institute of Technology_x000D_
Kilkenny Road,_x000D_
Carlow_x000D_
059 91 76256 (DD)</t>
  </si>
  <si>
    <t>20-05-09</t>
  </si>
  <si>
    <t>M:\P5000381\Project Design Program\09-05-01 Programme from Architect</t>
  </si>
  <si>
    <t xml:space="preserve">{\rtf1\ansi\ansicpg1252\deff0\deflang2057{\fonttbl{\f0\fnil\fcharset0 Microsoft Sans Serif;}}_x000D_
\viewkind4\uc1\pard\f0\fs17 E-mail is teh preferred method of communication for the project in order to minimise the projects environmental impact.\par_x000D_
A project E-mail folder has been created on the project J: drive. All staff working on the project have access to this folder. All e-mails received or sent to/by any member of the team are saved under their name in this folder.\par_x000D_
}_x000D_
</t>
  </si>
  <si>
    <t>J:\P5000381\Cost Control\Variations</t>
  </si>
  <si>
    <t>P5000383</t>
  </si>
  <si>
    <t>St. John Bosco &amp; Mary Help of Christians (Summer Works)</t>
  </si>
  <si>
    <t xml:space="preserve">{\rtf1\ansi\ansicpg1252\deff0\deflang2057{\fonttbl{\f0\fnil\fcharset0 Arial;}}_x000D_
\viewkind4\uc1\pard\fs20 Full heating and water services refurbishment of the existing three school buildings on this site, including the replacement of sanitary ware.  System included metering of usage for separate billing to the school buildings.\par_x000D_
}_x000D_
</t>
  </si>
  <si>
    <t>420,000</t>
  </si>
  <si>
    <t>17367P</t>
  </si>
  <si>
    <t>P5000387</t>
  </si>
  <si>
    <t>Kirk Balk ALC</t>
  </si>
  <si>
    <t>IES Simulation</t>
  </si>
  <si>
    <t>P5000395</t>
  </si>
  <si>
    <t>OpenHydro, Dundalk</t>
  </si>
  <si>
    <t>P5000396</t>
  </si>
  <si>
    <t>AIB Rathmines BER</t>
  </si>
  <si>
    <t>Carried out and completed first week in March 2009</t>
  </si>
  <si>
    <t xml:space="preserve">{\rtf1\ansi\ansicpg1252\deff0\deflang2057{\fonttbl{\f0\fnil\fcharset0 Arial;}}_x000D_
\viewkind4\uc1\pard\fs20 BER cert\par_x000D_
}_x000D_
</t>
  </si>
  <si>
    <t>P5000400</t>
  </si>
  <si>
    <t>Naas Primary Extension - Scoil Bhríde</t>
  </si>
  <si>
    <t>1,489,663.44</t>
  </si>
  <si>
    <t>35,100</t>
  </si>
  <si>
    <t xml:space="preserve">March 2009 The project commenced with approval from DOES for Stage 2b straight away. </t>
  </si>
  <si>
    <t xml:space="preserve">DOES requested that a supplementary report be prepared to cover Stage 2a. </t>
  </si>
  <si>
    <t>Stage 2b submission was completed in May 2010. _x000D_
DAC cert sought by DOES-June 2010</t>
  </si>
  <si>
    <t xml:space="preserve">September 2010- DoES confirmed they had received the BOQ and forwarded the stage 2b completion cert for signing. Issues with lift will be resolved after stage 2b submission. </t>
  </si>
  <si>
    <t>15th November 2010- stage 2b resubmitted with corrections</t>
  </si>
  <si>
    <t xml:space="preserve">Salins Road_x000D_
Naas _x000D_
</t>
  </si>
  <si>
    <t xml:space="preserve">{\rtf1\ansi\ansicpg1252\deff0\deflang2057{\fonttbl{\f0\fnil\fcharset0 Arial;}}_x000D_
\viewkind4\uc1\pard\fs20 This project is an eight classroom extension to Naas Primary School, previously developed by BDP M&amp;E.\par_x000D_
\par_x000D_
\par_x000D_
}_x000D_
</t>
  </si>
  <si>
    <t xml:space="preserve">{\rtf1\ansi\ansicpg1252\deff0\deflang2057{\fonttbl{\f0\fnil\fcharset0 Microsoft Sans Serif;}}_x000D_
\viewkind4\uc1\pard\f0\fs17 1. Project keeps being forgotten about by the DOES architects, despite assurances that the project would move very quickly. \par_x000D_
Mitigated by completing the works to the agreed timeframe and claiming fees. Avoid doing any further work until fees are paid. \par_x000D_
}_x000D_
</t>
  </si>
  <si>
    <t>27/03/08</t>
  </si>
  <si>
    <t>10</t>
  </si>
  <si>
    <t xml:space="preserve">{\rtf1\ansi\ansicpg1252\deff0\deflang2057{\fonttbl{\f0\fnil\fcharset0 Microsoft Sans Serif;}}_x000D_
\viewkind4\uc1\pard\f0\fs17 Stage 1 &amp; Stage 2a were effectively skipped on directions from the DOES. As BDP previously worked on the main school section, there is little unknowns about the project. \par_x000D_
}_x000D_
</t>
  </si>
  <si>
    <t xml:space="preserve">{\rtf1\ansi\ansicpg1252\deff0\deflang2057{\fonttbl{\f0\fnil\fcharset0 Microsoft Sans Serif;}}_x000D_
\viewkind4\uc1\pard\f0\fs17 Email\par_x000D_
}_x000D_
</t>
  </si>
  <si>
    <t>20114D</t>
  </si>
  <si>
    <t>P5000401</t>
  </si>
  <si>
    <t>OPW TCC offices</t>
  </si>
  <si>
    <t>2500</t>
  </si>
  <si>
    <t xml:space="preserve">23 March 2009 simulation results submitted._x000D_
</t>
  </si>
  <si>
    <t>Small simulaition project for BMCC</t>
  </si>
  <si>
    <t>23/03/09</t>
  </si>
  <si>
    <t>P5000402</t>
  </si>
  <si>
    <t>Dundalk WWTP Energy Feasibility Study eps</t>
  </si>
  <si>
    <t>P5000404</t>
  </si>
  <si>
    <t>WIT Enabling Works Project</t>
  </si>
  <si>
    <t>6,000,000</t>
  </si>
  <si>
    <t>P5000407</t>
  </si>
  <si>
    <t>Loreto Kilkenny (SWS '09)</t>
  </si>
  <si>
    <t>45,000</t>
  </si>
  <si>
    <t>61580P</t>
  </si>
  <si>
    <t>P5000410</t>
  </si>
  <si>
    <t>AIB Naas/Mullingar BER works</t>
  </si>
  <si>
    <t>1500</t>
  </si>
  <si>
    <t>09-04-22 Site visits undertaken to both branches</t>
  </si>
  <si>
    <t>09-05-11 Reports with associated BER certs submitted to SEI/AIB</t>
  </si>
  <si>
    <t>AIB Branch, Main Street, Naas_x000D_
AIB Branch, St. Oliver Plunket Street, Mullingar</t>
  </si>
  <si>
    <t>P5000416</t>
  </si>
  <si>
    <t>Pope John Paul 2-Refurb 09</t>
  </si>
  <si>
    <t>100000</t>
  </si>
  <si>
    <t>value of works</t>
  </si>
  <si>
    <t>P5000417</t>
  </si>
  <si>
    <t>ESB Headquarters</t>
  </si>
  <si>
    <t>16/05/2011 First kick off meeting held on the project</t>
  </si>
  <si>
    <t>ESB_x000D_
Fitzwilliam Street_x000D_
Dublin 2</t>
  </si>
  <si>
    <t xml:space="preserve">{\rtf1\fbidis\ansi\ansicpg1252\deff0\deflang2057{\fonttbl{\f0\fnil\fcharset0 Arial;}{\f1\fswiss\fprq2\fcharset0 Calibri;}{\f2\fnil\fcharset0 Microsoft Sans Serif;}}_x000D_
{\colortbl ;\red0\green0\blue128;\red0\green0\blue255;}_x000D_
\viewkind4\uc1\pard\ltrpar\cf1\fs20 Due to the scale of this project, the risk register is saved in: \cf2\ul\f1\fs22 J:\\P5000417\\QA\\Risk Registers\\\cf0\ulnone\par_x000D_
\pard\ltrpar\f2\fs17\par_x000D_
}_x000D_
</t>
  </si>
  <si>
    <t>Claire Solon_x000D_
ESB_x000D_
Fitzwilliam Street_x000D_
Dublin 2</t>
  </si>
  <si>
    <t>/BRIEF/</t>
  </si>
  <si>
    <t xml:space="preserve">{\rtf1\ansi\ansicpg1252\deff0\deflang2057{\fonttbl{\f0\fnil\fcharset0 Microsoft Sans Serif;}}_x000D_
\viewkind4\uc1\pard\f0\fs17 Newforma is used\par_x000D_
}_x000D_
</t>
  </si>
  <si>
    <t>/QA/</t>
  </si>
  <si>
    <t>P5000418</t>
  </si>
  <si>
    <t>ESI For Bristol</t>
  </si>
  <si>
    <t>Project began July 09</t>
  </si>
  <si>
    <t xml:space="preserve">{\rtf1\ansi\ansicpg1252\deff0\deflang2057{\fonttbl{\f0\fnil\fcharset0 Arial;}}_x000D_
\viewkind4\uc1\pard\fs20 Sustainability support to the Bristol office for their Environmental Services Institute Project\par_x000D_
}_x000D_
</t>
  </si>
  <si>
    <t>P5000419</t>
  </si>
  <si>
    <t>New RTM Facility at Bombardier Shorts, Dunmurry</t>
  </si>
  <si>
    <t>P5000420</t>
  </si>
  <si>
    <t>BER - 92 Lower George's st</t>
  </si>
  <si>
    <t>€700</t>
  </si>
  <si>
    <t>700</t>
  </si>
  <si>
    <t>Final BER and Report to Client</t>
  </si>
  <si>
    <t>June 12th - contact made with client - fee agreed in principal</t>
  </si>
  <si>
    <t>June 16th - site visit and fee agreed in writing</t>
  </si>
  <si>
    <t>June 22nd - BER submitted to SEI</t>
  </si>
  <si>
    <t>92 Lower George's St._x000D_
Dun Laoghaire,_x000D_
Co.Dublin</t>
  </si>
  <si>
    <t>fee ex VAT</t>
  </si>
  <si>
    <t>P5000424</t>
  </si>
  <si>
    <t>Laytown Post Primary School</t>
  </si>
  <si>
    <t>21/08/09 Final bid submission date</t>
  </si>
  <si>
    <t>10/07/09  Team kick off meeting held</t>
  </si>
  <si>
    <t xml:space="preserve">Laytown_x000D_
</t>
  </si>
  <si>
    <t xml:space="preserve">{\rtf1\ansi\ansicpg1252\deff0\deflang2057{\fonttbl{\f0\fnil\fcharset0 Arial;}}_x000D_
\viewkind4\uc1\pard\fs20 This is a design and build secondary school compentition.\par_x000D_
\par_x000D_
Graham Construction are our client\par_x000D_
\par_x000D_
Belfast BDP architects and C&amp;S are working on the project\par_x000D_
}_x000D_
</t>
  </si>
  <si>
    <t xml:space="preserve">{\rtf1\ansi\ansicpg1252\deff0\deflang2057{\fonttbl{\f0\fnil\fcharset0 Microsoft Sans Serif;}}_x000D_
\viewkind4\uc1\pard\f0\fs17 The largest risk for BDP is a potential over run of costs during the competition.\par_x000D_
\par_x000D_
Mitigating this is the short program.\par_x000D_
\par_x000D_
We are also minimising risk by limiting our input till as late as possible and limiting communication to prevent getting drawn into additional taks.  All communication with M&amp;E will be divereted through the project director.\par_x000D_
}_x000D_
</t>
  </si>
  <si>
    <t>M&amp;E &amp; Arch</t>
  </si>
  <si>
    <t xml:space="preserve">{\rtf1\ansi\ansicpg1252\deff0\deflang2057{\fonttbl{\f0\fnil\fcharset0 Microsoft Sans Serif;}}_x000D_
\viewkind4\uc1\pard\f0\fs17 As this is a competition, tasks will be limited to thoes requried for the competition.\par_x000D_
\par_x000D_
Taks such as client interaction will be limited.\par_x000D_
}_x000D_
</t>
  </si>
  <si>
    <t>in the Brief folder on the J drive</t>
  </si>
  <si>
    <t xml:space="preserve">{\rtf1\ansi\ansicpg1252\deff0\deflang2057{\fonttbl{\f0\fnil\fcharset0 Microsoft Sans Serif;}}_x000D_
\viewkind4\uc1\pard\f0\fs17 Teambinder will be used for all communciation.\par_x000D_
\par_x000D_
Ths is the M&amp;E project hand book, refer to the Belfast version of the project hand book for the overall BDP team project managemetn information.\par_x000D_
}_x000D_
</t>
  </si>
  <si>
    <t>DEC Assessment - NUI Galway Phase 1</t>
  </si>
  <si>
    <t>17/07/09 - site visit. Met Noel O'Connor on site. discussed information required and process of DEC assessments</t>
  </si>
  <si>
    <t xml:space="preserve">NUI Galway,_x000D_
</t>
  </si>
  <si>
    <t>P5000430</t>
  </si>
  <si>
    <t>AIB - BER Batch 3 &amp; 4</t>
  </si>
  <si>
    <t>€11750</t>
  </si>
  <si>
    <t>11750</t>
  </si>
  <si>
    <t>13-08-09 Quotation for 9 branches in Leinster Region accepted - Batch 3</t>
  </si>
  <si>
    <t>19-08-09 Final Drawings Received for Batch 3</t>
  </si>
  <si>
    <t>18-11-09 Clondalkin removed from list of branches - 6 additional branches added to list --&gt; Batch 4</t>
  </si>
  <si>
    <t>27-11-09 Templemore branch removed from batch 4 list</t>
  </si>
  <si>
    <t>23-12-09 Final BER Certificates and reports presented to AIB</t>
  </si>
  <si>
    <t>15-01-10 Final Payment received by AIB</t>
  </si>
  <si>
    <t>Carlow_x000D_
Cavan_x000D_
Cellbridge_x000D_
Clondalkin_x000D_
Leixlip_x000D_
Portlaoise_x000D_
Rathfarnham_x000D_
Terneure_x000D_
Tullamore_x000D_
AIF Stores, Milltown</t>
  </si>
  <si>
    <t>mainly Leinster</t>
  </si>
  <si>
    <t xml:space="preserve">{\rtf1\ansi\ansicpg1252\deff0\deflang2057{\fonttbl{\f0\fnil\fcharset0 Arial;}}_x000D_
\viewkind4\uc1\pard\fs20 Provision of Final BER Certificates for 9 no. AIB branches in the Leinster Region.\par_x000D_
}_x000D_
</t>
  </si>
  <si>
    <t>ex VAT (fee)</t>
  </si>
  <si>
    <t>14/06/10</t>
  </si>
  <si>
    <t>SPC001 - Batch 4 - closed_x000D_
SPC002 - AIF Stores Milltown  - closed</t>
  </si>
  <si>
    <t>P5000431</t>
  </si>
  <si>
    <t>Trinity College Dublin, Phoenix House</t>
  </si>
  <si>
    <t>2,900,000</t>
  </si>
  <si>
    <t>€40,000</t>
  </si>
  <si>
    <t>Site</t>
  </si>
  <si>
    <t>Project commenced on site 5th May 2010</t>
  </si>
  <si>
    <t>Project proceeded to site May 2010</t>
  </si>
  <si>
    <t>Received updated grd flr plan: 15th June 2010 with client changes_x000D_
Received Updated 1st flr plan: 15th JUne 2010 with client changes_x000D_
Submitted additional fee claim to client 16th June 2010._x000D_
Received updated 3rd flr plan: 14th June 2010</t>
  </si>
  <si>
    <t>PC obtained in 11th/12th October 2010_x000D_
College recevied verbal warning from maintainence company regarding location of flues in early february 2011._x000D_
Remedial works to flues began on  21st February 2011. Works completed within 1 week.</t>
  </si>
  <si>
    <t>Final Account issued by QS to TCD 6th Sept 2011. Save din J drive under reports and Mdrive under incoming docs-QS. Final account €2,940,000.00</t>
  </si>
  <si>
    <t>All snag items completed January 2012</t>
  </si>
  <si>
    <t>Phoenix House_x000D_
6-8 Lenister st_x000D_
Dublin 2.</t>
  </si>
  <si>
    <t xml:space="preserve">{\rtf1\fbidis\ansi\ansicpg1252\deff0\deflang2057{\fonttbl{\f0\fswiss\fprq2\fcharset0 Arial;}{\f1\fnil\fcharset0 Arial;}}_x000D_
\viewkind4\uc1\pard\ltrpar\f0\fs20\'802.9M refurbishment of a 3500m2 existing office building now owned by Trinity College Dublin. Works included introducing a natural ventilation system to the front facade which responds to environmental conditions automatically. Natural ventilation openings include acoustic baffles to limit noise from the busy street below. \par_x000D_
\par_x000D_
Mechanical engineering services works included a new control system for facade windows, boiler room refurbishment and modifications to water and waste services to comply with part M of the Building Regulations.\par_x000D_
\par_x000D_
Electrical engineering services works included a complete rewire of basement to 3rd floor level including power, data, lighting and fire alarm systems.\par_x000D_
\f1\par_x000D_
}_x000D_
</t>
  </si>
  <si>
    <t>J:\P5000431\Images\Facade Image.JPG</t>
  </si>
  <si>
    <t xml:space="preserve">{\rtf1\ansi\ansicpg1252\deff0\deflang2057{\fonttbl{\f0\fnil\fcharset0 Microsoft Sans Serif;}}_x000D_
\viewkind4\uc1\pard\f0\fs17 Brief from client was not clearly defined. \par_x000D_
\par_x000D_
BDP wrote up our own brief based on client budgets. Client approved. \par_x000D_
\par_x000D_
Note: Brief was extended several times, and BDP are claiming additional fees due to increased scope from the client. \par_x000D_
\par_x000D_
Risk Encounter on site: Flue through the basement wall condensing on underside of first floor slab. \par_x000D_
Mitigation: Relocate flue through chimney. Unforunately a mainatainence compnay objected to the location of the flue one week prior to it being moved. Boilers were turned off at their direction and only run at night at the clients direction. \par_x000D_
\par_x000D_
Risk: Existing building- leaks were found in pipework which was outside the scope of the project. \par_x000D_
Mitigation: Wrote to client to clearly define BDP brief\par_x000D_
\par_x000D_
Risk: Expansion of the electrical brief to parts of other floors but not hte floor in its entireity. \par_x000D_
Migitation: Brief to be clearly defined with client.\par_x000D_
}_x000D_
</t>
  </si>
  <si>
    <t>INCL Trimmings</t>
  </si>
  <si>
    <t xml:space="preserve">Pat McDonnell_x000D_
Deputy Director of Buildings,_x000D_
West Chapel,_x000D_
Trinity College,_x000D_
Dublin 2._x000D_
 Tel.:01- 8964009_x000D_
Fax.: 01- 6793799_x000D_
email: pat.mcdonnell@tcd.ie_x000D_
_x000D_
</t>
  </si>
  <si>
    <t xml:space="preserve">{\rtf1\ansi\ansicpg1252\deff0\deflang2057{\fonttbl{\f0\fnil\fcharset0 Microsoft Sans Serif;}}_x000D_
\viewkind4\uc1\pard\f0\fs17 QDMS used to trakc drawing changes\par_x000D_
}_x000D_
</t>
  </si>
  <si>
    <t>\\dn-sfs1\Jobs\P5000431\Brief</t>
  </si>
  <si>
    <t>P5000432</t>
  </si>
  <si>
    <t xml:space="preserve">Trintity College Dublin - Emergency Lighting Project </t>
  </si>
  <si>
    <t>TCD budget</t>
  </si>
  <si>
    <t xml:space="preserve">{\rtf1\ansi\ansicpg1252\deff0\deflang2057{\fonttbl{\f0\fnil\fcharset0 Microsoft Sans Serif;}}_x000D_
\viewkind4\uc1\pard\f0\fs17 The drawing register is saved in the root of the L drive\par_x000D_
}_x000D_
</t>
  </si>
  <si>
    <t>P5000433</t>
  </si>
  <si>
    <t>BER - Miscellaneous</t>
  </si>
  <si>
    <t>900</t>
  </si>
  <si>
    <t>Ongoing</t>
  </si>
  <si>
    <t>Miscellaneous - primarily Leinster Region</t>
  </si>
  <si>
    <t xml:space="preserve">{\rtf1\ansi\ansicpg1252\deff0\deflang2057{\fonttbl{\f0\fnil\fcharset0 Arial;}}_x000D_
\viewkind4\uc1\pard\fs20 Provision of BER certificates - Generic Job Number for stand-alone jobs\par_x000D_
}_x000D_
</t>
  </si>
  <si>
    <t>P5000434</t>
  </si>
  <si>
    <t>Alterations to Layout, Enterprise Building, WIT (Phase 2)</t>
  </si>
  <si>
    <t>€150,000</t>
  </si>
  <si>
    <t>P5000442</t>
  </si>
  <si>
    <t>Holy Family Summer Works</t>
  </si>
  <si>
    <t>€277,933.60</t>
  </si>
  <si>
    <t>€20,612.35 ex VAT</t>
  </si>
  <si>
    <t>10/04/19 - DoES announce approval for Summer Works</t>
  </si>
  <si>
    <t>10/04/23 - Letter of appointment recieved from school with instruction to proceed to tender</t>
  </si>
  <si>
    <t>15/06/10- tenders returned. All tenders are above approved grant funding. 16/06/2010 wrote to school to ask them to claim further funding from the DOES.</t>
  </si>
  <si>
    <t xml:space="preserve">24th June 2010-DOES approved an additional funding amount of approximately €67,000. </t>
  </si>
  <si>
    <t>30th June 2010- Contractors commence on site</t>
  </si>
  <si>
    <t>Holy Family Junior &amp; Senior N.S_x000D_
Forest Park_x000D_
Rivervalley_x000D_
Swords _x000D_
Co. Dublin</t>
  </si>
  <si>
    <t xml:space="preserve">{\rtf1\ansi\ansicpg1252\deff0\deflang2057{\fonttbl{\f0\fnil\fcharset0 Arial;}}_x000D_
\viewkind4\uc1\pard\fs20 Emergency Works undertaken in November 2009 to replace 2 damaged boilers following critical failure.\par_x000D_
\par_x000D_
Summer Works Scheme 2010 approval for full refurbishment of heating system in both schools and installation of relevant control system. \par_x000D_
}_x000D_
</t>
  </si>
  <si>
    <t xml:space="preserve">{\rtf1\ansi\ansicpg1252\deff0\deflang2057{\fonttbl{\f0\fnil\fcharset0 Microsoft Sans Serif;}}_x000D_
\viewkind4\uc1\pard\f0\fs17 large amount of work to be completed in 2 month period\par_x000D_
\par_x000D_
Schools are divided into a junior &amp; senior national school, so more parties than usual. \par_x000D_
\par_x000D_
\par_x000D_
\par_x000D_
}_x000D_
</t>
  </si>
  <si>
    <t>07/10/10</t>
  </si>
  <si>
    <t xml:space="preserve">{\rtf1\ansi\ansicpg1252\deff0\deflang2057{\fonttbl{\f0\fnil\fcharset0 Microsoft Sans Serif;}}_x000D_
\viewkind4\uc1\pard\f0\fs17 QDMS used for tracking drawings\par_x000D_
}_x000D_
</t>
  </si>
  <si>
    <t xml:space="preserve">{\rtf1\ansi\ansicpg1252\deff0\deflang2057{\fonttbl{\f0\fnil\fcharset0 Microsoft Sans Serif;}}_x000D_
\viewkind4\uc1\pard\f0\fs17 EMAIL\par_x000D_
}_x000D_
</t>
  </si>
  <si>
    <t>19721R/19877C</t>
  </si>
  <si>
    <t>P5000444</t>
  </si>
  <si>
    <t>Thomas's Bray</t>
  </si>
  <si>
    <t>P5000448</t>
  </si>
  <si>
    <t xml:space="preserve">Rathmullen Schools  st. Johns JNS &amp; St. Pauls SNS </t>
  </si>
  <si>
    <t>€11,100,000</t>
  </si>
  <si>
    <t>80000</t>
  </si>
  <si>
    <t>Stage 2B for end of March/mid April</t>
  </si>
  <si>
    <t>March 2010 Site Options report sent to client_x000D_
August 2010 - Approval to progress with new build option and complete Stage 1 report</t>
  </si>
  <si>
    <t>Production of Stage 1 Report commenced on 24/01/2011_x000D_
Instruction to proceed to Stage 2B received on 11/01/12_x000D_
Stage 2b approved by DoES (10-09-2012)_x000D_
Stage 3 approval by letter 19-11-2013</t>
  </si>
  <si>
    <t>Tender return over budget. DoES letter 2nd April 2014 looking for saving details by 14th April from school._x000D_
01/07/'14 - Costs Review Meeting in DoES_x000D_
November 2014 - Start on site.</t>
  </si>
  <si>
    <t xml:space="preserve">St John’s Junior &amp; St Paul’s Senior National Schools, _x000D_
Rathmullen, Drogheda, County Louth. </t>
  </si>
  <si>
    <t xml:space="preserve">{\rtf1\ansi\ansicpg1252\deff0\deflang2057{\fonttbl{\f0\fnil\fcharset0 Arial;}}_x000D_
\viewkind4\uc1\pard\fs20 The project involves extensions to St John's Junior School &amp; St Paul's Senior School. Both schools share the same site and the total extension will be approx 3800m2. In addition, significant refurbishment of the existing schools is required.\par_x000D_
}_x000D_
</t>
  </si>
  <si>
    <t>tender return ex vat</t>
  </si>
  <si>
    <t>Boards of Management, St John’s Junior &amp; St Paul’s Senior National Schools, Rathmullen, Drogheda, County Louth</t>
  </si>
  <si>
    <t>June 2010</t>
  </si>
  <si>
    <t>File 0.1</t>
  </si>
  <si>
    <t>File 2.01</t>
  </si>
  <si>
    <t>19479N &amp; 19678T</t>
  </si>
  <si>
    <t>P5000449</t>
  </si>
  <si>
    <t>ESI - Environmental Sustainability Institute</t>
  </si>
  <si>
    <t>Simulation Results Due - overheating and EPC</t>
  </si>
  <si>
    <t>P5000451</t>
  </si>
  <si>
    <t>External Simulation Work</t>
  </si>
  <si>
    <t>P5000452</t>
  </si>
  <si>
    <t>Foyle and Londonderry College and Ebrington Primary and Nursery Schools</t>
  </si>
  <si>
    <t>€36,018,000</t>
  </si>
  <si>
    <t>Patrick Kavanagh</t>
  </si>
  <si>
    <t>Stage E</t>
  </si>
  <si>
    <t>Nov 2012 the project has continued with an instruction to proceed to the compeltion of Stage D. (2a)_x000D_
May 2013 - Letter from Client to Proceed with Stage E (2b)</t>
  </si>
  <si>
    <t xml:space="preserve">Nov/Dec - Tender documents issued to PM (WYG)_x000D_
18/12/2014 - Planning Permission Granted_x000D_
13/02/2015 - Tenders Returned_x000D_
</t>
  </si>
  <si>
    <t>Londonderry_x000D_
NorthernIreland</t>
  </si>
  <si>
    <t xml:space="preserve">{\rtf1\ansi\ansicpg1252\deff0\deflang2057{\fonttbl{\f0\fnil\fcharset0 Arial;}}_x000D_
\viewkind4\uc1\pard\fs20 of the 12,110m2, the 1,376m2 is fill be funded by Foyle\par_x000D_
\par_x000D_
WELB are funding the primary school and nursery\par_x000D_
The primary school is due to be constructed first\par_x000D_
\par_x000D_
The department of education has overall responsibility and provides funds to WELB.\par_x000D_
\par_x000D_
Foyle is privatelly funded\par_x000D_
}_x000D_
</t>
  </si>
  <si>
    <t>J:\P5000452\Images\F&amp;LC low res - rear view.jpg</t>
  </si>
  <si>
    <t>https://youtu.be/95bODxWO2WU</t>
  </si>
  <si>
    <t xml:space="preserve">{\rtf1\fbidis\ansi\ansicpg1252\deff0\deflang2057{\fonttbl{\f0\fswiss\fprq2\fcharset0 Calibri;}{\f1\fnil\fcharset0 Microsoft Sans Serif;}}_x000D_
\viewkind4\uc1\pard\ltrpar\sa200\sl276\slmult1\f0\fs22 The project is in Northern Ireland which has different construction standards and different briefing documents to those used for schools that are constructed in southern Ireland.\par_x000D_
This risk is partially mitigated by the use of Richard Smyth as one of the project engineers, as Richard is very familiar with construction in Northern Ireland, and David Regan who has had some experience in running a school project in Northern Ireland on site.\par_x000D_
\pard\ltrpar\f1\fs17\par_x000D_
}_x000D_
</t>
  </si>
  <si>
    <t>£26.1m</t>
  </si>
  <si>
    <t>/Breif/</t>
  </si>
  <si>
    <t xml:space="preserve">{\rtf1\ansi\ansicpg1252\deff0\deflang2057{\fonttbl{\f0\fnil\fcharset0 Microsoft Sans Serif;}}_x000D_
\viewkind4\uc1\pard\f0\fs17 All communicaiton shall be via Newforma\par_x000D_
}_x000D_
</t>
  </si>
  <si>
    <t>P5000453</t>
  </si>
  <si>
    <t>St. Brendan's BNS, Artane - Summer Works</t>
  </si>
  <si>
    <t>€202,458.41</t>
  </si>
  <si>
    <t>€16,119.30 ex VAT</t>
  </si>
  <si>
    <t>10/05/05 - Letter of Appointment received from client</t>
  </si>
  <si>
    <t>1472</t>
  </si>
  <si>
    <t>18360G</t>
  </si>
  <si>
    <t>P5000454</t>
  </si>
  <si>
    <t>Mary Queen of Angels, Ballyfermot - Summer Works</t>
  </si>
  <si>
    <t>€170,198.17</t>
  </si>
  <si>
    <t>€13,020.95 ex VAT</t>
  </si>
  <si>
    <t xml:space="preserve">Gurteen Road, Ballyfermot </t>
  </si>
  <si>
    <t>Dublin 10</t>
  </si>
  <si>
    <t>J:\P5000454\QA\Pic.doc</t>
  </si>
  <si>
    <t>2420</t>
  </si>
  <si>
    <t>18585H/18843D</t>
  </si>
  <si>
    <t>P5000455</t>
  </si>
  <si>
    <t>St. Vincent's CBS, Glasnevin - Summer Works</t>
  </si>
  <si>
    <t>€151,384.76</t>
  </si>
  <si>
    <t>€11,871 ex VAT</t>
  </si>
  <si>
    <t>28/06/2010 - BSE (Dublin) Ltd. appointed contract, commence on site on the 5/07/2010</t>
  </si>
  <si>
    <t xml:space="preserve">{\rtf1\ansi\ansicpg1252\deff0\deflang2057{\fonttbl{\f0\fnil\fcharset0 Arial;}}_x000D_
\viewkind4\uc1\pard\fs20 Existing building for the early 1900's that has a basement plant room.  Replaced heating system.\par_x000D_
}_x000D_
</t>
  </si>
  <si>
    <t xml:space="preserve">{\rtf1\ansi\ansicpg1252\deff0\deflang2057{\fonttbl{\f0\fnil\fcharset0 Microsoft Sans Serif;}}_x000D_
\viewkind4\uc1\pard\f0\fs17 Contractor not getting works compelted within the eight week time frame.  This is a medium risk, there is a significant amount of work to be completed, but not impossible.  Over run of the eight weeks can be done in boilerhouse.\fs17\par_x000D_
}_x000D_
</t>
  </si>
  <si>
    <t xml:space="preserve">{\rtf1\ansi\ansicpg1252\deff0\deflang2057{\fonttbl{\f0\fnil\fcharset0 Microsoft Sans Serif;}}_x000D_
\viewkind4\uc1\pard\f0\fs17 Not using Teambinder; project too small, quick turnaround time and information generally between two or three people.\fs17\par_x000D_
}_x000D_
</t>
  </si>
  <si>
    <t>Two month summer works programme (July &amp; August)</t>
  </si>
  <si>
    <t xml:space="preserve">{\rtf1\ansi\ansicpg1252\deff0\deflang2057{\fonttbl{\f0\fnil\fcharset0 Microsoft Sans Serif;}}_x000D_
\viewkind4\uc1\pard\f0\fs17 E-mail; project too small ton implement Teambinder\par_x000D_
}_x000D_
</t>
  </si>
  <si>
    <t>"J:\P5000455\Cost Control\Variations\Mechanical Variations Sheet.xls"</t>
  </si>
  <si>
    <t>17214N</t>
  </si>
  <si>
    <t>P5000456</t>
  </si>
  <si>
    <t>St Sylvester's Infant School, Malahide - Summer Works</t>
  </si>
  <si>
    <t>€127,885.00</t>
  </si>
  <si>
    <t>€10,000 ex VAT</t>
  </si>
  <si>
    <t>10/04/29 - DR attended site for pre-design survey</t>
  </si>
  <si>
    <t>28/06/2010 - McKeons appointed contract, commence on site on the 5/07/2010</t>
  </si>
  <si>
    <t>On the way into Malahide, the school is on the left hand side at a "T" junction from the left with pedestrian crossing lights.</t>
  </si>
  <si>
    <t>North Co. Dublin</t>
  </si>
  <si>
    <t xml:space="preserve">{\rtf1\ansi\ansicpg1252\deff0\deflang2057{\fonttbl{\f0\fnil\fcharset0 Arial;}}_x000D_
\viewkind4\uc1\pard\fs20 Summer works - refurbishment of the heating system, inclusive of boielrs, pressurisation unit, pumps, controls, system pipework and radiators.\par_x000D_
}_x000D_
</t>
  </si>
  <si>
    <t xml:space="preserve">{\rtf1\ansi\ansicpg1252\deff0\deflang2057{\fonttbl{\f0\fnil\fcharset0 Microsoft Sans Serif;}}_x000D_
\viewkind4\uc1\pard\f0\fs17 Contractor not getting works compelted within the eight week time frame.  This is a medium risk, there is a significant amount of work to be completed, but not impossible.  Over run of the eight weeks can be done in boilerhouse.\par_x000D_
}_x000D_
</t>
  </si>
  <si>
    <t>Sharon Dunne - Principal</t>
  </si>
  <si>
    <t xml:space="preserve">{\rtf1\ansi\ansicpg1252\deff0\deflang2057{\fonttbl{\f0\fnil\fcharset0 Microsoft Sans Serif;}}_x000D_
\viewkind4\uc1\pard\f0\fs17 Not using Teambinder; project too small, quick turnaround time and information generally between two or three people.\par_x000D_
}_x000D_
</t>
  </si>
  <si>
    <t>"M:\P5000456\Data In\10-07-08 - Information from Site\10-07-08 - Project Programme.pdf"</t>
  </si>
  <si>
    <t xml:space="preserve">{\rtf1\ansi\ansicpg1252\deff0\deflang2057{\fonttbl{\f0\fnil\fcharset0 Microsoft Sans Serif;}}_x000D_
\viewkind4\uc1\pard\f0\fs17 E-mail; project too small to implement Teambinder\par_x000D_
}_x000D_
</t>
  </si>
  <si>
    <t>"J:\P5000456\Misc\10-07-07 - Project Programme.pdf"</t>
  </si>
  <si>
    <t>17928G</t>
  </si>
  <si>
    <t>P5000457</t>
  </si>
  <si>
    <t>Magherafelt High School</t>
  </si>
  <si>
    <t>Stage 5</t>
  </si>
  <si>
    <t>April 2010 - Commenced on site (Approximate date)</t>
  </si>
  <si>
    <t>Completed on site September 2011</t>
  </si>
  <si>
    <t xml:space="preserve">Magherafelt High School_x000D_
30 Moneymore Rd_x000D_
Magherafelt_x000D_
Co. Londonderry_x000D_
BT45 6AF_x000D_
</t>
  </si>
  <si>
    <t>Co. Londonderry</t>
  </si>
  <si>
    <t xml:space="preserve">{\rtf1\ansi\ansicpg1252\deff0\deflang2057{\fonttbl{\f0\fnil\fcharset0 Arial;}}_x000D_
\viewkind4\uc1\pard\fs20 New secondary school to the rear of the existing building to accommodate 600 pupils and 50 staff.  School complete with biomass heating system and solar water heating for kitchen area.\par_x000D_
}_x000D_
</t>
  </si>
  <si>
    <t>"M:\P5000457\Data In\Main Contractor - Heron Bros\10-06-18 - Project Programme\983-p2.-.na.pdf"</t>
  </si>
  <si>
    <t xml:space="preserve">{\rtf1\ansi\ansicpg1252\deff0\deflang2057{\fonttbl{\f0\fnil\fcharset0 Microsoft Sans Serif;}}_x000D_
\viewkind4\uc1\pard\f0\fs17 Teambinder\par_x000D_
}_x000D_
</t>
  </si>
  <si>
    <t>J:\P5000457\Cost Control\Variations</t>
  </si>
  <si>
    <t>P5000459</t>
  </si>
  <si>
    <t>Louth CoCo Archives Energy Study</t>
  </si>
  <si>
    <t xml:space="preserve">{\rtf1\fbidis\ansi\ansicpg1252\deff0\deflang2057{\fonttbl{\f0\fswiss\fprq2\fcharset0 Arial;}{\f1\fnil\fcharset0 Arial;}}_x000D_
\viewkind4\uc1\pard\ltrpar\sa200\sl276\slmult1\qj\f0\fs20 BDP were employed by Louth County Council to produce an energy study of the existing 1,200m\super 2\nosupersub  archives building, to produce a set of operating and maintenance instruction for the building, and to propose a series of potential energy improvements that could be implemented.\par_x000D_
The archive building is located within an historic jail house that was converted for use as an archives storage facility.  The building runs 24 hours a day in order to maintain precise storage conditions.  There were no existing documents or drawings that described the installation and an investigation was required to determine the design intent of the existing services.   Once the services were understood, we produced a detailed description of the existing services, a manual in non-technical language that described how the systems worked, and a list of proposed energy conservation measures with associated estimated costs.  All proposed modifications required sensitivity to the maintenance of the existing structure and finishes.\par_x000D_
\pard\ltrpar\f1\fs20\par_x000D_
}_x000D_
</t>
  </si>
  <si>
    <t>P5000463</t>
  </si>
  <si>
    <t>Midlands Prison D&amp;B</t>
  </si>
  <si>
    <t>18,000,000</t>
  </si>
  <si>
    <t>16/07/2010 Project kick off meetign _x000D_
Project is due to last 8 weeks</t>
  </si>
  <si>
    <t xml:space="preserve">{\rtf1\ansi\ansicpg1252\deff0\deflang2057{\fonttbl{\f0\fnil\fcharset0 Arial;}}_x000D_
\viewkind4\uc1\pard\fs20 D&amp;B competion for an extension to the midlands prison\par_x000D_
}_x000D_
</t>
  </si>
  <si>
    <t>Prison</t>
  </si>
  <si>
    <t>ex vat construction</t>
  </si>
  <si>
    <t>P5000465</t>
  </si>
  <si>
    <t>AIB BER Batch 5</t>
  </si>
  <si>
    <t>1800</t>
  </si>
  <si>
    <t>31/05/10 - Request from AIB for additional cert for warehouse at Milltown, Dublin 14 (AIF Stores)_x000D_
11/06/10 - BER Cert and Report completed and submitted to SEAI / AIB upon return from holidays</t>
  </si>
  <si>
    <t>10-09-02 - Request from AIB to complete 2 BER certs for existing branches in Charleville, Nenagh</t>
  </si>
  <si>
    <t>10-09-03 - Site Visits Completed</t>
  </si>
  <si>
    <t>10-09-09 - Completed calculations submitted to SEAI register._x000D_
_x000D_
BER Certs and associated reports sent to AIB</t>
  </si>
  <si>
    <t>Main Street, Charleville_x000D_
52/53 Pearse Street, Nenagh</t>
  </si>
  <si>
    <t>fee (ex VAT)</t>
  </si>
  <si>
    <t>P5000466</t>
  </si>
  <si>
    <t>PPP Schools Bundle Three</t>
  </si>
  <si>
    <t>Completed beginning of July 2011</t>
  </si>
  <si>
    <t>Tullamore, Co Waterford_x000D_
and Gorey, Co. Wexford</t>
  </si>
  <si>
    <t>Waterford and Wexford</t>
  </si>
  <si>
    <t xml:space="preserve">{\rtf1\ansi\ansicpg1252\deff0\deflang2057{\fonttbl{\f0\fnil\fcharset0 Arial;}}_x000D_
\viewkind4\uc1\pard\fs20 This project involves a PPP bid for two 1000 pupil schools.  One in Tramore, Co. Waterford, and the second in Gorye, Co. Wexford.\par_x000D_
\par_x000D_
BDP are all professions.\par_x000D_
}_x000D_
</t>
  </si>
  <si>
    <t xml:space="preserve">{\rtf1\ansi\ansicpg1252\deff0\deflang2057{\fonttbl{\f0\fnil\fcharset0 Microsoft Sans Serif;}}_x000D_
{\colortbl ;\red255\green0\blue0;\red0\green0\blue0;}_x000D_
\viewkind4\uc1\pard\cf1\f0\fs17 Genrated 14/12/2010\par_x000D_
\cf2 The primary risk is the relatively low fee for the project.  Managing this requires strick projet control but also requires the architectual profession to produce well thought out drawings from day one and to avoid multiple modifications.  Our mittigation is the plannign of the project, calling on our experince from other projects.  As an M&amp;E profession we will also set in place a strict protocol for the acceptance of drawings from the Architectural profession, which will only be accepted once complying with agreed protocols.\cf0\par_x000D_
}_x000D_
</t>
  </si>
  <si>
    <t>M&amp;E, Arch, C&amp;S</t>
  </si>
  <si>
    <t>P5000467</t>
  </si>
  <si>
    <t>Carlow IT - Innovation and Research Building</t>
  </si>
  <si>
    <t>3,961,569.79</t>
  </si>
  <si>
    <t>55,380.00</t>
  </si>
  <si>
    <t>Returned tender due 25th June 2012</t>
  </si>
  <si>
    <t>18/04/2011  Justin Hynes-STW- rang to connfirm that the poject is proceeding</t>
  </si>
  <si>
    <t>24/01/12- planning permission obtained. meeting held in last two weeks (early Jan 2012) have reuslted in conflciting information with client brief. clarifications being sought before final issue of dwgs</t>
  </si>
  <si>
    <t xml:space="preserve">Project went to tender on the 28th May 2012. LOI issued to third placed contracotr Purcells on 8/10/12. Project start date will be 26th November 2012. </t>
  </si>
  <si>
    <t>12-04-13- project proceeding fine- as per programme- M&amp;E subcontractors offically started on site this week.</t>
  </si>
  <si>
    <t>Project end date expected 14/11/13_x000D_
Demo to BDP: week of 12/11/13_x000D_
Demo to client:1st week dec 2013</t>
  </si>
  <si>
    <t>Project Achieved Substantial Completion 29/11/13. O&amp;M have been reviewed and snag lists issued. No variations on mechanical contract. A few on the electrical. these have been dealt with on an ongoing basis and we expect little disagreement on final ACC</t>
  </si>
  <si>
    <t>Carlow IT_x000D_
Main Street</t>
  </si>
  <si>
    <t xml:space="preserve">{\rtf1\ansi\ansicpg1252\deff0\deflang2057{\fonttbl{\f0\fnil\fcharset0 Arial;}}_x000D_
\viewkind4\uc1\pard\fs20 New Build 3rd level multi use research and innovation building including 3rd level laboratory and tissue culture room, game core development labs, materials labs and ancillary post graduate write up rooms. The building also contains 3rd level lecture theatres and classroom, meeting room and office areas.\par_x000D_
\par_x000D_
Final airtightness test: 2.42 m3/hr/m2 @50Pa\par_x000D_
}_x000D_
</t>
  </si>
  <si>
    <t xml:space="preserve">{\rtf1\ansi\ansicpg1252\deff0\deflang2057{\fonttbl{\f0\fnil\fcharset0 Microsoft Sans Serif;}}_x000D_
\viewkind4\uc1\pard\f0\fs17 1. Budget is tight and market costs are rising\par_x000D_
2. M&amp;E brief is not clearly defined- need to ensure that a thorough brief is defined before commencing work.- several meetings were subsquently held with clients and user groups to define the brief\par_x000D_
3. Programme- there were delays on the architectural development- which have resulted in additional fee requests being sought.\par_x000D_
\par_x000D_
Update-13-04-12: Possibility of some electrical variations in the project- but being mitigated by costs savings elsewhere within M&amp;E. BDP not being successful in reducing hours on site- client relationship is a cosnideration here due to ongoing works in CIT.\par_x000D_
}_x000D_
</t>
  </si>
  <si>
    <t>June 2012</t>
  </si>
  <si>
    <t>Additional fees sought April 2012 due to delays- awaiting agreement from client</t>
  </si>
  <si>
    <t xml:space="preserve">{\rtf1\ansi\ansicpg1252\deff0\deflang2057{\fonttbl{\f0\fnil\fcharset0 Microsoft Sans Serif;}}_x000D_
\viewkind4\uc1\pard\f0\fs17 Project stages are shorter and more condensed as its not a school project- stage 1, Stage 2 and Stage 3 tender. \par_x000D_
}_x000D_
</t>
  </si>
  <si>
    <t>J:/</t>
  </si>
  <si>
    <t xml:space="preserve">{\rtf1\ansi\ansicpg1252\deff0\deflang2057{\fonttbl{\f0\fnil\fcharset0 Microsoft Sans Serif;}}_x000D_
\viewkind4\uc1\pard\f0\fs17 As of May 2012 the project emails have been transferred to Newforma project system. All correspondance as been moved from pst files to newforma. \par_x000D_
}_x000D_
</t>
  </si>
  <si>
    <t>P5000468</t>
  </si>
  <si>
    <t>Arklow Community College</t>
  </si>
  <si>
    <t>8,499,454.01</t>
  </si>
  <si>
    <t>Project began May 2000_x000D_
The project was then placed on hold_x000D_
25/09/2009 the team was asked to resubmit Stage 2a but wanted clear guidance on the issue of refurb v rebuild</t>
  </si>
  <si>
    <t>09/08/2010 - Letter from DES to proceed with a revised Stage 1 Report.  Copy of letter saved in Data In folder.</t>
  </si>
  <si>
    <t>24/09/2010 we submitted our stg1report ot the Archtiect_x000D_
14/10/2010 meeting held with VEC, and probably the Stage 1 was submitted within one week to the DES</t>
  </si>
  <si>
    <t>16/09/2011 - Received Approval from DoES to proceed to Stage 2a, letter in J:\Letters\Client folder._x000D_
08/02/2012 - Received Approval from DoES to proceed to Stage 2b, letter in J:\Letters\Client folder.</t>
  </si>
  <si>
    <t>Stage 2 Design Programme:_x000D_
June July - Architect to complete their package for QS._x000D_
Planning permission expected 26 July_x000D_
Aug - Sept - QS doing BOQ</t>
  </si>
  <si>
    <t>24/04/'13 - Architect Proposing to Submit Stabe 2b to VEC Today_x000D_
New build Est 11/'09 10,300,000.00_x000D_
Revised Stage 2b DoES Approved cost is 8,001,856.00_x000D_
DoES Stage 2b approval letter is in J:\P5000468\Letters\Client</t>
  </si>
  <si>
    <t>Coolgreaney Road, Arklow</t>
  </si>
  <si>
    <t xml:space="preserve">{\rtf1\ansi\ansicpg1252\deff0\deflang2057{\fonttbl{\f0\fnil\fcharset0 MS Sans Serif;}}_x000D_
\viewkind4\uc1\pard\f0\fs17 Extension to and refurbishment of Arklow Community College for Co. Wicklow VEC\par_x000D_
}_x000D_
</t>
  </si>
  <si>
    <t xml:space="preserve">{\rtf1\ansi\ansicpg1252\deff0\deflang2057{\fonttbl{\f0\fnil\fcharset0 MS Sans Serif;}}_x000D_
{\colortbl ;\red255\green0\blue0;\red0\green0\blue0;\red0\green128\blue0;}_x000D_
\viewkind4\uc1\pard\cf1\f0\fs17 Updated 14/04/13\par_x000D_
\cf2 Since the project resumed, it has run reasonably smootly and there are no significant risks.  We have some concerns about the project architects experience in school design but the scheme apears largely in compliance with the TGD.\cf1\par_x000D_
\par_x000D_
Updated: 20/05/01 : \par_x000D_
Risks\par_x000D_
\cf2 The project has expereinced significant client delays and while the DES projects a willingness to proceed, approval is not forthcomming.\par_x000D_
\par_x000D_
\cf3 Mittigation\par_x000D_
\cf0 Minimise our input into the project until a clear and close deadline is established for a submission.\par_x000D_
}_x000D_
</t>
  </si>
  <si>
    <t>DoES 2b Approved cost 08/05/'13</t>
  </si>
  <si>
    <t>Wicklow VEC</t>
  </si>
  <si>
    <t xml:space="preserve">{\rtf1\ansi\ansicpg1252\deff0\deflang2057{\fonttbl{\f0\fnil\fcharset0 Microsoft Sans Serif;}}_x000D_
\viewkind4\uc1\pard\f0\fs17 Design in accordance with te DoES Design Team Procedures\par_x000D_
}_x000D_
</t>
  </si>
  <si>
    <t>The breif has not yet been established</t>
  </si>
  <si>
    <t>The progrram has not been established</t>
  </si>
  <si>
    <t>70740M</t>
  </si>
  <si>
    <t>P5000472</t>
  </si>
  <si>
    <t>Third Level PPP Bundle Two TB2</t>
  </si>
  <si>
    <t>P5000474</t>
  </si>
  <si>
    <t>St. Molaga's NS - Emergency Works</t>
  </si>
  <si>
    <t>€61,861.32</t>
  </si>
  <si>
    <t>€4500 ex VAT</t>
  </si>
  <si>
    <t>10-11-05  - Emergency works report submitted to school for forwarding to DoES</t>
  </si>
  <si>
    <t>10-11-12 - approval letter recieved from DoES</t>
  </si>
  <si>
    <t>10-11-16 - Confirmation of appointment by school as PSDP and consulting engineers</t>
  </si>
  <si>
    <t xml:space="preserve">Bremore,_x000D_
Balbriggan,_x000D_
</t>
  </si>
  <si>
    <t>J:\P5000474\Images\10-11-03\DSCF0516.jpg</t>
  </si>
  <si>
    <t>incl VAT and fees</t>
  </si>
  <si>
    <t>16970A</t>
  </si>
  <si>
    <t>P5000475</t>
  </si>
  <si>
    <t>Dublin Dental Hospital High pressure water works</t>
  </si>
  <si>
    <t xml:space="preserve">{\rtf1\ansi\ansicpg1252\deff0\deflang2057{\fonttbl{\f0\fnil\fcharset0 Arial;}}_x000D_
\viewkind4\uc1\pard\fs20 Modifications to the High Pressure Dental Water storage and distribution system resulting from a tank havign to be replaced fort he system.\par_x000D_
}_x000D_
</t>
  </si>
  <si>
    <t>P5000476</t>
  </si>
  <si>
    <t>Summer Works 2011                    SWS</t>
  </si>
  <si>
    <t>P5000481</t>
  </si>
  <si>
    <t>LIT - Moylish</t>
  </si>
  <si>
    <t>Gareth Maguire</t>
  </si>
  <si>
    <t>David Fitzpatrick</t>
  </si>
  <si>
    <t xml:space="preserve">{\rtf1\ansi\ansicpg1252\deff0\deflang2057{\fonttbl{\f0\fnil\fcharset0 Microsoft Sans Serif;}}_x000D_
\viewkind4\uc1\pard\f0\fs17 Newforma\par_x000D_
}_x000D_
</t>
  </si>
  <si>
    <t>P5000484</t>
  </si>
  <si>
    <t>Nanjing Medical University</t>
  </si>
  <si>
    <t xml:space="preserve">{\rtf1\ansi\ansicpg1252\deff0\deflang2057{\fonttbl{\f0\fnil\fcharset0 Arial;}}_x000D_
\viewkind4\uc1\pard\fs20 Simulation support to the Manchester office\par_x000D_
}_x000D_
</t>
  </si>
  <si>
    <t>P5000486</t>
  </si>
  <si>
    <t>AIB BER Limerick</t>
  </si>
  <si>
    <t>€900</t>
  </si>
  <si>
    <t>11-02-08 Site survey completed in Bank House, 3rd &amp; 4th Floors</t>
  </si>
  <si>
    <t>3rd &amp; 4th floors_x000D_
Bank House_x000D_
106/108 O'Connell Street_x000D_
Limerick</t>
  </si>
  <si>
    <t>Limerick</t>
  </si>
  <si>
    <t>P5000487</t>
  </si>
  <si>
    <t>Whitecross National School - Julianstown</t>
  </si>
  <si>
    <t>€3,077,988.18</t>
  </si>
  <si>
    <t>40010</t>
  </si>
  <si>
    <t>12-03-14 - Stage 1 Submitted</t>
  </si>
  <si>
    <t>12-10-22 - Approval to proceed to Stage 2a</t>
  </si>
  <si>
    <t>13-03-27 - Pre-stage 2a stakeholder meeting in DoES. DoES agreement to proceed to Stage 2b subject to submission of Stage 2a report.  Our 2a has been submitted.</t>
  </si>
  <si>
    <t>Dec '13 - Stage 2b submission due.</t>
  </si>
  <si>
    <t>Feb '15 - Tender Documents Issued to Design Team_x000D_
_x000D_
Apr '15 - Architect has made changes to the site plan phasing drawings</t>
  </si>
  <si>
    <t xml:space="preserve">Whitecross_x000D_
</t>
  </si>
  <si>
    <t>Co. Meath</t>
  </si>
  <si>
    <t xml:space="preserve">{\rtf1\fbidis\ansi\ansicpg1252\deff0\deflang2057{\fonttbl{\f0\fswiss\fprq2\fcharset0 Arial;}{\f1\fswiss\fprq2\fcharset0 Calibri;}{\f2\fnil\fcharset0 Arial;}}_x000D_
\viewkind4\uc1\pard\ltrpar\lang6153\b\f0\fs20 Whitecross National School\par_x000D_
\par_x000D_
\pard\ltrpar\sa200\sl276\slmult1\b0 The construction of a 1,600m\super 2\nosupersub  new build primary school and the refurbishment of an existing 608m\super 2\nosupersub  of accommodation.\f1\fs22\par_x000D_
\pard\ltrpar\lang2057\f2\fs20\par_x000D_
}_x000D_
</t>
  </si>
  <si>
    <t xml:space="preserve">{\rtf1\ansi\ansicpg1252\deff0\deflang2057{\fonttbl{\f0\fswiss\fprq2\fcharset0 Microsoft Sans Serif;}{\f1\fnil\fcharset0 Microsoft Sans Serif;}}_x000D_
{\colortbl ;\red255\green0\blue0;\red0\green0\blue0;\red0\green176\blue80;}_x000D_
\viewkind4\uc1\pard\cf1\lang6153\f0\fs17 Risks as of 15/02/2015\par_x000D_
\par_x000D_
\cf2 The fee is relatively low but the project is close to the office.  The largest risks are : 1) The project architect is not familiar with school design  2) The refurbishment element of the project becomes complex and a solution for the site is not self precenting or is complex.\par_x000D_
\par_x000D_
\cf3 Mitigations\par_x000D_
\par_x000D_
\cf0 It will be necessary to ensure that our input is limited to that which is actually required, rather than that which the architect deems appropriate.  It will also be necessary to ensure that the project architect understands the project and we must hold off on the issuing of our stage reports until we are convinced that the architect tables a viable solution.\par_x000D_
\cf1\lang2057\f1\par_x000D_
\cf0\par_x000D_
}_x000D_
</t>
  </si>
  <si>
    <t>incl VAT</t>
  </si>
  <si>
    <t>15/02/2011</t>
  </si>
  <si>
    <t>not yet issued: generally it will be formed by the Project team</t>
  </si>
  <si>
    <t>not yet issued - generally each stage will have a seperate date assigned</t>
  </si>
  <si>
    <t xml:space="preserve">{\rtf1\ansi\ansicpg1252\deff0\deflang2057{\fonttbl{\f0\fnil\fcharset0 Microsoft Sans Serif;}}_x000D_
\viewkind4\uc1\pard\f0\fs17 As the project is very small and will be run largely by a single member of staff, communication will be by email and email will be saved in a pst file stored within the email folder of the project folder on the J drive.\par_x000D_
Note: as of July 2012, all correspondence on this project was transferred to Newforma. Future correspondence will continue to be via Newforma\par_x000D_
}_x000D_
</t>
  </si>
  <si>
    <t>/qa/</t>
  </si>
  <si>
    <t>17705J</t>
  </si>
  <si>
    <t>P5000489</t>
  </si>
  <si>
    <t>Scoil Moibhi Milverton Skerries Co.Dublin</t>
  </si>
  <si>
    <t>Practical Completion 21/10/2011</t>
  </si>
  <si>
    <t xml:space="preserve">{\rtf1\ansi\ansicpg1252\deff0\deflang2057{\fonttbl{\f0\fnil\fcharset0 Arial;}}_x000D_
\viewkind4\uc1\pard\fs20 Replacement of the heating system under the emergency Works 2011 Scheme.\fs20\par_x000D_
}_x000D_
</t>
  </si>
  <si>
    <t>15000</t>
  </si>
  <si>
    <t>P5000490</t>
  </si>
  <si>
    <t>Tullamore College</t>
  </si>
  <si>
    <t>8,483,246.96</t>
  </si>
  <si>
    <t>96452.28</t>
  </si>
  <si>
    <t>Cillian McDonagh</t>
  </si>
  <si>
    <t>Complete Stage 2b Report</t>
  </si>
  <si>
    <t>11-11-01 - Stage 1 report accpeted. Go Ahead received for Stage 2a- queries in DES letter to be answered as part of Stage 2a report. New TGDs to be followed (all stage approvals are filed in J:/ drive under Letters/Client</t>
  </si>
  <si>
    <t>12-03-06 - Stage 2a submitted (drawings resubmitted directly to client on 7th due to misprints)</t>
  </si>
  <si>
    <t xml:space="preserve">12-05-04 - Received stage 2a approval and instruction to proceed to stage 2b subject to comments on DoES letter of approval. </t>
  </si>
  <si>
    <t>13-07-11 - Recieved Stage 2b approval and instruction to proceed to Prequal of contractors.</t>
  </si>
  <si>
    <t>Stage 4 - Project Commenced on site August 2014</t>
  </si>
  <si>
    <t>Riverside,_x000D_
Tullamore _x000D_
Co. Offaly</t>
  </si>
  <si>
    <t xml:space="preserve">{\rtf1\ansi\ansicpg1252\deff0\deflang2057{\fonttbl{\f0\fswiss\fprq2\fcharset0 Arial;}{\f1\fnil\fcharset0 Arial;}}_x000D_
\viewkind4\uc1\pard\tx0\tqr\tx8729\f0\fs20 The project involves the construction of a new post-primary school of approximately 6990sqm on the existing school site followed by removal of the temporary accommodation currently on-site Tullamore College, County Offaly.\par_x000D_
\pard\f1\par_x000D_
}_x000D_
</t>
  </si>
  <si>
    <t xml:space="preserve">{\rtf1\ansi\ansicpg1252\deff0\deflang2057{\fonttbl{\f0\fswiss\fprq2\fcharset0 Arial;}{\f1\fnil\fcharset0 Arial;}{\f2\fnil\fcharset0 Microsoft Sans Serif;}}_x000D_
{\colortbl ;\red255\green0\blue0;\red0\green0\blue0;}_x000D_
\viewkind4\uc1\pard\cf1\lang1033\f0\fs20 Updated 14/04/13\par_x000D_
\cf0 The main risk facing the project at the 2b stage is a large project delay as the project appears not to be on the DoES five year plan.\par_x000D_
\par_x000D_
\par_x000D_
\cf1\f1 Pre Sage 2b risks\cf0\f0\par_x000D_
Site Safety will be critical in separation of the operational school during the construction phase.  \par_x000D_
\cf2\lang2057\par_x000D_
Cost accuracy will be dependent on the level of detail of the survey information.\par_x000D_
\cf0\f2\fs17\par_x000D_
}_x000D_
</t>
  </si>
  <si>
    <t>Feb 2012</t>
  </si>
  <si>
    <t>3</t>
  </si>
  <si>
    <t xml:space="preserve">{\rtf1\ansi\ansicpg1252\deff0\deflang2057{\fonttbl{\f0\fswiss\fprq2\fcharset0 Microsoft Sans Serif;}{\f1\fswiss\fprq2\fcharset0 Arial;}{\f2\fnil\fcharset0 Microsoft Sans Serif;}}_x000D_
\viewkind4\uc1\pard\sa200\sl276\slmult1\f0\fs17 Newforma will be used for all issues with all received documents recorded in dated folders in the M drive. The Stages will follow the designations of the Department of Education and Skills rather than the stages designated by the RIAI. i.e. Stage 1, 2a, 2b, 3, etc...\f1\fs20\par_x000D_
\pard\f2\fs17\par_x000D_
}_x000D_
</t>
  </si>
  <si>
    <t>J:\P5000490\Pre Appointment Docs</t>
  </si>
  <si>
    <t>None proivded by the project archtect at this stage</t>
  </si>
  <si>
    <t xml:space="preserve">{\rtf1\ansi\ansicpg1252\deff0\deflang2057{\fonttbl{\f0\fswiss\fprq2\fcharset0 Microsoft Sans Serif;}{\f1\fswiss\fprq2\fcharset0 Arial;}{\f2\fnil\fcharset0 Microsoft Sans Serif;}}_x000D_
\viewkind4\uc1\pard\f0\fs17 Email is the preferred method of communication for the project in order to minimise the projects environmental impact:\par_x000D_
All emails received or sent by any member of the team are saved in J/email folder as a record of a the projects email correspondance. These emails are all stored using newforma to facilitate easier parsing of contents.\par_x000D_
\par_x000D_
\pard\sa200\sl276\slmult1 Revisionable documents are uploaded and issued via teambinder for all formal stage issues\f1\fs20\par_x000D_
\pard\f2\fs17\par_x000D_
}_x000D_
</t>
  </si>
  <si>
    <t>J:\P5000490\QA</t>
  </si>
  <si>
    <t>72560U</t>
  </si>
  <si>
    <t>P5000491</t>
  </si>
  <si>
    <t>Nai-Scoil Íde, Raheny         Summer Works 2011</t>
  </si>
  <si>
    <t>€143,163</t>
  </si>
  <si>
    <t>€11,557.56 ex VAT</t>
  </si>
  <si>
    <t>n/a</t>
  </si>
  <si>
    <t>11-04-06  -  Letter Of Appointment Recieved</t>
  </si>
  <si>
    <t>All Saints Drive,_x000D_
Raheny</t>
  </si>
  <si>
    <t>Dublin 5</t>
  </si>
  <si>
    <t xml:space="preserve">{\rtf1\ansi\ansicpg1252\deff0\deflang2057{\fonttbl{\f0\fnil\fcharset0 Arial;}}_x000D_
\viewkind4\uc1\pard\fs20 Heating and water systems replacement to a 10 class school and ancillary spaces in Raheny. This was a summer works project for the Department of Education and Skills.\par_x000D_
}_x000D_
</t>
  </si>
  <si>
    <t>grant incl fees and VAT</t>
  </si>
  <si>
    <t>17978V</t>
  </si>
  <si>
    <t>P5000492</t>
  </si>
  <si>
    <t>Scoil Assaim Summer Works 2011</t>
  </si>
  <si>
    <t>91,020.09</t>
  </si>
  <si>
    <t>Ken Winters</t>
  </si>
  <si>
    <t>Allsaints Drive, Raheny</t>
  </si>
  <si>
    <t>17976R</t>
  </si>
  <si>
    <t>P5000493</t>
  </si>
  <si>
    <t>St. Mary's NS, Virginia, Cavan</t>
  </si>
  <si>
    <t>2,261,062.36</t>
  </si>
  <si>
    <t>Stage 2b report</t>
  </si>
  <si>
    <t xml:space="preserve">11/06/29 - Stage 1 Commenced_x000D_
11/12/15 - Stage 1 report submitted by BDP to Architect_x000D_
12/02/24 - informal confirmation of approval to commence stage 2a design recieved from Architect. </t>
  </si>
  <si>
    <t xml:space="preserve">12/03/09 - Stage 1 approval letter with instruction to proceed to Stage 2a_x000D_
12/05/17 - Stage 2a Submission hardcopy posted to architect. </t>
  </si>
  <si>
    <t>12/08/16 - Stage 2a approval letter recieved. Proceed to Stage 2b</t>
  </si>
  <si>
    <t>24/04/15 Practical compleiton issued</t>
  </si>
  <si>
    <t xml:space="preserve">Baileboro Rd._x000D_
Virginia,_x000D_
</t>
  </si>
  <si>
    <t>Co. Cavan</t>
  </si>
  <si>
    <t xml:space="preserve">{\rtf1\ansi\ansicpg1252\deff0\deflang2057{\fonttbl{\f0\fnil\fcharset0 Arial;}}_x000D_
\viewkind4\uc1\pard\fs20 1303m2 primary school single-storey development consisting of the refurbishment of the existing school building and the construction of an additional 10 permanent classrooms.\par_x000D_
}_x000D_
</t>
  </si>
  <si>
    <t>J:\P5000493\Images\11-08-04 Site visit\DSCF7206.JPG</t>
  </si>
  <si>
    <t xml:space="preserve">{\rtf1\ansi\ansicpg1252\deff0\deflang2057{\fonttbl{\f0\fnil\fcharset0 Microsoft Sans Serif;}}_x000D_
{\colortbl ;\red255\green0\blue0;\red0\green0\blue0;\red0\green0\blue255;\red0\green128\blue0;}_x000D_
\viewkind4\uc1\pard\cf1\f0\fs17 Risks: \cf2 The project requires refurbishment, the extent of whcih is not completely established.  The project is a long distance from the office.\par_x000D_
\cf3 Mitigation: \cf2 The extent of works and the interfaces between new and existing must be carefully defined and managed.  The project program must be carefully monitored to ensure prolongation does not result in exess fee spend.\par_x000D_
\par_x000D_
\cf4 Update: 15/12/11  \cf2 The extent of refurbishment is now known and carefully defined within the reports. The extent of meetings is carefully controlled to minmise fee ineficinecy.\cf0\par_x000D_
}_x000D_
</t>
  </si>
  <si>
    <t xml:space="preserve">{\rtf1\ansi\ansicpg1252\deff0\deflang2057{\fonttbl{\f0\fnil\fcharset0 Microsoft Sans Serif;}}_x000D_
\viewkind4\uc1\pard\f0\fs17 Email and transmittals by newforma\par_x000D_
}_x000D_
</t>
  </si>
  <si>
    <t>16083T</t>
  </si>
  <si>
    <t>P5000494</t>
  </si>
  <si>
    <t>Gate Theatre</t>
  </si>
  <si>
    <t>Started on site in March 2014</t>
  </si>
  <si>
    <t xml:space="preserve">{\rtf1\ansi\ansicpg1252\deff0\deflang2057{\fonttbl{\f0\fnil\fcharset0 Arial;}}_x000D_
\viewkind4\uc1\pard\fs20 Design and installation of a ventilation system to the theatre auditorium that includes heating and cooling facilities.  Protected structure below, restricted access, services running through another clients property, tight deadlines and restrictions on access.\par_x000D_
}_x000D_
</t>
  </si>
  <si>
    <t>175000</t>
  </si>
  <si>
    <t>P5000495</t>
  </si>
  <si>
    <t>Four Courts</t>
  </si>
  <si>
    <t>P5000497</t>
  </si>
  <si>
    <t>St. Joseph's SC, Tallaght</t>
  </si>
  <si>
    <t>Demonstration of services to client 20/10/2011</t>
  </si>
  <si>
    <t xml:space="preserve">{\rtf1\ansi\ansicpg1252\deff0\deflang2057{\fonttbl{\f0\fnil\fcharset0 Arial;}}_x000D_
\viewkind4\uc1\pard\fs20 Replacement of the heating generation plant under the Summer Works 2011 Scheme.\fs20\par_x000D_
}_x000D_
</t>
  </si>
  <si>
    <t>87457.80</t>
  </si>
  <si>
    <t>19520H</t>
  </si>
  <si>
    <t>P5000498</t>
  </si>
  <si>
    <t>St. Helen's, Portmarnock</t>
  </si>
  <si>
    <t>Practical Completion 26/10/2011</t>
  </si>
  <si>
    <t>Demonstration of services to client 26/10/2011</t>
  </si>
  <si>
    <t>Old</t>
  </si>
  <si>
    <t>73799.48</t>
  </si>
  <si>
    <t>19578P</t>
  </si>
  <si>
    <t>P5000499</t>
  </si>
  <si>
    <t>St. Joseph's CBS, Fairview</t>
  </si>
  <si>
    <t xml:space="preserve">{\rtf1\ansi\ansicpg1252\deff0\deflang2057{\fonttbl{\f0\fnil\fcharset0 Arial;}}_x000D_
\viewkind4\uc1\pard\fs20 Replacement of the full heating system under the Summer Works 2011 Scheme.\fs20\par_x000D_
}_x000D_
</t>
  </si>
  <si>
    <t>257714.30</t>
  </si>
  <si>
    <t>60390F</t>
  </si>
  <si>
    <t>P5000500</t>
  </si>
  <si>
    <t>St. Peter's, Greenhills</t>
  </si>
  <si>
    <t>Practical Completion 01-11-2011</t>
  </si>
  <si>
    <t>287000</t>
  </si>
  <si>
    <t>P5000502</t>
  </si>
  <si>
    <t>St. Mologas Summer Works 2011                         SWS</t>
  </si>
  <si>
    <t>P5000503</t>
  </si>
  <si>
    <t>NUIM Callan boiler replacement</t>
  </si>
  <si>
    <t xml:space="preserve">{\rtf1\ansi\ansicpg1252\deff0\deflang2057{\fonttbl{\f0\fnil\fcharset0 Arial;}}_x000D_
\viewkind4\uc1\pard\fs20 Boiler refurb of about 3MW\par_x000D_
}_x000D_
</t>
  </si>
  <si>
    <t>J:</t>
  </si>
  <si>
    <t>P5000508</t>
  </si>
  <si>
    <t>Galway Nursing Unit (Clybourne)</t>
  </si>
  <si>
    <t>Clybaun Road, Knocknacarra, Galway</t>
  </si>
  <si>
    <t xml:space="preserve">{\rtf1\ansi\ansicpg1252\deff0\deflang2057{\fonttbl{\f0\fnil\fcharset0 Arial;}}_x000D_
\viewkind4\uc1\pard\fs20 This project is a private nursing home in Galway City\par_x000D_
}_x000D_
</t>
  </si>
  <si>
    <t>P5000509</t>
  </si>
  <si>
    <t>St. Cronan's SNS</t>
  </si>
  <si>
    <t>Rory Kenneally</t>
  </si>
  <si>
    <t>Submission of the Stage 2a to the Client</t>
  </si>
  <si>
    <t xml:space="preserve">{\rtf1\ansi\ansicpg1252\deff0\deflang2057{\fonttbl{\f0\fnil\fcharset0 Arial;}}_x000D_
\viewkind4\uc1\pard\fs20 Replacement primary school for existing 631 pupil senior national school.\par_x000D_
}_x000D_
</t>
  </si>
  <si>
    <t>Rebuild</t>
  </si>
  <si>
    <t xml:space="preserve">{\rtf1\ansi\ansicpg1252\deff0\deflang2057{\fonttbl{\f0\fnil\fcharset0 Microsoft Sans Serif;}}_x000D_
\viewkind4\uc1\pard\f0\fs17 Risk assessment carried out as part of project bid, standard DoES appointment, minimal risk\par_x000D_
}_x000D_
</t>
  </si>
  <si>
    <t xml:space="preserve">{\rtf1\ansi\ansicpg1252\deff0\deflang2057{\fonttbl{\f0\fnil\fcharset0 Microsoft Sans Serif;}}_x000D_
\viewkind4\uc1\pard\f0\fs17 Following the DoES form of contract and deisng procedures\par_x000D_
}_x000D_
</t>
  </si>
  <si>
    <t>J:\P5000509\Brief</t>
  </si>
  <si>
    <t>J:\P5000509\Program</t>
  </si>
  <si>
    <t>J:\P5000509\Cost Control\Variations</t>
  </si>
  <si>
    <t>19535U</t>
  </si>
  <si>
    <t>P5000512</t>
  </si>
  <si>
    <t>GRD Update 2011</t>
  </si>
  <si>
    <t>P5000514</t>
  </si>
  <si>
    <t>Co. Dublin VEC- Dust Extraction Services</t>
  </si>
  <si>
    <t>P5000515</t>
  </si>
  <si>
    <t>Coonagh Cross (LIT)</t>
  </si>
  <si>
    <t>January 2015 - Progress to planning permission by Early Summer (Commencement of Stage 1)</t>
  </si>
  <si>
    <t>Coonagh Cross,_x000D_
Limerick.</t>
  </si>
  <si>
    <t xml:space="preserve">{\rtf1\ansi\ansicpg1252\deff0\deflang2057{\fonttbl{\f0\fnil\fcharset0 Arial;}}_x000D_
\viewkind4\uc1\pard\fs20 Conversions of and existing incomplete shopping mall to a third level educational facility for precision engineering and general metalwork training.\par_x000D_
}_x000D_
</t>
  </si>
  <si>
    <t xml:space="preserve">{\rtf1\ansi\ansicpg1252\deff0\deflang2057{\fonttbl{\f0\fnil\fcharset0 Microsoft Sans Serif;}}_x000D_
{\colortbl ;\red255\green0\blue0;\red0\green0\blue0;}_x000D_
\viewkind4\uc1\pard\cf1\f0\fs17 27/02/15\par_x000D_
\par_x000D_
\cf2 The builing is not designed for the inteneded purpose.  It is a shopping centre that must be converted to teaching accommodation.  While this is an exciting challenge it amy also introduce constraints and compromises to design.\par_x000D_
\par_x000D_
The use of a time charge fee is open to generating a client impression that exessive fee is spent it is thereore important to control costs wihtin reasoanble and normmal limites\cf0\par_x000D_
}_x000D_
</t>
  </si>
  <si>
    <t>P5000517</t>
  </si>
  <si>
    <t>LIT - Sports Hall</t>
  </si>
  <si>
    <t>P5000522</t>
  </si>
  <si>
    <t>St. Dymphna's NS, Kildalkey, Co. Meath</t>
  </si>
  <si>
    <t>2,549,535.04</t>
  </si>
  <si>
    <t>Richard Seaman</t>
  </si>
  <si>
    <t>Stage 2b submission</t>
  </si>
  <si>
    <t>11-12-14 Initial Client Meeting in Parochial House, Kildalkey</t>
  </si>
  <si>
    <t>12-03-21 Stage 1 Submitted in email on 6/3/12 and resubmitted via hard copy (signed) on 21/03/12)_x000D_
Stage1 approval letter received on the 3rd July _dated 29th June 2012</t>
  </si>
  <si>
    <t>12-12-11 Pre-Stage 2a submission meeting in Dept. Indication given that the project is approved to proceed to Stage 2b following the submittal of the Stage 2a report and subject to written confirmation from DoES.</t>
  </si>
  <si>
    <t xml:space="preserve">15-07-03 Stage 2b Submission to Dept, draft submission to architect on the 15-06-26 </t>
  </si>
  <si>
    <t>St. Dympna's National School,_x000D_
Kildalkey,</t>
  </si>
  <si>
    <t xml:space="preserve">{\rtf1\ansi\ansicpg1252\deff0\deflang2057{\fonttbl{\f0\fswiss\fprq2\fcharset0 Verdana;}{\f1\fnil\fcharset0 Arial;}}_x000D_
{\colortbl ;\red0\green0\blue0;}_x000D_
\viewkind4\uc1\pard\cf1\f0\fs20 The project entails the construction of a new 12-classroom Generic Repeat Design (GRD) school on a Greenfield site. The total area of New Build is estimated at 1,871m2 \cf0\f1\par_x000D_
}_x000D_
</t>
  </si>
  <si>
    <t xml:space="preserve">{\rtf1\ansi\ansicpg1252\deff0\deflang2057{\fonttbl{\f0\fnil\fcharset0 Arial;}{\f1\fnil\fcharset0 MS Sans Serif;}{\f2\fnil\fcharset0 Microsoft Sans Serif;}}_x000D_
{\colortbl ;\red255\green0\blue0;\red0\green0\blue255;}_x000D_
\viewkind4\uc1\pard\cf1\fs20 Risks:\cf0\f1\fs17  As a GRD school the Risks should be quite low except of any planning restrictions by the Local Authority\par_x000D_
\par_x000D_
\pard\cf2 Mitigation: \cf0 The team should not work outside of our brief for GRD schools.\f2\fs17\par_x000D_
}_x000D_
</t>
  </si>
  <si>
    <t>BES</t>
  </si>
  <si>
    <t>J:\P5000522\QA</t>
  </si>
  <si>
    <t xml:space="preserve">{\rtf1\ansi\ansicpg1252\deff0\deflang2057{\fonttbl{\f0\fswiss\fprq2\fcharset0 Microsoft Sans Serif;}{\f1\fnil\fcharset0 Microsoft Sans Serif;}}_x000D_
\viewkind4\uc1\pard\f0\fs17 Email is the preferred method of communication for the project in order to minimise the projects environmental impact:\par_x000D_
Project emails pst file is saved in J/P5000522/email\par_x000D_
All staff working on the project have access to this mailbox\par_x000D_
All emails received or sent by any member of the team are saved in this mailbox as a record of the projects email correspondence.\par_x000D_
\par_x000D_
NOTE: As of July 2012 this project has been moved to Newforma to track all email and documentation issue.\par_x000D_
\f1\par_x000D_
}_x000D_
</t>
  </si>
  <si>
    <t>19813W</t>
  </si>
  <si>
    <t>P5000523</t>
  </si>
  <si>
    <t>Lusk Community College</t>
  </si>
  <si>
    <t>07/02/2012 Kick off meeting held with DoES with a viwe to the project being completed Sept 2014:</t>
  </si>
  <si>
    <t>21/02/2013 Stage 1 approved in a meeting in theDoES_x000D_
Stage 2a is due the week ending 20/04/13 for the secondary school and the primary school may be terminated shortly.</t>
  </si>
  <si>
    <t>30/04/13 Our Stage 2a has been issued to the proejct archtiect and we await a date for a 2a meeting with the DoES</t>
  </si>
  <si>
    <t>Rush/Lusk, Co. Dublin</t>
  </si>
  <si>
    <t xml:space="preserve">{\rtf1\ansi\ansicpg1252\deff0\deflang2057{\fonttbl{\f0\fswiss\fprq2\fcharset0 Calibri;}{\f1\fnil\fcharset0 Microsoft Sans Serif;}}_x000D_
{\colortbl ;\red255\green0\blue0;}_x000D_
\viewkind4\uc1\pard\sa200\sl276\slmult1\cf1\f0\fs22 Updated 14/04/13\par_x000D_
\cf0 The exact scope and program of the primary school is unknown but the primary part of the project is likely to be terminated.  It is important to minimise work on this element of work.  The largest risk with the secondary school is ints interface with the Phase I works by others as the Phae I consultants hace not allowed for the extension.  It is importnat to hilight these risks within our 2a report.\par_x000D_
\cf1 Risks at project inception\cf0\par_x000D_
Risks include the indefinite brief for the project.  The project began as a single 1000 pupil school and expanded to include a primary school on a nearby site.  The first phase of the project is being completed under a D&amp;B contract and we are therefore designing an extension to a building that has not been designed.\par_x000D_
BDP fees are relatively low and the largest risk to fees is that the project timeline will extend beyond that envisaged.\par_x000D_
\pard\f1\fs17\par_x000D_
}_x000D_
</t>
  </si>
  <si>
    <t>Paul Mackle_x000D_
Department of Education and Science_x000D_
Portlaoise Road_x000D_
Tullamore_x000D_
Co. Offaly_x000D_
Tel 057 932 4483</t>
  </si>
  <si>
    <t>/brief/</t>
  </si>
  <si>
    <t>The program is fluid but is generally intended to achieve completion sept 2014 . This target will not be met</t>
  </si>
  <si>
    <t xml:space="preserve">{\rtf1\ansi\ansicpg1252\deff0\deflang2057{\fonttbl{\f0\fnil\fcharset0 Microsoft Sans Serif;}}_x000D_
\viewkind4\uc1\pard\f0\fs17 Newforma will be used for the storing of email and the processsing and recording of transmittals.\par_x000D_
}_x000D_
</t>
  </si>
  <si>
    <t>RN 76213T</t>
  </si>
  <si>
    <t>P5000524</t>
  </si>
  <si>
    <t>Stephenstown School Campus Ghlor Na Mara and Scoil Chormaic NS</t>
  </si>
  <si>
    <t>07/02/2012 - Kick off meeting with DoES with an instended completion date of July 2012_x000D_
14/08/2012 Stage 1 approval received</t>
  </si>
  <si>
    <t>Current programme for completion of Stage 2B has not changed from our last meeting:-_x000D_
•	Detail Design Completion - 27th September 2013_x000D_
Architect instructed by DoES to appeal Fire Cert conditions.</t>
  </si>
  <si>
    <t>10/08/2013 Stage 2A approval._x000D_
Stage 2B report issued to Architect on 06/12/13. Possible delays on the Civil package. Additional works may be required  to third party access road and temp accomadation. DoES to advise.</t>
  </si>
  <si>
    <t xml:space="preserve">Clonard Road_x000D_
Stephenstown, Balbriggan, Co. Dublin </t>
  </si>
  <si>
    <t xml:space="preserve">{\rtf1\ansi\ansicpg1252\deff0\deflang2057{\fonttbl{\f0\fnil\fcharset0 Arial;}}_x000D_
\viewkind4\uc1\pard\lang6153\fs20 New 1,000 pupil secondary school and 24 classroom primary school on a combined site.\par_x000D_
\par_x000D_
The area of the secondary school is 10098 and the primary is 4085\par_x000D_
\par_x000D_
Note that the temporary works projec is P500624 in the accounting system\lang2057\par_x000D_
}_x000D_
</t>
  </si>
  <si>
    <t xml:space="preserve">{\rtf1\ansi\ansicpg1252\deff0\deflang2057{\fonttbl{\f0\fnil\fcharset0 Microsoft Sans Serif;}{\f1\fswiss\fprq2\fcharset0 Calibri;}}_x000D_
{\colortbl ;\red255\green0\blue0;}_x000D_
\viewkind4\uc1\pard\cf1\f0\fs17 Updated 14/04/13\par_x000D_
\cf0\par_x000D_
\f1\fs22 The project was delayed at planning stage leading to sompe potential problems with completion / phased handover etc.  This will be resolved as the project proceeds.  The main risk to BDP costs is the slipping of the project out of phase with the Rush/Lusk project.  This must be reviewed and possibly additional fees sought.  There is no imediate need to resolve the fees as the projects are still co-incidental if not running at the same stage.\par_x000D_
\par_x000D_
\f0\fs17\par_x000D_
\pard\sa200\sl276\slmult1\cf1\f1\fs22 Initial Risks\cf0\par_x000D_
The project has a very tight and unrealistic time scale. The brief for the project accommodation was initially unclear with some potential community accommodation tabled.  This has now been resolved and the project has proceeded with a clear brief.\par_x000D_
\pard\f0\fs17\par_x000D_
}_x000D_
</t>
  </si>
  <si>
    <t xml:space="preserve">{\rtf1\ansi\ansicpg1252\deff0\deflang2057{\fonttbl{\f0\fnil\fcharset0 Microsoft Sans Serif;}}_x000D_
\viewkind4\uc1\pard\f0\fs17 primary is 4349m2\par_x000D_
\par_x000D_
Design procedure following the standatd DoES stages and design Team Procedures.\par_x000D_
}_x000D_
</t>
  </si>
  <si>
    <t>/breif/</t>
  </si>
  <si>
    <t>RN 68082L  20269J (primary)</t>
  </si>
  <si>
    <t>P5000527</t>
  </si>
  <si>
    <t>Lucan South Post Primary (Kishogue Community College)</t>
  </si>
  <si>
    <t>11,358,741.94</t>
  </si>
  <si>
    <t>16/02/12 kickoff meeting held with VEC: intended completion date is Aug 2014. 3/04/12 pre Stage 1 mtg with DES - permission granted to progress stage 1 &amp; 2a</t>
  </si>
  <si>
    <t>12/08/12 Formal approval received to proceed to Stage 2a_x000D_
 _x000D_
We were subsequently asked to return to stage 1_x000D_
the revised Stage 1 was subsequently approved shrotly after</t>
  </si>
  <si>
    <t xml:space="preserve">March 2013 the stage 2a report was approved._x000D_
11th April the DoES formally approved proceding to 2b_x000D_
</t>
  </si>
  <si>
    <t>19/11/13 - tender sumbisison date_x000D_
27/03/14 - tender aceptance letter sent</t>
  </si>
  <si>
    <t>Stage 4 - Project commenced on site April 2014</t>
  </si>
  <si>
    <t>Clonburris, Lucan, Co Dublin</t>
  </si>
  <si>
    <t xml:space="preserve">{\rtf1\ansi\ansicpg1252\deff0\deflang2057{\fonttbl{\f0\fnil\fcharset0 Arial;}}_x000D_
\viewkind4\uc1\pard\fs20 A 1,000 pupil secondary school on a green filed site\par_x000D_
}_x000D_
</t>
  </si>
  <si>
    <t>J:\P5000527\Images\initil model.jpg</t>
  </si>
  <si>
    <t xml:space="preserve">{\rtf1\ansi\ansicpg1252\deff0\deflang2057{\fonttbl{\f0\fswiss\fprq2\fcharset0 Microsoft Sans Serif;}{\f1\fnil\fcharset0 Microsoft Sans Serif;}}_x000D_
{\colortbl ;\red255\green0\blue0;\red0\green0\blue0;\red0\green128\blue128;}_x000D_
\viewkind4\uc1\pard\sa200\sl276\slmult1\cf1\f0\fs17 Updated 14/04/13\par_x000D_
\cf2 The project has been delayed a number of times and the completion date is compromised.  We did receive some additional fees for re-doing Stage 1 whcih compensated for this delay.  \cf1\par_x000D_
24/02/12 \par_x000D_
Risks: \par_x000D_
see Risk Register in J:\\P5000527\\QA\\Risks\par_x000D_
\cf2 The project is a relatively straight forward secondary school on a green field site.  Our main risk is that BDP are appointed at a relatively low fee.  If the project timescale is extended then this may result in additional costs if not correctly handled.\par_x000D_
\cf3 The PSDP Risk register is saved in teh qa/Risks folder\cf2\par_x000D_
An additional risk is that this project is devolved to the CDVEC who have not previously run a project in this way.  This could lead to duplication of administration tasks between CDVEC and DoES if not carefully handled.\par_x000D_
\cf1 Mitigations:  \cf2 Carefully monitor project progress and meeting requests to ensure that the project is moving at the rate expected.  Minimise the number of BDP staff working on the project and ensure that they are carefully briefed to ensure that their time spent on the project is efficient.\par_x000D_
\pard\f1\par_x000D_
\par_x000D_
\cf0\par_x000D_
}_x000D_
</t>
  </si>
  <si>
    <t>includes fees vat etc</t>
  </si>
  <si>
    <t xml:space="preserve">George Murphy,_x000D_
Administrative Officer,_x000D_
Corporate Services Section,_x000D_
County Dublin VEC,_x000D_
1 Tuansgate,_x000D_
Belgard Square East,_x000D_
Tallaght,_x000D_
Dublin 24._x000D_
Tel: 01 4529613_x000D_
Email:   g.murphy@codubvec.ie_x000D_
</t>
  </si>
  <si>
    <t>brief folder in the project J drive</t>
  </si>
  <si>
    <t>/qa/program</t>
  </si>
  <si>
    <t xml:space="preserve">{\rtf1\ansi\ansicpg1252\deff0\deflang2057{\fonttbl{\f0\fnil\fcharset0 Microsoft Sans Serif;}}_x000D_
\viewkind4\uc1\pard\f0\fs17 The project will be managed on Newforma. \par_x000D_
}_x000D_
</t>
  </si>
  <si>
    <t>/qa</t>
  </si>
  <si>
    <t>76152C</t>
  </si>
  <si>
    <t>P5000530</t>
  </si>
  <si>
    <t>Ardgillan Community College</t>
  </si>
  <si>
    <t>22/06/2012 - (ST)_x000D_
Roankabin meeting at KSNPM offices. Issue raised that the unit may be 3m wider in dimension. Roankabin to confirm if there is adequate space without risk of breaking fire regulations distances</t>
  </si>
  <si>
    <t>Ardgillan Community College, Castlelands, Ballbriggan, Co.Dublin</t>
  </si>
  <si>
    <t xml:space="preserve">{\rtf1\ansi\ansicpg1252\deff0\deflang2057{\fonttbl{\f0\fnil\fcharset0 Arial;}}_x000D_
\viewkind4\uc1\pard\fs20 Temporary accommodation for a future school\par_x000D_
}_x000D_
</t>
  </si>
  <si>
    <t>76129 H</t>
  </si>
  <si>
    <t>P5000531</t>
  </si>
  <si>
    <t>LUTTRELLSTOWN COMMUNITY COLLEGE</t>
  </si>
  <si>
    <t>08/02/2012 - (ST)_x000D_
Email and phone call for M &amp; E As built building and site information from Dellap&amp;Waller, Dublin (Larry Kavanagh). Alternatively M&amp;E contractors details to be provided._x000D_
Contacts : Office (01) 4534031, email Lkavanagh@dwme.ie</t>
  </si>
  <si>
    <t>Luttrellstown Community College, Mill Road, Blanchardstown, Dublin 15</t>
  </si>
  <si>
    <t xml:space="preserve">{\rtf1\ansi\ansicpg1252\deff0\deflang2057{\fonttbl{\f0\fnil\fcharset0 Arial;}}_x000D_
\viewkind4\uc1\pard\fs20 Refurbishment of temporary school accommodation\par_x000D_
}_x000D_
</t>
  </si>
  <si>
    <t xml:space="preserve">{\rtf1\ansi\ansicpg1252\deff0\deflang2057{\fonttbl{\f0\fnil\fcharset0 Microsoft Sans Serif;}}_x000D_
\viewkind4\uc1\pard\f0\fs17\par_x000D_
}_x000D_
</t>
  </si>
  <si>
    <t>76130 P</t>
  </si>
  <si>
    <t>P5000535</t>
  </si>
  <si>
    <t>LIT Clare Street Covered Square</t>
  </si>
  <si>
    <t>P5000538</t>
  </si>
  <si>
    <t>Rapid Build Schools Bundles 1 &amp; 2</t>
  </si>
  <si>
    <t>Substantial Completion - Gorey</t>
  </si>
  <si>
    <t>12/10/30 - Letter of appointment - Gorey_x000D_
12/11/05 - Started on site - Gorey</t>
  </si>
  <si>
    <t>13/01/31 - Letter of Appointment - Greystones_x000D_
13/02/04 - Started on Site - Greystones</t>
  </si>
  <si>
    <t>13/05/29 - proposed susbstantial completion date - Gorey</t>
  </si>
  <si>
    <t>13/09/04 - proposed susbstantial completion date - greystones educate together</t>
  </si>
  <si>
    <t xml:space="preserve">{\rtf1\fbidis\ansi\ansicpg1252\deff0\deflang2057{\fonttbl{\f0\fswiss\fprq2\fcharset0 Arial;}{\f1\fnil\fcharset0 Arial;}}_x000D_
\viewkind4\uc1\pard\ltrpar\tx0\tqr\tx8729\f0\fs20 This project involves the construction of an 8 classroom extension to an existing 8 classroom school and a new standalone GP Hall in Gorey. \par_x000D_
\par_x000D_
\pard\ltrpar Also, a new 16 classroom school with 2 class special needs unit and GP hall in Greystones. The Greystones site also involves some reconfiguration of existing school, construction of link including new GP Hall.\f1\fs20\par_x000D_
}_x000D_
</t>
  </si>
  <si>
    <t xml:space="preserve">{\rtf1\ansi\ansicpg1252\deff0\deflang2057{\fonttbl{\f0\fnil\fcharset0 Microsoft Sans Serif;}}_x000D_
\viewkind4\uc1\pard\f0\fs17 Rapid build project did not follow normal design procedures. On receipt of design intent drawings BDP were instructed to correct any errors and prepare bid submission documents not inclusive of design drawings. The project then proceeded to site immediately upon confirmation of successful bid. The programme was expedited at both bid and site stage and was discussed at team meetings before becoming paper-based after the first site meeting. \par_x000D_
}_x000D_
</t>
  </si>
  <si>
    <t>K:\Submissions\COMPLETED SUBMISSIONS\2012\School Tenders\Framework for Rapid Build Schools\2nd Bundle</t>
  </si>
  <si>
    <t>J:\P5000538\QA</t>
  </si>
  <si>
    <t xml:space="preserve">{\rtf1\ansi\ansicpg1252\deff0\deflang2057{\fonttbl{\f0\fnil\fcharset0 Microsoft Sans Serif;}}_x000D_
\viewkind4\uc1\pard\f0\fs17 Newforma (from BDP). \par_x000D_
Dropbox is the primary communication medium with the ER but from BDP's concern all communication to the ER is via the contractor's representative\par_x000D_
}_x000D_
</t>
  </si>
  <si>
    <t>P5000543</t>
  </si>
  <si>
    <t>Cholmcill, Ballybrack</t>
  </si>
  <si>
    <t>600.00</t>
  </si>
  <si>
    <t>28/03/2012</t>
  </si>
  <si>
    <t>€600 for initial Emergency works report, additional fee based on grant sum for works. (28/03/2012)(DR)</t>
  </si>
  <si>
    <t>P5000544</t>
  </si>
  <si>
    <t>Blackhall Green BER</t>
  </si>
  <si>
    <t>950</t>
  </si>
  <si>
    <t>ex VAT_fee</t>
  </si>
  <si>
    <t>P5000547</t>
  </si>
  <si>
    <t>St.Fintina's Post Primary School, Longwood</t>
  </si>
  <si>
    <t>€9,100,000</t>
  </si>
  <si>
    <t>Appointment Letter from Meath VEC - 8/06/2012_x000D_
Stage 1 Report submitted to Architect on 09/07/2012_x000D_
Stage 2a Report submitted to Architect on 12/10/2012_x000D_
Stage 2a Presentation to DoES on 6/12/2012</t>
  </si>
  <si>
    <t>Resubmission of Stage 2a to Architect on 25/01/2013_x000D_
Approval to proceed with Stage 2b received 22/01/2014, lettter from DoES saved in ...\Letters\Client\2013-12-05 Approval of Stage 2a.</t>
  </si>
  <si>
    <t>Before teh Longwood village on the road  from Enfield to Longwood.</t>
  </si>
  <si>
    <t xml:space="preserve">{\rtf1\ansi\ansicpg1252\deff0\deflang2057{\fonttbl{\f0\fnil\fcharset0 Arial;}}_x000D_
\viewkind4\uc1\pard\fs20 A new Post Primary school on a green field site in Co. Meath to replace existing school near-by.\par_x000D_
}_x000D_
</t>
  </si>
  <si>
    <t xml:space="preserve">{\rtf1\ansi\ansicpg1252\deff0\deflang2057{\fonttbl{\f0\fnil\fcharset0 Microsoft Sans Serif;}}_x000D_
\viewkind4\uc1\pard\f0\fs17 The risk register for the project is saved in the QA folder, updated at each stage of the project, copied and re-named accordingly to maintain historic records.\par_x000D_
}_x000D_
</t>
  </si>
  <si>
    <t xml:space="preserve">{\rtf1\ansi\ansicpg1252\deff0\deflang2057{\fonttbl{\f0\fnil\fcharset0 Microsoft Sans Serif;}}_x000D_
\viewkind4\uc1\pard\f0\fs17 Use of the DoES TGD's shall take precedence where applicable.\par_x000D_
}_x000D_
</t>
  </si>
  <si>
    <t>M:\P5000547\Data In\Incoming Documents\Client\Briefing Documents</t>
  </si>
  <si>
    <t xml:space="preserve">{\rtf1\ansi\ansicpg1252\deff0\deflang2057{\fonttbl{\f0\fnil\fcharset0 Microsoft Sans Serif;}}_x000D_
\viewkind4\uc1\pard\f0\fs17 This project shall incorporate the use of the Newforma document management system.\par_x000D_
}_x000D_
</t>
  </si>
  <si>
    <t>J:\P5000547\Cost Control\Variations</t>
  </si>
  <si>
    <t>71970L</t>
  </si>
  <si>
    <t>P5000548</t>
  </si>
  <si>
    <t>Scoil Mhichil Naofa</t>
  </si>
  <si>
    <t>Pre stage 1 meeting with DES</t>
  </si>
  <si>
    <t>Appointed June 2012. Stage 1 kick off meeting held with the school and the design team at the school 28/09/2012. DES approved extra funds for a bigger canteen due to school DEIS status.</t>
  </si>
  <si>
    <t xml:space="preserve">Scoil Mhichil Naofa, _x000D_
Athy, _x000D_
</t>
  </si>
  <si>
    <t>County Kildare.</t>
  </si>
  <si>
    <t xml:space="preserve">{\rtf1\ansi\ansicpg1252\deff0\deflang2057{\fonttbl{\f0\fswiss\fprq2\fcharset0 Calibri;}{\f1\fnil\fcharset0 Arial;}}_x000D_
{\colortbl ;\red0\green0\blue255;}_x000D_
\viewkind4\uc1\pard\sb30\cf1\f0\fs20 The project entails the construction of an extension to the existing primary school accommodation of approximately 3,019m2, plus some demolition work, plus associated refurbishment, external and site works.\par_x000D_
\pard\cf0\f1\par_x000D_
\par_x000D_
New build area:3483\par_x000D_
Existing build area: 2344\par_x000D_
\par_x000D_
total 5827\par_x000D_
\par_x000D_
}_x000D_
</t>
  </si>
  <si>
    <t xml:space="preserve">{\rtf1\ansi\ansicpg1252\deff0\deflang2057{\fonttbl{\f0\fswiss\fprq2\fcharset0 Microsoft Sans Serif;}{\f1\fnil\fcharset0 Microsoft Sans Serif;}}_x000D_
{\colortbl ;\red255\green0\blue0;\red0\green0\blue0;}_x000D_
\viewkind4\uc1\pard\sa200\sl276\slmult1\cf1\f0\fs17 Risks: \par_x000D_
see Risk Register in J:\\P5000548\\QA\\Risks\par_x000D_
\pard\cf2 The project involves an extension to an existing school and some demolition to existing buildings. Risks will include working on a live school site and interfacing with existing services.  Our main risk is that BDP are appointed at a relatively low fee.  If the project timescale is extended then this may result in additional costs if not correctly handled.\cf0\f1\fs17\par_x000D_
}_x000D_
</t>
  </si>
  <si>
    <t>J:\P5000548\QA\Project Directors Brief.doc</t>
  </si>
  <si>
    <t xml:space="preserve">{\rtf1\ansi\ansicpg1252\deff0\deflang2057{\fonttbl{\f0\fnil\fcharset0 Microsoft Sans Serif;}}_x000D_
\viewkind4\uc1\pard\f0\fs17 The project will be managed on Newforma. \fs17\par_x000D_
}_x000D_
</t>
  </si>
  <si>
    <t>18288B</t>
  </si>
  <si>
    <t>P5000549</t>
  </si>
  <si>
    <t>E-Tech International Offices</t>
  </si>
  <si>
    <t>Blanchardstown</t>
  </si>
  <si>
    <t xml:space="preserve">{\rtf1\ansi\ansicpg1252\deff0\deflang2057{\fonttbl{\f0\fnil\fcharset0 Arial;}}_x000D_
\viewkind4\uc1\pard\fs20 This is a small office building in Blanchardstown\par_x000D_
}_x000D_
</t>
  </si>
  <si>
    <t>Mech only</t>
  </si>
  <si>
    <t>P5000553</t>
  </si>
  <si>
    <t>LIT - Thurles Campus</t>
  </si>
  <si>
    <t>P5000558</t>
  </si>
  <si>
    <t>LIT EAC Building</t>
  </si>
  <si>
    <t>P5000560</t>
  </si>
  <si>
    <t>LIT - Strength &amp; Conditioning Building</t>
  </si>
  <si>
    <t>2,965,000</t>
  </si>
  <si>
    <t>22/12/2015 - End of defects period</t>
  </si>
  <si>
    <t>17/12/2012 - Stage 1 Commencement PM no.11_x000D_
22/01/2013 - Stage 1 Report Submission_x000D_
23/01/2013 - Stage 1 Sign Off at PIM no.13</t>
  </si>
  <si>
    <t xml:space="preserve">06/02/2013 - Stage 2a Commencement PM no.14_x000D_
14/03/2013 - Stage 2a Report Submission_x000D_
03/04/2013 - Stage 2a report Sign Off at PIM no. 18_x000D_
</t>
  </si>
  <si>
    <t>03/05/2013 - Stage 2b Commencement_x000D_
07/08/2013 - Stage 2b sign Off PIM no.32_x000D_
16/08/2013 - Tendered</t>
  </si>
  <si>
    <t>11/11/2013 - Start Date_x000D_
22/12/2014 - Substantial Completion Date</t>
  </si>
  <si>
    <t xml:space="preserve">LIT Tipperary, _x000D_
Nenagh Rd., _x000D_
Thurles, _x000D_
</t>
  </si>
  <si>
    <t xml:space="preserve">{\rtf1\ansi\ansicpg1252\deff0\deflang2057{\fonttbl{\f0\fnil\fcharset0 Calibri;}{\f1\fnil\fcharset0 Arial;}}_x000D_
{\colortbl ;\red0\green0\blue0;}_x000D_
\viewkind4\uc1\pard\hyphpar0\sl288\slmult1\cf1\f0\fs22 The enhancement of sporting culture at LIT is important and forms one of the development pillars of the masterplan campus 2030 for the Institute across all locations.\par_x000D_
\par_x000D_
The need for this building has developed in response to the increasing demand and the large number of CAO applications for the innovative courses in strength and conditioning and related disciplines.\par_x000D_
\par_x000D_
LIT have set up a partnership with Setanta College. The partnership sees the joint delivery of an innovative BSc in Sports Strength and Conditioning. Further related developments are planned to build on the current success. \par_x000D_
\par_x000D_
The project scope therefore is to provide a unique strength and conditioning facility to meet the needs of the course and the wider campus. It is likely that revenue will also be generated out of academic year with many sports teams already expressing an interest in using this facility for the wider community.\par_x000D_
\par_x000D_
The Building consists of a Strength &amp; Conditioning Hall, 3 no. changing rooms, reception area, plant and storage at ground floor. At first floor level 4 no. classrooms and a potential future expansion mezzanine over the S+C Hall.\par_x000D_
\pard\cf0\f1\fs20\par_x000D_
}_x000D_
</t>
  </si>
  <si>
    <t>J:\P5000560\Images\Professional Photos\01.jpg</t>
  </si>
  <si>
    <t xml:space="preserve">{\rtf1\ansi\ansicpg1252\deff0\deflang2057{\fonttbl{\f0\fnil\fcharset0 Microsoft Sans Serif;}}_x000D_
\viewkind4\uc1\pard\f0\fs17 Risk register is saved in QA Folder:\par_x000D_
\par_x000D_
\pard J:\\P5000481\\QA\\Risk Management Register (Rev-0)\fs17\par_x000D_
}_x000D_
</t>
  </si>
  <si>
    <t xml:space="preserve">{\rtf1\ansi\ansicpg1252\deff0\deflang2057{\fonttbl{\f0\fswiss\fprq2\fcharset0 Microsoft Sans Serif;}{\f1\fnil\fcharset0 Microsoft Sans Serif;}}_x000D_
\viewkind4\uc1\pard\f0\fs17 This project is one of the individual project off one of the campuses of Limerick Institute of Technology (LIT).  This project number covers this individual project on this campus\par_x000D_
\par_x000D_
\pard From an auditing point of view, I will be conducting the QA gateway audits as set out in the LIT Masterplan P5000481.\f1\fs17\par_x000D_
}_x000D_
</t>
  </si>
  <si>
    <t>J:\P5000560\Brief</t>
  </si>
  <si>
    <t>J:\P5000560\Program</t>
  </si>
  <si>
    <t xml:space="preserve">{\rtf1\ansi\ansicpg1252\deff0\deflang2057{\fonttbl{\f0\fnil\fcharset0 Microsoft Sans Serif;}}_x000D_
\viewkind4\uc1\pard\f0\fs17 Newforma\fs17\par_x000D_
}_x000D_
</t>
  </si>
  <si>
    <t>J:\P5000560\Cost Control\Variations</t>
  </si>
  <si>
    <t>N/A</t>
  </si>
  <si>
    <t>P5000561</t>
  </si>
  <si>
    <t>Louth Post Primary School, Ballymakenny</t>
  </si>
  <si>
    <t>Project Completion</t>
  </si>
  <si>
    <t>Project began 30/08/2012_x000D_
Stage 1 formally approved 19/11/2012_x000D_
Stage 2a meeting 31/01/2013</t>
  </si>
  <si>
    <t>Contract date (anticipated): Anticipated date for  issue of Letter of Acceptance is Friday 7th February 2014, Dated 14th February 2014. On this basis the Contract start date will be  14th February 2014.</t>
  </si>
  <si>
    <t>28/04/15 - Project continuing on site based on accelerated program - completion date is end of November 2015</t>
  </si>
  <si>
    <t>Ballymakenny_x000D_
Co. Louth</t>
  </si>
  <si>
    <t xml:space="preserve">{\rtf1\ansi\ansicpg1252\deff0\deflang2057{\fonttbl{\f0\fnil\fcharset0 Arial;}}_x000D_
\viewkind4\uc1\pard\fs20 1000 Pupil school in county louth on a green field site.\par_x000D_
}_x000D_
</t>
  </si>
  <si>
    <t>Secondary School</t>
  </si>
  <si>
    <t>/Brief</t>
  </si>
  <si>
    <t xml:space="preserve">{\rtf1\ansi\ansicpg1252\deff0\deflang2057{\fonttbl{\f0\fnil\fcharset0 Microsoft Sans Serif;}}_x000D_
\viewkind4\uc1\pard\f0\fs17 Newforma will be used to store all communication.\par_x000D_
}_x000D_
</t>
  </si>
  <si>
    <t>/QA</t>
  </si>
  <si>
    <t>91573N</t>
  </si>
  <si>
    <t>P5000562</t>
  </si>
  <si>
    <t>Fingal County Hall Boiler replacement 2012</t>
  </si>
  <si>
    <t>P5000563</t>
  </si>
  <si>
    <t xml:space="preserve">Gaelscoil Bharra, Cabra </t>
  </si>
  <si>
    <t>tender return</t>
  </si>
  <si>
    <t xml:space="preserve">Nove 2012 the project began and out instruction was to go directly to Stage 2a as the architecture had already progressed. </t>
  </si>
  <si>
    <t>Stage 2a meeting held in April2nd- final Stage 2a submission due 29th April 2013. BDP architects asked to complete stage 2b desing for DES. Progress meetings held from July- September 2013. Stage 2b submitted September 2013. Nov-Dec13cost queries from13</t>
  </si>
  <si>
    <t>March &amp; april 2014- VE savings sought- one ptich gate and access control omitted and ventilation in building cost reduced. tenders issued by DOES on 23/03/15 and due back on the 23/04/15. 2 week extension- tender due 7th May, Tenders returns were receiv</t>
  </si>
  <si>
    <t>Lowest tender is 8% over budget- June 2015.Ganson withdrew. MDY 2nd, electrical low but ED spoke with them and agreed to standover. NB- pitch lighting was excluded but they are standingover.</t>
  </si>
  <si>
    <t>Quarry Road_x000D_
Cabra</t>
  </si>
  <si>
    <t xml:space="preserve">{\rtf1\ansi\ansicpg1252\deff0\deflang2057{\fonttbl{\f0\fswiss\fprq2\fcharset0 Calibri;}{\f1\fnil\fcharset0 Arial;}}_x000D_
\viewkind4\uc1\pard\sa200\sl276\slmult1\f0\fs22 This is a three storey, 8 classroom primary school on a compact site.  The main project challenge is the relatively small site footprint which requires a compact and carefully detailed plan layout.\line\line The Department of Education and Science are the project architects for the project.(Note BDP architects took over Stage 2b design)\par_x000D_
\pard\f1\fs20\par_x000D_
}_x000D_
</t>
  </si>
  <si>
    <t xml:space="preserve">{\rtf1\ansi\ansicpg1252\deff0\deflang2057{\fonttbl{\f0\fswiss\fprq2\fcharset0 Calibri;}{\f1\fnil\fcharset0 Microsoft Sans Serif;}}_x000D_
{\colortbl ;\red255\green0\blue0;}_x000D_
\viewkind4\uc1\pard\sa200\sl276\slmult1\cf1\f0\fs22 Risks\par_x000D_
May2015- current risk, fees for site stage are limited. Mitigation: Ensure that staff are well briefed on the project and managing it correctly, including limiting attendance at unnecessary meetings.\par_x000D_
\par_x000D_
\par_x000D_
\cf0 Working with the client as the architect requires us to ensure that we are very clear in our advice where we note the need for changes to the buildings architecture.  In particular we should recall the similar arrangement that occurred on the Rutland street project where the boiler flue and kitchen outlet locations were not ideal.\par_x000D_
\par_x000D_
\par_x000D_
\cf1 Mitigations\par_x000D_
\cf0 It is necessary to clearly document any areas of concern with the building design and ensure that this documentation is carefully saved within Newforma, using easily identifiable keywords.\par_x000D_
\pard\f1\fs17\par_x000D_
}_x000D_
</t>
  </si>
  <si>
    <t xml:space="preserve">Subbaro Moka_x000D_
Department of Education and Science_x000D_
Portlaoise Road_x000D_
Tullamore_x000D_
Co. Offaly_x000D_
</t>
  </si>
  <si>
    <t>DoES TGD wtihin the M&amp;E folder : also see the pre apointment folder</t>
  </si>
  <si>
    <t>project currently out to tender- awaiting contractors programme</t>
  </si>
  <si>
    <t>20047O</t>
  </si>
  <si>
    <t>P5000565</t>
  </si>
  <si>
    <t>St. Colmcille's N.S., Knocklyon</t>
  </si>
  <si>
    <t>05/11/12 BDP advised DoES of teh difficultie with the previous consultants design.</t>
  </si>
  <si>
    <t>28/11/2014 - Substantial Compltion</t>
  </si>
  <si>
    <t xml:space="preserve">{\rtf1\ansi\ansicpg1252\deff0\deflang2057{\fonttbl{\f0\fnil\fcharset0 Arial;}}_x000D_
\viewkind4\uc1\pard\fs20 BDP took up this project at site stage from a consulatant who had gone into liquidation.\par_x000D_
}_x000D_
</t>
  </si>
  <si>
    <t>J:\P5000565\Images\Building Model.jpg</t>
  </si>
  <si>
    <t xml:space="preserve">{\rtf1\ansi\ansicpg1252\deff0\deflang2057{\fonttbl{\f0\fnil\fcharset0 Microsoft Sans Serif;}}_x000D_
\viewkind4\uc1\pard\f0\fs17 Please see risk register completed at appointment stage, when the building construction had commenced.  We were appointed following the departure of the previous consultant.\par_x000D_
\par_x000D_
J:\\P5000565\\QA\\Risk Management Register (Rev-0).xls\par_x000D_
\par_x000D_
\par_x000D_
}_x000D_
</t>
  </si>
  <si>
    <t>12,000,000</t>
  </si>
  <si>
    <t>Redesign of the M&amp;E Services</t>
  </si>
  <si>
    <t xml:space="preserve">{\rtf1\ansi\ansicpg1252\deff0\deflang2057{\fonttbl{\f0\fnil\fcharset0 Microsoft Sans Serif;}}_x000D_
\viewkind4\uc1\pard\f0\fs17 Design is in accordance with the DoES TGD's\par_x000D_
\par_x000D_
No Stage 1, 2a - Project taken over from previous consultant.\par_x000D_
\par_x000D_
Stage 2b done as there was a full re-design of the services.\par_x000D_
\par_x000D_
No Stage 3 as it was re-priced by the appointed contractor.\par_x000D_
}_x000D_
</t>
  </si>
  <si>
    <t>J:\P5000565\Brief</t>
  </si>
  <si>
    <t>J:\P5000565\Program</t>
  </si>
  <si>
    <t xml:space="preserve">{\rtf1\ansi\ansicpg1252\deff0\deflang2057{\fonttbl{\f0\fnil\fcharset0 Microsoft Sans Serif;}}_x000D_
\viewkind4\uc1\pard\f0\fs17 Newforma, for e-mail management and document issues\par_x000D_
}_x000D_
</t>
  </si>
  <si>
    <t>J:\P5000565\Cost Control\Variations</t>
  </si>
  <si>
    <t>P5000566</t>
  </si>
  <si>
    <t>St. Annes Special School Curragh</t>
  </si>
  <si>
    <t>7,930,387</t>
  </si>
  <si>
    <t>Initial Kick off meeting held 26th March at the school.</t>
  </si>
  <si>
    <t>St. Annes School, _x000D_
Ballymany Cross, _x000D_
The curragh, _x000D_
Co. Kildare</t>
  </si>
  <si>
    <t xml:space="preserve">{\rtf1\ansi\ansicpg1252\deff0\deflang2057{\fonttbl{\f0\fnil\fcharset0 Arial;}}_x000D_
\viewkind4\uc1\pard\fs20 2972m2 extension to St Anne's Special School, Curragh County Kildare\par_x000D_
}_x000D_
</t>
  </si>
  <si>
    <t xml:space="preserve">{\rtf1\ansi\ansicpg1252\deff0\deflang2057{\fonttbl{\f0\fnil\fcharset0 Microsoft Sans Serif;}}_x000D_
\viewkind4\uc1\pard\f0\fs17 - Existing site\par_x000D_
Low fees- \par_x000D_
School is high needs school and will require a lot of attention as to how works will progress on site\par_x000D_
}_x000D_
</t>
  </si>
  <si>
    <t>19277B</t>
  </si>
  <si>
    <t>P5000567</t>
  </si>
  <si>
    <t>Holy Child Sports Hall</t>
  </si>
  <si>
    <t>1,240000</t>
  </si>
  <si>
    <t>Feasibilty study was completed in March 2013. Architects applied for planning on 5 th April 2013. Planning obatinaed on 29/05/13</t>
  </si>
  <si>
    <t>go ahead for full tender docs- 19th June 2013. Project is privately funded- straight to full tender design. tender deadline is 9th August. Docs to QS 1 week before.</t>
  </si>
  <si>
    <t>Bord gais reference number: 8832292 _x000D_
commencment notice issued:28/02/14. Site due to start 18/03/14. cost saving include combi boiler and reduced lighting spec external lights- but lift works are also now going ahead. mech: celsius, elec: david doyle</t>
  </si>
  <si>
    <t>LOI issued- 10/03/14. ocntract signed and sealed 8/04/14- see QA folder for copy. Start on site was 24/03/14. PC issued 23/01/15</t>
  </si>
  <si>
    <t xml:space="preserve">{\rtf1\ansi\ansicpg1252\deff0\deflang2057{\fonttbl{\f0\fnil\fcharset0 Arial;}}_x000D_
\viewkind4\uc1\pard\fs20 A sports hall development on an existing school site. The area to be developed is in a scenic area and planning problems are forseen. The project is a privately funded development. \par_x000D_
}_x000D_
</t>
  </si>
  <si>
    <t xml:space="preserve">{\rtf1\ansi\ansicpg1252\deff0\deflang2057{\fonttbl{\f0\fnil\fcharset0 Microsoft Sans Serif;}}_x000D_
\viewkind4\uc1\pard\f0\fs17 Project is subject to planning risk and risk of delay\par_x000D_
Potential for additional works as a result, and also that additional works will not be within budget and project will be shelved.\par_x000D_
Client want a more detailed building and site than they can currently afford. there is a risk of items being introduced after tender- including the wrap around access patha around the hokcey pitcha dnt he requirement for a lift. CPA have written to client noting htese items are not in the current tender and there will be fees incured if they go in. \par_x000D_
Another risk is that tender is proceeding without full DAC or Fire cert being received. Client is aware of this as a risk item as well. \par_x000D_
}_x000D_
</t>
  </si>
  <si>
    <t xml:space="preserve">{\rtf1\ansi\ansicpg1252\deff0\deflang2057{\fonttbl{\f0\fnil\fcharset0 Microsoft Sans Serif;}}_x000D_
\viewkind4\uc1\pard\f0\fs17 None- stages proceeding directly to tender. \par_x000D_
}_x000D_
</t>
  </si>
  <si>
    <t>QA folder/J drive</t>
  </si>
  <si>
    <t>J Drive- Cost control</t>
  </si>
  <si>
    <t>P5000568</t>
  </si>
  <si>
    <t>SEAI DEC Website analysis</t>
  </si>
  <si>
    <t>14/11/12 - appointment to complete works (see brief)</t>
  </si>
  <si>
    <t>15/11/12 - initial meeting with Alan Ryan, SEAI; Liam Ó Cléirigh, BOC; to discuss integration of DEC system with incoming M&amp;R system.</t>
  </si>
  <si>
    <t xml:space="preserve">{\rtf1\ansi\ansicpg1252\deff0\deflang2057{\fonttbl{\f0\fnil\fcharset0 Arial;}}_x000D_
\viewkind4\uc1\pard\fs20 Analysis of the existing scheme and associated website enabling irish schools to produce their own DEC certs online.\par_x000D_
}_x000D_
</t>
  </si>
  <si>
    <t xml:space="preserve">{\rtf1\ansi\ansicpg1252\deff0\deflang2057{\fonttbl{\f0\fnil\fcharset0 Microsoft Sans Serif;}}_x000D_
\viewkind4\uc1\pard\f0\fs17 As this is not a construction process but rather a review of a previous online website development the project shall not follow the usual BDP route of Stages 1-5. \par_x000D_
}_x000D_
</t>
  </si>
  <si>
    <t>P5000569</t>
  </si>
  <si>
    <t>NS Bhride in Lackagh</t>
  </si>
  <si>
    <t>2,160,880</t>
  </si>
  <si>
    <t>11/12/2012 Kick off meeting with the client</t>
  </si>
  <si>
    <t>20/05/2014 submission of Stage 2a</t>
  </si>
  <si>
    <t>25/03/2015 Builders Works Drawing &amp; Schedules - Stage 2b</t>
  </si>
  <si>
    <t>10/04/2015 M&amp;E Report to Architect_x000D_
_x000D_
01/05/2015 DTM reports &amp; docs to DoES</t>
  </si>
  <si>
    <t xml:space="preserve">Turloughmore, _x000D_
Lackagh_x000D_
</t>
  </si>
  <si>
    <t xml:space="preserve">{\rtf1\fbidis\ansi\ansicpg1252\deff0\deflang2057{\fonttbl{\f0\fswiss\fprq2\fcharset0 Arial;}{\f1\fnil\fcharset0 Arial;}}_x000D_
\viewkind4\uc1\pard\ltrpar\sa200\sl276\slmult1\f0\fs20 This project involves the construction of an 8 classroom primary school and the removal of the existing school and pre-fabricated buildings.\par_x000D_
\pard\ltrpar\f1\par_x000D_
}_x000D_
</t>
  </si>
  <si>
    <t xml:space="preserve">{\rtf1\ansi\ansicpg1252\deff0\deflang2057{\fonttbl{\f0\fnil\fcharset0 Microsoft Sans Serif;}}_x000D_
{\colortbl ;\red255\green0\blue0;\red0\green0\blue0;\red0\green0\blue255;}_x000D_
\viewkind4\uc1\pard\cf1\f0\fs17 Risks: \cf2  The project is relatively straight forward but is a long way from the office.  The key risk is project delays and being called to an exessive number of site meetings.\par_x000D_
\par_x000D_
\cf3 Mitigation: \cf2 Our fee is reasonable for this project and took into account the projects location.  It is still important to carefully track progress on the project.\cf0\par_x000D_
}_x000D_
</t>
  </si>
  <si>
    <t>DoES Standard brief for GRD8 classroom</t>
  </si>
  <si>
    <t>Not agreed</t>
  </si>
  <si>
    <t>12954F</t>
  </si>
  <si>
    <t>P5000570</t>
  </si>
  <si>
    <t>Rapid Build Schools Bundle 3 - Blackrock</t>
  </si>
  <si>
    <t>Blackrock,</t>
  </si>
  <si>
    <t>Co. Louth</t>
  </si>
  <si>
    <t xml:space="preserve">{\rtf1\ansi\ansicpg1252\deff0\deflang2057{\fonttbl{\f0\fnil\fcharset0 Arial;}}_x000D_
\viewkind4\uc1\pard\fs20 Rapid Build 8 class primary school in Blackrock, Co. Louth (8 month construction programme)\par_x000D_
}_x000D_
</t>
  </si>
  <si>
    <t xml:space="preserve">{\rtf1\ansi\ansicpg1252\deff0\deflang2057{\fonttbl{\f0\fnil\fcharset0 Microsoft Sans Serif;}}_x000D_
\viewkind4\uc1\pard\f0\fs17 Rapid Build nature of scheme means that it will not undergo the usual stage checks but will rather proceed directly to construction once appointed. \par_x000D_
}_x000D_
</t>
  </si>
  <si>
    <t>P5000571</t>
  </si>
  <si>
    <t>Hilton Accra Ghana</t>
  </si>
  <si>
    <t>11/02/2013 - Project overview given by MM.  We are to complete a concept design report (equivalent Stage 1) for Wednesday 20/02/2013.</t>
  </si>
  <si>
    <t xml:space="preserve">{\rtf1\ansi\ansicpg1252\deff0\deflang2057{\fonttbl{\f0\fnil\fcharset0 Arial;}}_x000D_
\viewkind4\uc1\pard\fs20 300+ Hilton hotel on the site of the airport in Accra, Ghana.\par_x000D_
}_x000D_
</t>
  </si>
  <si>
    <t>P5000573</t>
  </si>
  <si>
    <t>ESB Leopardstown Campus</t>
  </si>
  <si>
    <t xml:space="preserve">{\rtf1\fbidis\ansi\ansicpg1252\deff0\deflang2057{\fonttbl{\f0\fswiss\fprq2\fcharset0 Arial;}{\f1\fnil\fcharset0 Arial;}}_x000D_
\viewkind4\uc1\pard\ltrpar\f0\fs20 Planning application stage for phased office campus development. \f1\fs20\par_x000D_
}_x000D_
</t>
  </si>
  <si>
    <t xml:space="preserve">{\rtf1\ansi\ansicpg1252\deff0\deflang2057{\fonttbl{\f0\fnil\fcharset0 Microsoft Sans Serif;}}_x000D_
\viewkind4\uc1\pard\f0\fs17 J:\\P5000573\\QA\\Risk Register\par_x000D_
}_x000D_
</t>
  </si>
  <si>
    <t xml:space="preserve">{\rtf1\ansi\ansicpg1252\deff0\deflang2057{\fonttbl{\f0\fnil\fcharset0 Microsoft Sans Serif;}}_x000D_
\viewkind4\uc1\pard\f0\fs17 None.\par_x000D_
}_x000D_
</t>
  </si>
  <si>
    <t>J:\P5000573\QA</t>
  </si>
  <si>
    <t>J:\P5000573\Program</t>
  </si>
  <si>
    <t>P5000575</t>
  </si>
  <si>
    <t>Grosvenor Rd</t>
  </si>
  <si>
    <t>1,985,995.28</t>
  </si>
  <si>
    <t>Site stage</t>
  </si>
  <si>
    <t>Initial feasibility study due to be sent to the client on 12th April.</t>
  </si>
  <si>
    <t>24/06/13- project stopped. No further work required. building will be sold. _x000D_
26/11/13- letter for approval to proceed with planning and accepting cost plan</t>
  </si>
  <si>
    <t xml:space="preserve">4/02/14- some planning obersevations lodged. also client instructed HRU and rainwater to go ahead. Project tendered in November 2014. Tender report completed Jan-15. cost savings agreed with M&amp;E contractors. Offical start on site date is 23/02/15-. </t>
  </si>
  <si>
    <t xml:space="preserve">{\rtf1\ansi\ansicpg1252\deff0\deflang2057{\fonttbl{\f0\fnil\fcharset0 Arial;}}_x000D_
\viewkind4\uc1\pard\fs20 Project is a new residential development for a convent. Several options have been reviewed by the architects and a new build option is the preference. Accommodation will include 12 bedroom with on suite facility, common spaces, garage carpark and possible winter garden. \par_x000D_
}_x000D_
</t>
  </si>
  <si>
    <t xml:space="preserve">{\rtf1\ansi\ansicpg1252\deff0\deflang2057{\fonttbl{\f0\fnil\fcharset0 Microsoft Sans Serif;}}_x000D_
\viewkind4\uc1\pard\f0\fs17 - Private contract- do they have the funds to move ahead.\par_x000D_
- Fee agreed relatively small\par_x000D_
- Potential for works scope to increase from previous agreement\par_x000D_
\par_x000D_
}_x000D_
</t>
  </si>
  <si>
    <t>QA folder J drive</t>
  </si>
  <si>
    <t>J Drive cost control</t>
  </si>
  <si>
    <t>P5000576</t>
  </si>
  <si>
    <t>Rapid Build Bundle 4 - Claregalway</t>
  </si>
  <si>
    <t>13-04-08 - Due to commence on site (Rapid Build Project)</t>
  </si>
  <si>
    <t xml:space="preserve">Phased Handover procedure agreed. _x000D_
Phase 1 - 30/08/13_x000D_
Phase 2 - 09/09/13_x000D_
Phase 3 Final SC - 30/10/13_x000D_
</t>
  </si>
  <si>
    <t>Unit 13, _x000D_
Claregalway Corporate Park,_x000D_
Claregalway,_x000D_
Co. Galway</t>
  </si>
  <si>
    <t xml:space="preserve">{\rtf1\ansi\ansicpg1252\deff0\deflang2057{\fonttbl{\f0\fnil\fcharset0 Arial;}}_x000D_
\viewkind4\uc1\pard\fs20 Rapid Build of a 350 pupil post-primary school including science, home ec, and construction rooms. \par_x000D_
}_x000D_
</t>
  </si>
  <si>
    <t xml:space="preserve">{\rtf1\ansi\ansicpg1252\deff0\deflang2057{\fonttbl{\f0\fnil\fcharset0 Microsoft Sans Serif;}}_x000D_
\viewkind4\uc1\pard\f0\fs17 Rapid build project did not follow normal design procedures. On receipt of design intent drawings BDP were instructed to correct any errors and prepare bid submission documents not inclusive of design drawings. The project then proceeded to site immediately upon confirmation of successful bid. The programme was expedited at both bid and site stage and was discussed at team meetings and is due to become paper-based after the first site meeting. \fs17\par_x000D_
}_x000D_
</t>
  </si>
  <si>
    <t>K:\Submissions\COMPLETED SUBMISSIONS\2012\School Tenders\Framework for Rapid Build Schools\</t>
  </si>
  <si>
    <t xml:space="preserve">{\rtf1\ansi\ansicpg1252\deff0\deflang2057{\fonttbl{\f0\fnil\fcharset0 Microsoft Sans Serif;}}_x000D_
\viewkind4\uc1\pard\f0\fs17 Newforma (from BDP). \par_x000D_
\pard Dropbox is the primary communication medium with the ER but from BDP's concern all communication to the ER is via the contractor's representative\fs17\par_x000D_
}_x000D_
</t>
  </si>
  <si>
    <t>P5000577</t>
  </si>
  <si>
    <t>T4 - Heathrow Hotel</t>
  </si>
  <si>
    <t>P5000578</t>
  </si>
  <si>
    <t>NUIM - Rye Hall, Block D (PSDP)</t>
  </si>
  <si>
    <t xml:space="preserve">{\rtf1\ansi\ansicpg1252\deff0\deflang2057{\fonttbl{\f0\fnil\fcharset0 Arial;}}_x000D_
\viewkind4\uc1\pard\fs20 Conversion of three storey accommodation block to offices.  Includes structural alterations, isntallation of a lift, and general refurbishment.\par_x000D_
}_x000D_
</t>
  </si>
  <si>
    <t>P5000579</t>
  </si>
  <si>
    <t>LIT - Michael Street</t>
  </si>
  <si>
    <t>P5000581</t>
  </si>
  <si>
    <t>Mental Health Unit Sligo</t>
  </si>
  <si>
    <t xml:space="preserve">15.4.13  - Design team meeting no.1 to relaunch project that had previously reached Stage 3 in 2009. Project recommencing from Stage 1._x000D_
Revised Stage 1 report completed in August 2013._x000D_
</t>
  </si>
  <si>
    <t>Letter from Arch. to client to confirm verbal instruction to proceed to Stage 2a in November 2013.  No formal confirmation back from the client._x000D_
Stage 2a (08/07/'14 to client)</t>
  </si>
  <si>
    <t>Oct '14 - HSE approve funding for the project; client documentation awaited. Ref: e-mail 30/09/2014_x000D_
05-12-2014 - Site Services for Planning sent to Arch_x000D_
19-12-2014 - Planning App (No. 14409) lodged with Sligo Co. Co.</t>
  </si>
  <si>
    <t xml:space="preserve">{\rtf1\fbidis\ansi\ansicpg1252\deff0\deflang2057{\fonttbl{\f0\fswiss\fprq2\fcharset0 Arial;}{\f1\fnil\fcharset0 Arial;}}_x000D_
\viewkind4\uc1\pard\ltrpar\sa240\f0\fs20 New 25 single-bed Acute Mental Health Care Unit at Sligo General Hospital. \par_x000D_
\pard\ltrpar The new single storey 2100m2 Unit will be located adjacent to the main hospital building on an elevated site and provided with a link  to the existing hospital. \f1\fs20\par_x000D_
}_x000D_
</t>
  </si>
  <si>
    <t xml:space="preserve">{\rtf1\ansi\ansicpg1252\deff0\deflang2057{\fonttbl{\f0\fnil\fcharset0 Microsoft Sans Serif;}}_x000D_
\viewkind4\uc1\pard\f0\fs17 Construction on live hospital campus requiring close liaison with hospital engineers regarding interface with existing services.\par_x000D_
Avoidance of hot surfaces, hot water temperatures, sharp edges, ligature points etc due to nature of patiants. \par_x000D_
Special consideration regarding security, fire safety, isolation of services, protection of services from interference by patients.\par_x000D_
Aspergillous risk - hospital to advise on vulnerable locations.\par_x000D_
Check for presence of asbestos in existing plant rooms and services ducts.\par_x000D_
}_x000D_
</t>
  </si>
  <si>
    <t xml:space="preserve">{\rtf1\ansi\ansicpg1252\deff0\deflang2057{\fonttbl{\f0\fnil\fcharset0 Microsoft Sans Serif;}}_x000D_
\viewkind4\uc1\pard\f0\fs17 Project to be run in accordance with hte BDP Process\par_x000D_
}_x000D_
</t>
  </si>
  <si>
    <t>J:\P5000581\Brief</t>
  </si>
  <si>
    <t>J:\P5000581\Program</t>
  </si>
  <si>
    <t>J:\P5000581\Cost Control\Variations</t>
  </si>
  <si>
    <t>P5000582</t>
  </si>
  <si>
    <t>Ballinagar National School</t>
  </si>
  <si>
    <t xml:space="preserve">{\rtf1\ansi\ansicpg1252\deff0\deflang2057{\fonttbl{\f0\fnil\fcharset0 Arial;}}_x000D_
\viewkind4\uc1\pard\fs20 Replacemetn consultatn on a GRD 8 school\par_x000D_
}_x000D_
</t>
  </si>
  <si>
    <t>P5000583</t>
  </si>
  <si>
    <t>Presentation Brothers College, Bray</t>
  </si>
  <si>
    <t>Putland Road,_x000D_
Bray</t>
  </si>
  <si>
    <t xml:space="preserve">{\rtf1\ansi\ansicpg1252\deff0\deflang2057{\fonttbl{\f0\fnil\fcharset0 Arial;}}_x000D_
\viewkind4\uc1\pard\fs20 Replacement consultants appointed to complete Stage 5 at PBC Bray. School has been occupied for 3 years (since 2011). \par_x000D_
}_x000D_
</t>
  </si>
  <si>
    <t>P5000586</t>
  </si>
  <si>
    <t>Fitzwilliam Lawn Tennis Club Energy Reveiw</t>
  </si>
  <si>
    <t>P5000587</t>
  </si>
  <si>
    <t xml:space="preserve">LIT - STEM Workshops </t>
  </si>
  <si>
    <t>P5000588</t>
  </si>
  <si>
    <t>Dublin Dental Hospital Boiler Replacement</t>
  </si>
  <si>
    <t xml:space="preserve">{\rtf1\ansi\ansicpg1252\deff0\deflang2057{\fonttbl{\f0\fnil\fcharset0 Arial;}}_x000D_
\viewkind4\uc1\pard\fs20\par_x000D_
}_x000D_
</t>
  </si>
  <si>
    <t>P5000590</t>
  </si>
  <si>
    <t>BREEAM work for Roscommon Offices and CSAIP</t>
  </si>
  <si>
    <t>P5000592</t>
  </si>
  <si>
    <t>NDFA D&amp;B Schools Bundle 1</t>
  </si>
  <si>
    <t>P5000593</t>
  </si>
  <si>
    <t>LIT - Internationalisation Office</t>
  </si>
  <si>
    <t>P5000594</t>
  </si>
  <si>
    <t>Gaelscoil Ui Fiaich</t>
  </si>
  <si>
    <t>P5000595</t>
  </si>
  <si>
    <t>LIT - Moylish Computer Suite</t>
  </si>
  <si>
    <t>08-07-2013 - Advised of Porject_x000D_
16-07-2013 - Visited site</t>
  </si>
  <si>
    <t>LIT Moylish Campus,_x000D_
Limerick</t>
  </si>
  <si>
    <t>P5000596</t>
  </si>
  <si>
    <t xml:space="preserve">DIT Grangegorman EHSI D&amp;B M&amp;E </t>
  </si>
  <si>
    <t>4450</t>
  </si>
  <si>
    <t>14-01-24 - Bid Submission</t>
  </si>
  <si>
    <t>P5000598</t>
  </si>
  <si>
    <t>Yahoo</t>
  </si>
  <si>
    <t>8,800,000</t>
  </si>
  <si>
    <t>End Dec 2013 the project was placed on hold pending a review of the rental agreement</t>
  </si>
  <si>
    <t>09/02/15  PC achieved</t>
  </si>
  <si>
    <t>Point Village}</t>
  </si>
  <si>
    <t xml:space="preserve">{\rtf1\fbidis\ansi\ansicpg1252\deff0\deflang2057{\fonttbl{\f0\fswiss\fprq2\fcharset0 Calibri;}{\f1\fnil\fcharset0 Arial;}}_x000D_
\viewkind4\uc1\pard\ltrpar\sa200\sl276\slmult1\f0\fs22 This project involves the fit out of three floors off offices for Yahoo!.  The services required significant co-ordination as all services are exposed in order to compliment the architectural vision.  A low energy design was required and achieving a low energy solution required not only a quality fit out design but negotiation with the landlord to establish improvements to the control of landlord plant .  \par_x000D_
\pard\ltrpar\f1\fs20\par_x000D_
}_x000D_
</t>
  </si>
  <si>
    <t xml:space="preserve">{\rtf1\fbidis\ansi\ansicpg1252\deff0\deflang2057{\fonttbl{\f0\fswiss\fprq2\fcharset0 Calibri;}{\f1\fnil\fcharset0 Microsoft Sans Serif;}}_x000D_
{\colortbl ;\red255\green0\blue0;}_x000D_
\viewkind4\uc1\pard\ltrpar\sa200\sl276\slmult1\cf1\f0\fs22 Updated 02/01/2013   \par_x000D_
\cf0 The projects tight program has resulted in a scenario where the project architect is likely to make modifications to the design post tender.  It was also necessary to complete the project design within a short period of time and to sequence work in a way that was not completely efficient.\par_x000D_
There is a risk of cost increases on site and increase fee costs due to inefficient working.\par_x000D_
The client has been informed of the risks associated with the compressed program and the decision to proceed with documents of a limited state of completion.\par_x000D_
\pard\ltrpar\f1\fs17\par_x000D_
}_x000D_
</t>
  </si>
  <si>
    <t>J:\P5000598\Brief</t>
  </si>
  <si>
    <t>J:\P5000598\Program</t>
  </si>
  <si>
    <t>J:\P5000598\Cost Control\Variations</t>
  </si>
  <si>
    <t>P5000599</t>
  </si>
  <si>
    <t>Rapid Build Lots 11-15</t>
  </si>
  <si>
    <t>P5000600</t>
  </si>
  <si>
    <t>NDFA School Bundle 2</t>
  </si>
  <si>
    <t>Submission due</t>
  </si>
  <si>
    <t>P5000601</t>
  </si>
  <si>
    <t>NDFA Schools Bundle 3</t>
  </si>
  <si>
    <t>P5000603</t>
  </si>
  <si>
    <t>NUIM Materplanning and M&amp;E summer works 2015</t>
  </si>
  <si>
    <t>Third level Materplan</t>
  </si>
  <si>
    <t>P5000604</t>
  </si>
  <si>
    <t>MISA - St. James' Hospital (Successful Ageing)</t>
  </si>
  <si>
    <t>48000000</t>
  </si>
  <si>
    <t>27/09/13 - Commenced Site Enabling Works design</t>
  </si>
  <si>
    <t>St. James' Hospital,_x000D_
Dublin 8</t>
  </si>
  <si>
    <t>Dublin 8, Ireland</t>
  </si>
  <si>
    <t xml:space="preserve">{\rtf1\ansi\ansicpg1252\deff0\deflang2057{\fonttbl{\f0\fnil\fcharset0 Arial;}}_x000D_
\viewkind4\uc1\pard\fs20 This project involves the demolition of existing buildings and the constuction of a new 15,018m2 state of the art facility. \par_x000D_
\par_x000D_
This part four storey and seven storey hospital building will house clinical facilities and clinical support facilities, research facilities and offices of the Mercer's Institute, 116 bed ward accommodation and administrative office and support services accommodation. \par_x000D_
}_x000D_
</t>
  </si>
  <si>
    <t>P5000606</t>
  </si>
  <si>
    <t>Newtownmount Kennedy</t>
  </si>
  <si>
    <t>Appointment Nov-13_x000D_
Stage 1 walkabout meeting- 11-12-13- O&amp;M info obtained- see mdrive</t>
  </si>
  <si>
    <t xml:space="preserve">Mar '15 - Stage 1 Meeting with DoES - Stage 1 Proposal is rejected because of brief change. Architect to review and respond. </t>
  </si>
  <si>
    <t>20278K</t>
  </si>
  <si>
    <t>P5000607</t>
  </si>
  <si>
    <t>St. Pauls N.S. Navan</t>
  </si>
  <si>
    <t>Awaiting confirmation of stage 2a meeting date</t>
  </si>
  <si>
    <t>repalcement consultants- BDP appointed 9/09/13. prestage 1 report submitted- 10/10/2014. Stage 1 meeting 07/11/2014- project passed_x000D_
Brief change request submitted in march 2015- including a slight increase in area which is reflected in area on the PH</t>
  </si>
  <si>
    <t xml:space="preserve">{\rtf1\ansi\ansicpg1252\deff0\deflang2057{\fonttbl{\f0\fnil\fcharset0 Arial;}}_x000D_
\viewkind4\uc1\pard\fs20 32 classroom new build primary school in Navan, Co. meath. Existing school with prefabs on the site to be maintained during the works.\par_x000D_
}_x000D_
</t>
  </si>
  <si>
    <t xml:space="preserve">{\rtf1\fbidis\ansi\ansicpg1252\deff0\deflang2057{\fonttbl{\f0\fswiss\fprq2\fcharset0 Microsoft Sans Serif;}{\f1\fswiss\fprq2\fcharset0 Calibri;}{\f2\fnil\fcharset0 Microsoft Sans Serif;}}_x000D_
\viewkind4\uc1\pard\ltrpar\f0\fs17 1. Stage 2a Approved. Ensure previous comments by DOES are fully taken on board for Stage 2B. \par_x000D_
\par_x000D_
2. Planning risk- neighbours have raised concerned that the building will be located closer to some houses on the existing green pitch area.\par_x000D_
\par_x000D_
\pard\ltrpar\sb100 3. Diversion of below ground ESB lines. It\rquote s not clear if the duct is redundant, as stated by the caretaker, or if it contains cables which need to be diverted.\f1\fs22\par_x000D_
\pard\ltrpar\f2\fs17\par_x000D_
}_x000D_
</t>
  </si>
  <si>
    <t xml:space="preserve">{\rtf1\ansi\ansicpg1252\deff0\deflang2057{\fonttbl{\f0\fnil\fcharset0 Microsoft Sans Serif;}}_x000D_
\viewkind4\uc1\pard\f0\fs17 No deviations. Are using Newforma for issue of drawings and information to DT. \par_x000D_
\par_x000D_
Meetings are being held mostly over phone conference. \par_x000D_
}_x000D_
</t>
  </si>
  <si>
    <t>J://P5000607/Brief</t>
  </si>
  <si>
    <t>NA</t>
  </si>
  <si>
    <t xml:space="preserve">{\rtf1\ansi\ansicpg1252\deff0\deflang2057{\fonttbl{\f0\fnil\fcharset0 Microsoft Sans Serif;}}_x000D_
\viewkind4\uc1\pard\f0\fs17 Newforma is used. \par_x000D_
}_x000D_
</t>
  </si>
  <si>
    <t>na- site stage</t>
  </si>
  <si>
    <t>19671F</t>
  </si>
  <si>
    <t>P5000608</t>
  </si>
  <si>
    <t>St. Mochta N.S. clonsilla</t>
  </si>
  <si>
    <t>6935733</t>
  </si>
  <si>
    <t>Stage 2a Submission</t>
  </si>
  <si>
    <t xml:space="preserve">BDP appointed as replacement Consultants 17-09-13 (3rd consultants on project).Stage 2a design commenced on Jan-14. As of 28-03-14- on hold- report issued to DES on budget issues- refer to J:drive:Reports/stage 2a folder for docs. Stage 2a meeting 22nd </t>
  </si>
  <si>
    <t xml:space="preserve">St. Mochtas National School_x000D_
Porterstown Rd,_x000D_
Clonsilla, _x000D_
Dublin 15_x000D_
</t>
  </si>
  <si>
    <t xml:space="preserve">{\rtf1\ansi\ansicpg1252\deff0\deflang2057{\fonttbl{\f0\fnil\fcharset0 Microsoft Sans Serif;}}_x000D_
\viewkind4\uc1\pard\f0\fs17 Risk register compleed as part of hte initial project set-up sheets.\par_x000D_
Mar-14- Project estiamted cost Stage 2a is $1 million over the budget estiamte- there is a chance we wont get paid for stage 2a until the issue is resolved and the costs are agreed.\par_x000D_
}_x000D_
</t>
  </si>
  <si>
    <t>5182</t>
  </si>
  <si>
    <t xml:space="preserve">{\rtf1\ansi\ansicpg1252\deff0\deflang2057{\fonttbl{\f0\fnil\fcharset0 Microsoft Sans Serif;}}_x000D_
\viewkind4\uc1\pard\f0\fs17 Design is accordance with hte Standard DoES process.\par_x000D_
}_x000D_
</t>
  </si>
  <si>
    <t>J:\P5000608\Brief</t>
  </si>
  <si>
    <t>J:\P5000608\Program</t>
  </si>
  <si>
    <t>J:\P5000608\Cost Control\Variations</t>
  </si>
  <si>
    <t>18778S</t>
  </si>
  <si>
    <t>P5000609</t>
  </si>
  <si>
    <t>Rapid Build Lot 15- Oranmore&amp;Newcastle</t>
  </si>
  <si>
    <t>Newcastle Project go ahead</t>
  </si>
  <si>
    <t>December 13- full design approval. Project was from Rapid Build Bundle 2. Newcastle rd school on hold ud eto planning issues. Oranmmore full design issued Dec-13. Start on site Dec-13</t>
  </si>
  <si>
    <t xml:space="preserve">Oranmore project was handed over in 2-phases- phase 1 main school without PE hall handed over in July 14. Sports hall and external works handed over September 14.  </t>
  </si>
  <si>
    <t>Oranmore, Co. Galway</t>
  </si>
  <si>
    <t xml:space="preserve">{\rtf1\ansi\ansicpg1252\deff0\deflang2057{\fonttbl{\f0\fnil\fcharset0 Arial;}}_x000D_
\viewkind4\uc1\pard\fs20 Galway ETNS, Newcastle:\par_x000D_
The development consists of the construction of a two storey extension to Galway ETNS comprising of 8 classrooms, Teacher's Room, Library, SET Rooms and ancillary accomodation with a total floor area of C. 1170m2. Proposed site works to include alterations to Thomas Hynes Road including set down and roundabout, new access road to carparking &amp; drop-off facility with provision for 32 car parking spaces, new play areas, landscaping realignment of South &amp; Southeast boundary and site engineering works. \par_x000D_
\par_x000D_
Gaelscoil de h\'cdde, Oranmore:\par_x000D_
New 2 storey Gaelscoil of 16 classrooms, a general purpose room, library and resource area, special education teaching rooms, multipurpose room and other ancillary accomodationwith gross floor area 2479m2. Proposed Site works to include new on-site parking with 32 no. car parking spaces, access roads, 2 no. ballcourts, junior play area, site boundary treatments, ESB substation, site engineering works, landscaping throughout site plus a new approach road. \par_x000D_
}_x000D_
</t>
  </si>
  <si>
    <t>J:\P5000609\Images\Oranmore Images from Stewarts\Gaelscoil de hIde 1.jpg</t>
  </si>
  <si>
    <t xml:space="preserve">{\rtf1\ansi\ansicpg1252\deff0\deflang2057{\fonttbl{\f0\fnil\fcharset0 Microsoft Sans Serif;}}_x000D_
\viewkind4\uc1\pard\f0\fs17 1. fast tracked programme- due to rapid build and precast nature of the building- programme is 8 months.\par_x000D_
2. working directly for main contractor but no oversight in relation to the selection of M&amp;E subcontractors\par_x000D_
\par_x000D_
\par_x000D_
}_x000D_
</t>
  </si>
  <si>
    <t>J://P5000609/brief</t>
  </si>
  <si>
    <t>J://P5000609/cost control</t>
  </si>
  <si>
    <t>P5000610</t>
  </si>
  <si>
    <t>Killanin Stand Roof Works</t>
  </si>
  <si>
    <t>Tender return 12.00pm 16th April</t>
  </si>
  <si>
    <t>Tender issued on the 01/04/2014. Tender returns by 12.00pm 16th April</t>
  </si>
  <si>
    <t>P5000612</t>
  </si>
  <si>
    <t>PPP Schools Bundle Four</t>
  </si>
  <si>
    <t>50,000,000</t>
  </si>
  <si>
    <t>14/01/14 CM1</t>
  </si>
  <si>
    <t>11,12, or 13 Feb 2014  CM3</t>
  </si>
  <si>
    <t>27/03/14  Final submission deadline</t>
  </si>
  <si>
    <t xml:space="preserve"> </t>
  </si>
  <si>
    <t>Celbridge Schools: Hazelhatch Road, Celbridge_x000D_
Dundalk school:St Mary's Road, Dundalk_x000D_
Refer to Map button</t>
  </si>
  <si>
    <t>Ireland</t>
  </si>
  <si>
    <t xml:space="preserve">{\rtf1\fbidis\ansi\ansicpg1252\deff0\deflang2057{\fonttbl{\f0\fnil\fprq2\fcharset2 Wingdings;}{\f1\froman\fprq2\fcharset0 Times New Roman;}{\f2\fswiss\fprq2\fcharset0 Calibri;}{\f3\fnil\fcharset0 Arial;}}_x000D_
{\colortbl ;\red0\green0\blue0;\red31\green73\blue125;}_x000D_
\viewkind4\uc1\pard\ltrpar\li1134\sa240\sl360\slmult1\qj\tx1418\cf1\lang6153\f0\fs22\'a7\tab\f1 St Josephs Secondary School, Tulla, Co. Clare (650 pupils);\par_x000D_
\pard\ltrpar\li1134\sa240\sl360\slmult1\qj\f0\'a7\tab\f1 Comeragh College, Carrick-on-Suir, Tipperary (500 pupils);\par_x000D_
\f0\'a7\tab\f1 St Mary\rquote s College Dundalk, Co. Louth (900 pupils);\par_x000D_
\f0\'a7\tab\f1 Skibbereen Community School, Co. Cork (900 pupils);\par_x000D_
\f0\'a7\tab\f1 Kildare/Wicklow ETB Post Primary School, Celbridge, Co. Kildare (750 pupils);\par_x000D_
\f0\'a7\tab\f1 St Patricks  Primary School, Celbridge, Co. Kildare (to be operated as 1 No. 16 classroom school or 2 No. 8 classroom schools ;\par_x000D_
\par_x000D_
\pard\ltrpar\cf2\lang2057\f2 21-Feb                 1\super st\nosupersub  Draft Text Submission\par_x000D_
24-Feb                 Design Team Meeting - Review of 1\super st\nosupersub  Draft\par_x000D_
03-Mar                 Design Team Meeting\par_x000D_
07-Mar                 2\super nd\nosupersub  Draft Text Submission\par_x000D_
10-Mar                 Design Team Meeting - Review of 2\super nd\nosupersub  Draft\par_x000D_
14-Mar                 Final Draft Submission\par_x000D_
20-Mar                 Query Closing Date\par_x000D_
27-Mar                 Tender Bid Submission\par_x000D_
\pard\ltrpar\li1134\sa240\sl360\slmult1\qj\cf1\lang6153\f1\par_x000D_
\pard\ltrpar\cf0\lang2057\f3\fs20\par_x000D_
}_x000D_
</t>
  </si>
  <si>
    <t>J:\P5000612\Images\131128 Dundalk Site visit\DSCF2669.JPG</t>
  </si>
  <si>
    <t xml:space="preserve">{\rtf1\fbidis\ansi\ansicpg1252\deff0\deflang2057{\fonttbl{\f0\fswiss\fprq2\fcharset0 Calibri;}{\f1\fnil\fcharset0 Microsoft Sans Serif;}}_x000D_
\viewkind4\uc1\pard\ltrpar\sa200\sl276\slmult1\f0\fs22 The most significant risk is that BDP are asked to do additional work which is not required for the preparation of the bid documentation.\par_x000D_
A secondary risk is that BDP may be asked to produce different deliverables after initial deliverables are completed or to provide them in an alternative format.\par_x000D_
It is important that formats and content are agreed prior to commencing a work package.\par_x000D_
\pard\ltrpar\f1\fs17\par_x000D_
}_x000D_
</t>
  </si>
  <si>
    <t>/Brief/</t>
  </si>
  <si>
    <t>P5000615</t>
  </si>
  <si>
    <t>ESB Block E</t>
  </si>
  <si>
    <t>P5000620</t>
  </si>
  <si>
    <t>Dublin Dental lab plumbing works 2014</t>
  </si>
  <si>
    <t>P5000623</t>
  </si>
  <si>
    <t>Portlaoise Parish School</t>
  </si>
  <si>
    <t>13,102,615.13</t>
  </si>
  <si>
    <t>Substantial Completion</t>
  </si>
  <si>
    <t>BDP are providing stage 4 &amp; 5 services only. Project commenced on site in October 2014 with an expected completion date of February 2016</t>
  </si>
  <si>
    <t xml:space="preserve">Portlaoise Parish Junior NS,_x000D_
Aughnaharna,_x000D_
Portlaoise,_x000D_
</t>
  </si>
  <si>
    <t>Co. Laois</t>
  </si>
  <si>
    <t xml:space="preserve">{\rtf1\ansi\ansicpg1252\deff0\deflang2057{\fonttbl{\f0\fnil\fcharset0 Arial;}}_x000D_
\viewkind4\uc1\pard\fs20 We are replacement consultant Building Services Engineers for stages 3-5. Stage 3 was approved, we commenced work at stage 4.\par_x000D_
\par_x000D_
The construction of a 24-classroom Junior Primary school; a 24-classroom Senior Primary school, including a 2-classroom Special needs unit; a GP hall and all associated site works including 2 No. access roads.\par_x000D_
\par_x000D_
}_x000D_
</t>
  </si>
  <si>
    <t>estimated cost</t>
  </si>
  <si>
    <t>20270R</t>
  </si>
  <si>
    <t>P5000624</t>
  </si>
  <si>
    <t>Colaiste Ghlor Na Mara temp works school for stephenstown</t>
  </si>
  <si>
    <t>P5000625</t>
  </si>
  <si>
    <t>DIT Campus - East &amp; Central Quads</t>
  </si>
  <si>
    <t>200m</t>
  </si>
  <si>
    <t xml:space="preserve">26/03/14 Kickoff meeting held regards the BIM strategy and project breifing. The ITN documents have not yet been released. </t>
  </si>
  <si>
    <t>P5000626</t>
  </si>
  <si>
    <t>NDFA D&amp;B B2 - Clane &amp; Celbridge</t>
  </si>
  <si>
    <t>Project On Site</t>
  </si>
  <si>
    <t xml:space="preserve">November 2013 the project began with datailed design and issue of construction drawings._x000D_
 </t>
  </si>
  <si>
    <t>2014, both Celbridge and Clane projects began on site</t>
  </si>
  <si>
    <t>Late 2014 Celbridge job completed on site.</t>
  </si>
  <si>
    <t>January 2015, Clane phase 1 completed, school decanted to new building and work begins on phase 2.</t>
  </si>
  <si>
    <t>Phase 2 in Clane currently ongoing</t>
  </si>
  <si>
    <t xml:space="preserve">{\rtf1\ansi\ansicpg1252\deff0\deflang2057{\fonttbl{\f0\fnil\fcharset0 Arial;}}_x000D_
\viewkind4\uc1\pard\fs20 Clane -4135m2 refurbishment and 2-storey extension\par_x000D_
\par_x000D_
Celbridge - 1050m2 extension, minor works to existing school (3220m2 total)\par_x000D_
}_x000D_
</t>
  </si>
  <si>
    <t xml:space="preserve">{\rtf1\fbidis\ansi\ansicpg1252\deff0\deflang2057{\fonttbl{\f0\fnil\fcharset0 Microsoft Sans Serif;}}_x000D_
\viewkind4\uc1\pard\ltrpar\f0\fs17 Project is Design &amp; Build\par_x000D_
\par_x000D_
As part of NDFA Schools bundle 2, projects bypassed stages 1&amp;2 and went straight to stage 3 design and tender.\par_x000D_
\par_x000D_
The primary risk associated is with the fact that we are working on behalf of the main contractor who has oppointed sub contractors of a lesser standard\par_x000D_
}_x000D_
</t>
  </si>
  <si>
    <t xml:space="preserve">{\rtf1\ansi\ansicpg1252\deff0\deflang2057{\fonttbl{\f0\fnil\fcharset0 Microsoft Sans Serif;}}_x000D_
\viewkind4\uc1\pard\f0\fs17 Standard Process\par_x000D_
}_x000D_
</t>
  </si>
  <si>
    <t>J:\P5000626\QA</t>
  </si>
  <si>
    <t>Programme as per main contractors program</t>
  </si>
  <si>
    <t xml:space="preserve">{\rtf1\ansi\ansicpg1252\deff0\deflang2057{\fonttbl{\f0\fnil\fcharset0 Microsoft Sans Serif;}}_x000D_
\viewkind4\uc1\pard\f0\fs17 Newforma - Asite\par_x000D_
}_x000D_
</t>
  </si>
  <si>
    <t>J:\P5000626\Cost Control\Variations</t>
  </si>
  <si>
    <t>P5000627</t>
  </si>
  <si>
    <t>Parkhall College</t>
  </si>
  <si>
    <t>€22,930,000</t>
  </si>
  <si>
    <t>Refresh review (25/07/2014)</t>
  </si>
  <si>
    <t>12 Steeple Road, _x000D_
Antrim, _x000D_
BT41 1AF</t>
  </si>
  <si>
    <t>Co. Antrim</t>
  </si>
  <si>
    <t xml:space="preserve">{\rtf1\ansi\ansicpg1252\deff0\deflang2057{\fonttbl{\f0\fnil\fcharset0 Arial;}}_x000D_
\viewkind4\uc1\pard\fs20 New secondary school to the side of the existing building to accommodate 600 pupils and 50 staff.  School complete with gas heating system and solar water heating for kitchen area.\fs20\par_x000D_
}_x000D_
</t>
  </si>
  <si>
    <t>£16.616m</t>
  </si>
  <si>
    <t>P5000631</t>
  </si>
  <si>
    <t>Basin Lane - Emergency Works</t>
  </si>
  <si>
    <t>Stage 3</t>
  </si>
  <si>
    <t>14-05-16  -  Tender documents due</t>
  </si>
  <si>
    <t>P5000638</t>
  </si>
  <si>
    <t>Rapid Build Schools - Lot 17-20 - Bid</t>
  </si>
  <si>
    <t>Submission Date - 23/09/14</t>
  </si>
  <si>
    <t>Contract for Lot 19 - Midleton and Lot 20 - Claregalway awarded to Stewart in April 2015</t>
  </si>
  <si>
    <t xml:space="preserve">{\rtf1\fbidis\ansi\ansicpg1252\deff0\deflang2057{\fonttbl{\f0\fswiss\fprq2\fcharset0 Verdana;}{\f1\fswiss\fprq2\fcharset0 Calibri;}{\f2\fnil\fcharset0 Arial;}}_x000D_
{\colortbl ;\red0\green31\blue95;\red0\green0\blue0;}_x000D_
\viewkind4\uc1\trowd\trgaph108\trleft-108\cellx1767\cellx3642\cellx5517\cellx7392\pard\intbl\ltrpar\cf1\f0\fs18 Lot 19 \cell Midleton \cell                  Gaelscoil Mhainistir na Corann \cf2\cell\cf1                         24 Class Gaelscoil with GP Hall and SET Facility; including associated site works \cf2\cell\cf0\f1\row_x000D_
\cf1\f0\trowd\trgaph108\trleft-108\cellx1767\cellx3642\cellx5517\cellx7392\intbl Lot 20 \cell Claregalway \cell                 Col\'e1iste Bhaile Colaiste Bhaile Chl\'e1ir \cf2\cell\cf1                   Phase 2 of new 1000 pupil Post Primary School with GP Hall; including associated site works \cf2\cell\cf0\f1\row_x000D_
\pard\ltrpar\f2\fs20\par_x000D_
}_x000D_
</t>
  </si>
  <si>
    <t>P5000639</t>
  </si>
  <si>
    <t>National children's Hospital NCH</t>
  </si>
  <si>
    <t xml:space="preserve">{\rtf1\ansi\ansicpg1252\deff0\deflang2057{\fonttbl{\f0\fnil\fcharset0 Arial;}}_x000D_
\viewkind4\uc1\pard\fs20 2700 staff 100 voulenteers 1500 stundetns\par_x000D_
600 patients perementatelly in the hospital\par_x000D_
115,300m2 GIFA\par_x000D_
\par_x000D_
\par_x000D_
}_x000D_
</t>
  </si>
  <si>
    <t xml:space="preserve">{\rtf1\fbidis\ansi\ansicpg1252\deff0\deflang2057{\fonttbl{\f0\fswiss\fprq2\fcharset0 Calibri;}{\f1\fnil\fcharset0 Microsoft Sans Serif;}}_x000D_
{\colortbl ;\red31\green73\blue125;}_x000D_
\viewkind4\uc1\pard\ltrpar\cf1\f0\fs22 architects files are saved here: P:\\P2006304\cf0\f1\fs17\par_x000D_
}_x000D_
</t>
  </si>
  <si>
    <t>P5000640</t>
  </si>
  <si>
    <t>Holy Family National School Rathcoole (replacement consultant)</t>
  </si>
  <si>
    <t>Rathcoole</t>
  </si>
  <si>
    <t xml:space="preserve">{\rtf1\ansi\ansicpg1252\deff0\deflang2057{\fonttbl{\f0\fnil\fcharset0 Arial;}}_x000D_
\viewkind4\uc1\pard\fs20 A 24 classroom primary school on a green field site.\par_x000D_
}_x000D_
</t>
  </si>
  <si>
    <t xml:space="preserve">{\rtf1\ansi\ansicpg1252\deff0\deflang2057{\fonttbl{\f0\fnil\fcharset0 Microsoft Sans Serif;}}_x000D_
\viewkind4\uc1\pard\f0\fs17 The project contains no specific risks apart from the potenital for defects in the previous consultants work to generate difficulties on site.\par_x000D_
\par_x000D_
The quality of the previous consultants design was poor, although many of the defects have been rectified by them prior to our complete takeover of the project.\par_x000D_
}_x000D_
</t>
  </si>
  <si>
    <t>/DoES standard conditions</t>
  </si>
  <si>
    <t>To be determined on a stage by stage basis</t>
  </si>
  <si>
    <t>13217W</t>
  </si>
  <si>
    <t>P5000642</t>
  </si>
  <si>
    <t>Rapid Build Schools Lots 21 to 23</t>
  </si>
  <si>
    <t>P5000643</t>
  </si>
  <si>
    <t>Lucan Community College Extension</t>
  </si>
  <si>
    <t>Appointed September 2014 at Stage 2a_x000D_
On hold until a breif is established from the client</t>
  </si>
  <si>
    <t>Lucan</t>
  </si>
  <si>
    <t xml:space="preserve">{\rtf1\ansi\ansicpg1252\deff0\deflang2057{\fonttbl{\f0\fnil\fcharset0 Arial;}{\f1\fnil\fcharset0 Microsoft Sans Serif;}}_x000D_
{\colortbl ;\red255\green0\blue0;}_x000D_
\viewkind4\uc1\pard\cf1\fs20 Risks : 05/12/14\cf0\par_x000D_
\par_x000D_
The innitail breif is unclear.  This must be established before any significant work is completed on the project.\par_x000D_
\par_x000D_
The extension must be constructed while maintainnig a live school.\par_x000D_
\par_x000D_
\pard Refurbishment works within the school must be carried out during the summer months.\f1\fs17\par_x000D_
}_x000D_
</t>
  </si>
  <si>
    <t>70080T</t>
  </si>
  <si>
    <t>P5000645</t>
  </si>
  <si>
    <t>Coosan National School (replacemnet consultant)</t>
  </si>
  <si>
    <t>29/10/2014 Stage 2a complted</t>
  </si>
  <si>
    <t xml:space="preserve">Coosan _x000D_
</t>
  </si>
  <si>
    <t xml:space="preserve">{\rtf1\ansi\ansicpg1252\deff0\deflang2057{\fonttbl{\f0\fnil\fcharset0 Arial;}}_x000D_
\viewkind4\uc1\pard\fs20 The provision of a new 3,177m2 Primary school.  The school design reuquires retention of the exisitng shool on the site during the construction process.\par_x000D_
}_x000D_
</t>
  </si>
  <si>
    <t xml:space="preserve">{\rtf1\ansi\ansicpg1252\deff0\deflang2057{\fonttbl{\f0\fnil\fcharset0 Microsoft Sans Serif;}}_x000D_
{\colortbl ;\red255\green0\blue0;\red0\green0\blue0;}_x000D_
\viewkind4\uc1\pard\cf1\f0\fs17 Risks 05/012/14\par_x000D_
\par_x000D_
\cf2 The main risk with this proiect is the need to keep the existing schoo live  during the new construction.  The paritial demolition of the existing site also requires particular consideration.  \line\par_x000D_
We have suggested the intial work be carried out during the summer months but this is not possible due to the program.\cf0\par_x000D_
}_x000D_
</t>
  </si>
  <si>
    <t>Renuka Rajput,  Deparment of Educatoin and Science</t>
  </si>
  <si>
    <t>The DoES website and the DoES folder within the M&amp;E folder</t>
  </si>
  <si>
    <t>No program has been issued</t>
  </si>
  <si>
    <t>18864L</t>
  </si>
  <si>
    <t>P5000647</t>
  </si>
  <si>
    <t>O'Carolan College _x000D_
Nobber_x000D_
Co Meath</t>
  </si>
  <si>
    <t xml:space="preserve">{\rtf1\ansi\ansicpg1252\deff0\deflang2057{\fonttbl{\f0\fnil\fcharset0 Arial;}}_x000D_
\viewkind4\uc1\pard\fs20 This 550 pupil school was awarded as part of an architectural school and is one of the first schools to be designed to the new DoES room layouts.\par_x000D_
}_x000D_
</t>
  </si>
  <si>
    <t>DoES standard proceedures</t>
  </si>
  <si>
    <t>to be developed as the project progresses</t>
  </si>
  <si>
    <t>P5000648</t>
  </si>
  <si>
    <t>Rush National School</t>
  </si>
  <si>
    <t xml:space="preserve">Progressing with Stage2a submission. </t>
  </si>
  <si>
    <t>Stage 2a submitted to DoES 28th April 2015</t>
  </si>
  <si>
    <t>Rush National School _x000D_
Rush _x000D_
Co. Dublin</t>
  </si>
  <si>
    <t xml:space="preserve">{\rtf1\fbidis\ansi\ansicpg1252\deff0\deflang2057{\fonttbl{\f0\fnil\fcharset0 Arial;}}_x000D_
{\colortbl ;\red0\green0\blue0;}_x000D_
\viewkind4\uc1\pard\ltrpar\qj\cf1\lang6153\fs17 This project comprises the construction of a new 32-classroom Primary School on the existing school site in Rush, County Dublin.  It will also incorporate a 2-class base Special Needs Unit, together with associated site and external works.  \par_x000D_
\par_x000D_
The existing school buildings will be demolished prior to construction starting on the new school.   Due to the site limitations of the current school site and the large footprint of the new building, a full decant of the entire school population is proposed to a temporary school on a separate site nearby.  It is planned that the temporary school will form part of the main building contract and all works will be tendered as one package.  The total approximate new build area is 5,634sqm.   \par_x000D_
\par_x000D_
The Stage 2A design has been completed and approved in architectural and civil/structural design disciplines.  The Planning Permission, Fire Safety Certificate and the Disability Access Certificate have all been secured for the proposed design.  \par_x000D_
\par_x000D_
However, the Stage 2A work of the outgoing Building Services Engineer was deemed by the Department of Education and Skills to be incomplete.  Therefore, upon appointment, the first task of the incoming Replacement Building Services Engineer will be to produce a full set of Stage 2A Building Services documentation.  A full Stage 2A fee will be payable to the Replacement Consultant for this work.  So candidates should calculate their Tender Sum from the beginning of Stage 2A.     \par_x000D_
\par_x000D_
\pard\ltrpar This is a Type 3 project\lang2057\par_x000D_
}_x000D_
</t>
  </si>
  <si>
    <t xml:space="preserve">{\rtf1\fbidis\ansi\ansicpg1252\deff0\deflang2057{\fonttbl{\f0\fswiss\fprq2\fcharset0 Microsoft Sans Serif;}{\f1\fswiss\fprq2\fcharset0 Calibri;}{\f2\fnil\fcharset0 Microsoft Sans Serif;}}_x000D_
{\colortbl ;\red255\green0\blue0;}_x000D_
\viewkind4\uc1\pard\ltrpar\cf1\f0\fs17 Updated 28/04/15\par_x000D_
\cf0\par_x000D_
\f1\fs22 BDP are replacement consultants, taking over the project from stage 1. The project was delayed at planning stage due to local objections; further delays ensued as a result of the previous M&amp;E consultant being removed from the job through lack of confidence.\par_x000D_
\f0\fs17\par_x000D_
\pard\ltrpar\sa200\sl276\slmult1\cf1\f1\fs22 Initial Risks\cf0\par_x000D_
The project has no official timeline and is not within the current 5year construction plan. Remainder of the design team are progressing with a 2b submission meaning the pressure is on the M&amp;E design.\lang6153\par_x000D_
\pard\ltrpar\lang2057\par_x000D_
\f2\fs17\par_x000D_
}_x000D_
</t>
  </si>
  <si>
    <t xml:space="preserve">{\rtf1\ansi\ansicpg1252\deff0\deflang2057{\fonttbl{\f0\fnil\fcharset0 Microsoft Sans Serif;}}_x000D_
\viewkind4\uc1\pard\f0\fs17 Standard BDP - DoES design process\par_x000D_
}_x000D_
</t>
  </si>
  <si>
    <t xml:space="preserve">DoES TGDs &amp; Architect Drawings </t>
  </si>
  <si>
    <t>J:\P5000648\Cost Control\Variations</t>
  </si>
  <si>
    <t>19660A</t>
  </si>
  <si>
    <t>P5000649</t>
  </si>
  <si>
    <t>Gaelscoil Ballymun</t>
  </si>
  <si>
    <t>P5000651</t>
  </si>
  <si>
    <t>Rapid Builds 2015-2016 - Lot 1</t>
  </si>
  <si>
    <t>P5000652</t>
  </si>
  <si>
    <t>St. Marys College knockbeg Carlow</t>
  </si>
  <si>
    <t>Stage 2b to be completed by end May 2015</t>
  </si>
  <si>
    <t>J:\P5000652\QA\Map.JPG</t>
  </si>
  <si>
    <t xml:space="preserve">{\rtf1\ansi\ansicpg1252\deff0\deflang2057{\fonttbl{\f0\fswiss\fprq2\fcharset0 Calibri;}{\f1\fnil\fcharset0 Arial;}{\f2\fnil\fcharset0 Microsoft Sans Serif;}}_x000D_
{\colortbl ;\red255\green0\blue0;}_x000D_
\viewkind4\uc1\pard\cf1\f0\fs22 Updated 28/04/2015\cf0\par_x000D_
\par_x000D_
\cf1\f1\fs20 Risks:\cf0\f0\fs22\par_x000D_
BDP are replacement consultants, taking over the project from stage 2B. BDP are to review the previous consultant's 2A design before proceeding with their 2B design.\par_x000D_
\par_x000D_
The works include the refurbishment of a number of existing listed structures.  The oldest of these structures dates back to the 19th Century. \par_x000D_
\par_x000D_
The site has no access to mains water and relies on their own well water supply. \par_x000D_
\par_x000D_
\cf1\f1\fs20 Mitigation:\cf0\f0\fs22\par_x000D_
BDP shall carry out a full review of the previous consultant's Stage 2A documents.\par_x000D_
\par_x000D_
BDP shall liase closely with the architect and structural engineer when designing the services for the existing  listed structures.\par_x000D_
\par_x000D_
BDP shall ensure that the school's well water is appropriately treated and monitored.\f2\fs17\par_x000D_
}_x000D_
</t>
  </si>
  <si>
    <t>61130H</t>
  </si>
  <si>
    <t>P5000656</t>
  </si>
  <si>
    <t>Scoil Phadraig BNS Clane</t>
  </si>
  <si>
    <t xml:space="preserve">Clane,_x000D_
</t>
  </si>
  <si>
    <t xml:space="preserve">{\rtf1\fbidis\ansi\ansicpg1252\deff0\deflang2057{\fonttbl{\f0\fswiss\fprq2\fcharset0 Calibri;}{\f1\fnil\fcharset0 Arial;}}_x000D_
\viewkind4\uc1\pard\ltrpar\qj\lang6153\b\f0\fs24 New School building\par_x000D_
\b0 The brief is to provide a new 24-classroom Primary School on the existing school site, with a total overall area of 3726m\'b2 plus associated site and external works.  The School Authority is the Client.\par_x000D_
\par_x000D_
The project involves the demolition of the existing school buildings with a total floor area of 2,356m\'b2 followed by the construction of the new build two-storey 24-classroom school.\par_x000D_
Please see the Area Reconciliation Sheet included with in the invitation to tender email for a breakdown of areas.\par_x000D_
\par_x000D_
\b Temporary accommodation building\par_x000D_
\b0 The above Brief will require temporary school accommodation for the duration of the works.  This temporary school building is to provide all of the required accommodation for the duration of the demolition and redevelopment works and is compromised of the following spaces:\par_x000D_
\lang2057 19 no. General classrooms (all to include 2 number ambulant disabled cubicle toilets and wash hand basins)\par_x000D_
1 no. additional General classroom to act as General Purpose Room\par_x000D_
1 no. Staff Room\par_x000D_
1 no. General Office\par_x000D_
1 no. Principal\rquote s office\par_x000D_
5 no. Special Education Tuition Rooms\par_x000D_
Storage spaces including cleaner\rquote s store\par_x000D_
Included two number WCs for Assisted users, which are also intended to be used by the staff. \par_x000D_
\par_x000D_
The temporary accommodation totals approximately 2,100sqm and can be viewed on drawing no. 1121 SPC 050A included with the tender documentation\par_x000D_
\pard\ltrpar\f1\fs20\par_x000D_
}_x000D_
</t>
  </si>
  <si>
    <t xml:space="preserve">{\rtf1\ansi\ansicpg1252\deff0\deflang2057{\fonttbl{\f0\fnil\fcharset0 Arial;}{\f1\fnil\fcharset0 Microsoft Sans Serif;}}_x000D_
{\colortbl ;\red255\green0\blue0;\red0\green0\blue0;}_x000D_
\viewkind4\uc1\pard\cf1\fs20 Risks as of feb 2015\par_x000D_
\cf2 The project phasing will be complex as there is an existing school on the site and temporary accommodation will be required.  It will be important to plan the servicing requirments for the phasing and to describe this carefully within our tender docs. \par_x000D_
The entire design team is a re-appointment after another design team brought the project to Stage 2a. A due dligience report of the existing stage 1 and stage 2a info has been prepared prior to commencing works on Stage 2b. \cf0\f1\fs17\par_x000D_
}_x000D_
</t>
  </si>
  <si>
    <t>19796C</t>
  </si>
  <si>
    <t>P5000662</t>
  </si>
  <si>
    <t>Clongowes Wood College Pool</t>
  </si>
  <si>
    <t>Tender Documents complete by 29/05/2015</t>
  </si>
  <si>
    <t xml:space="preserve">{\rtf1\ansi\ansicpg1252\deff0\deflang2057{\fonttbl{\f0\fnil\fcharset0 Arial;}}_x000D_
\viewkind4\uc1\pard\fs20 New 25m Swimming pool extension to existing sports hall\par_x000D_
}_x000D_
</t>
  </si>
  <si>
    <t>J:\P5000662\QA\Map.JPG</t>
  </si>
  <si>
    <t xml:space="preserve">{\rtf1\ansi\ansicpg1252\deff0\deflang2057{\fonttbl{\f0\fnil\fcharset0 Microsoft Sans Serif;}}_x000D_
{\colortbl ;\red255\green0\blue0;\red0\green0\blue0;}_x000D_
\viewkind4\uc1\pard\cf1\f0\fs17 24/02/15\par_x000D_
\cf2\par_x000D_
The client is a private school that we have not worked with before.\line There is also a risk of projet delays if the client experinces funding difficulties.\par_x000D_
\par_x000D_
It is important that we proceed with care and time our input to match the project progress\cf0\par_x000D_
}_x000D_
</t>
  </si>
  <si>
    <t>P5000664</t>
  </si>
  <si>
    <t>St Martins Special school</t>
  </si>
  <si>
    <t>6506828.39</t>
  </si>
  <si>
    <t>St. Martins Special School_x000D_
st. Johns Villas_x000D_
Ballytruckle_x000D_
Waterford City_x000D_
(note this is the new address when built not current postal)</t>
  </si>
  <si>
    <t>19108B</t>
  </si>
  <si>
    <t>P5000666</t>
  </si>
  <si>
    <t>P5000667</t>
  </si>
  <si>
    <t>St. Joseph's College Lucan</t>
  </si>
  <si>
    <t>€6,603,906.43</t>
  </si>
  <si>
    <t xml:space="preserve">{\rtf1\fbidis\ansi\ansicpg1252\deff0\deflang2057{\fonttbl{\f0\fswiss\fprq2\fcharset0 Calibri;}{\f1\fnil\fcharset0 Arial;}}_x000D_
\viewkind4\uc1\pard\ltrpar\lang6153\f0\fs22 This project involves the refurbishment and extension of an existing girl\rquote s secondary school in Lucan.  The development will include a 3,346m\super 2\nosupersub  extension and the refurbishment of 3,324m\super 2\nosupersub  of the existing school. \par_x000D_
\par_x000D_
The school must be retained as a live school during the works and will involve a detailed phasing plan.  \par_x000D_
\pard\ltrpar\lang2057\f1\fs20\par_x000D_
}_x000D_
</t>
  </si>
  <si>
    <t xml:space="preserve">{\rtf1\ansi\ansicpg1252\deff0\deflang2057{\fonttbl{\f0\fnil\fcharset0 Microsoft Sans Serif;}}_x000D_
{\colortbl ;\red255\green0\blue0;\red0\green0\blue0;}_x000D_
\viewkind4\uc1\pard\cf1\f0\fs17 05/05/2015\par_x000D_
\par_x000D_
\cf2 The project is a complex refurbishment and extension and the phasing of the proejct will require careful consideratoin.\par_x000D_
\par_x000D_
The project has also progressed to 2a prevously under another consultant.  We must ensure that the work carried out to date is aproprate through carrying out a due dilligence study before progressing significantally with the project.\line\line Our proposals for phasiing must be realistic and must work irrispective of the project start date.\cf0\par_x000D_
}_x000D_
</t>
  </si>
  <si>
    <t>in the /Brief folder and also the DoES TGD</t>
  </si>
  <si>
    <t>60263V</t>
  </si>
  <si>
    <t>P5000657</t>
  </si>
  <si>
    <t>LIT - SW2015</t>
  </si>
  <si>
    <t>If at stage</t>
  </si>
  <si>
    <t>Live</t>
  </si>
  <si>
    <t>In</t>
  </si>
  <si>
    <t>Result if not found</t>
  </si>
  <si>
    <t>Result if found in wrong place</t>
  </si>
  <si>
    <t>This type of rule looks for a file in a particular location within all projects at or above a certain stage</t>
  </si>
  <si>
    <t>Stage 2</t>
  </si>
  <si>
    <t>Stage order</t>
  </si>
  <si>
    <t>On hold</t>
  </si>
  <si>
    <t>On Site</t>
  </si>
  <si>
    <t>Results</t>
  </si>
  <si>
    <t>Project No.</t>
  </si>
  <si>
    <t>Issue</t>
  </si>
  <si>
    <t>Path</t>
  </si>
  <si>
    <t>Phrase</t>
  </si>
  <si>
    <t>We would recommend</t>
  </si>
  <si>
    <t>This rule finds duplicate files.</t>
  </si>
  <si>
    <t>If there are two files of thesame name</t>
  </si>
  <si>
    <t>and they are the same size</t>
  </si>
  <si>
    <t>Additoinal information</t>
  </si>
  <si>
    <t>Active J drive content</t>
  </si>
  <si>
    <t>File name</t>
  </si>
  <si>
    <t>Extension</t>
  </si>
  <si>
    <t>J drive path</t>
  </si>
  <si>
    <t>Date modified</t>
  </si>
  <si>
    <t>File Type</t>
  </si>
  <si>
    <t>Stage1</t>
  </si>
  <si>
    <t>Stage2</t>
  </si>
  <si>
    <t>Stages to Ignrore</t>
  </si>
  <si>
    <t>Complete - bid</t>
  </si>
  <si>
    <t>If at least at stage</t>
  </si>
  <si>
    <t xml:space="preserve">{\rtf1\ansi\ansicpg1252\deff0\deflang2057{\fonttbl{\f0\fnil\fcharset0 MS Sans Serif;}}_x000D_
{\colortbl ;\red255\green0\blue0;\red0\green0\blue0;\red0\green0\blue255;}_x000D_
\viewkind4\uc1\pard\cf1\b\f0\fs17 Risk \cf2\b0  This project was delayed for several years once tende stage was reached. There is a significant risk that the client and architect may wish to modify the building to update it to changing needs.\par_x000D_
\par_x000D_
\cf3\b Mitigation \cf2\b0 We must be sure to claim additional fees for the new council room and other changes.  We must resist architect driven changes\cf0\par_x000D_
}_x000D_
</t>
  </si>
  <si>
    <t>06/03/07  Initial Project kick off meetign in NUIG_x000D_
_x000D_
Placed on hold  in April 2007  awaiting site selection and funding confirmation by the client.</t>
  </si>
  <si>
    <t xml:space="preserve"> A 6-8 week delay has been incurred because of late information issue by the Client's usergroups. The revised submission date is Friday 27th February 2009. However, this is likely to be Wednesday 4th March 2009.</t>
  </si>
  <si>
    <t>14/10/09 RCP for the basement finally received. note one week delay also due ot not getting required ceiling height_x000D_
_x000D_
03/1109 fire zoning still not received. also new drawings received today showing down draught tables etc.which requires re-desig</t>
  </si>
  <si>
    <t xml:space="preserve"> 23/02/10 overall budget reduced wtih buildign budget reudced to 16,469,340 from 20k._x000D_
23/04/2010 revised basement drawing recevied_x000D_
_x000D_
June 2012 - the project was re-awakened with a potentail conversion to D&amp;B and a "go ahead" for the enabling works.</t>
  </si>
  <si>
    <t xml:space="preserve"> The Letter of acceptance of BAM’s tender is signed 19/12/2014 </t>
  </si>
  <si>
    <t>20/04/2007  Kick off meeting with the OPW_x000D_
July 2007 Placed on hold when it was realised that the project coudl not be completed for the value advised by the client</t>
  </si>
  <si>
    <t>Dec 2009 Agreed  Dargan &amp; Milltown roofs to be refurbished as part of an initial phase of works. Remaining works uncertain and pendind funding availability_x000D_
July 2010 Tender Docs for dargan Roof Completed</t>
  </si>
  <si>
    <t>DoES authorising the project to go to tender on the 05/03/10_x000D_
Letter of Acceptance issued to Main Contractor on 02/09/10. Project due to start on site 13/09/10.</t>
  </si>
  <si>
    <t>School issued PPE in 2011. Lift, site lighting and some heating issues still remain allong with complete O&amp;M's._x000D_
_x000D_
Final SC agreed on 06/05/14 _x000D_
_x000D_
Final account signed off Dec 2014</t>
  </si>
  <si>
    <t>P5000426</t>
  </si>
  <si>
    <t xml:space="preserve">{\rtf1\ansi\ansicpg1252\deff0\deflang2057{\fonttbl{\f0\fswiss\fprq2\fcharset0 Arial;}{\f1\fnil\fcharset0 Microsoft Sans Serif;}}_x000D_
{\colortbl ;\red0\green0\blue0;}_x000D_
\viewkind4\uc1\pard\lang1033\f0\fs20 Site Safety will be critical in separation of the operational school during the construction phase.  Possibly the existing playground will be cordoned off for construction activity and either a temporary arrangement facilitated or a possible sharing of facilities.     \par_x000D_
\cf1\lang2057\par_x000D_
The project is to be completed in a number of phases; if there are significan deyays to the project, there is the likehood that this will have a knock-on effect on the overall program.  We should monitof progress and periodically review the frequency and number of meeting that we attend.\par_x000D_
\par_x000D_
Cost accuracy will be dependent on the level of detail of the survey information.\par_x000D_
Ability to complete the works during school term break will be dependant on close adherence to programme - we may need to chase DES for approvals in order to maintain programme.\par_x000D_
\cf0\f1\fs17\par_x000D_
}_x000D_
</t>
  </si>
  <si>
    <t xml:space="preserve">{\rtf1\ansi\ansicpg1252\deff0\deflang2057{\fonttbl{\f0\fnil\fcharset0 Microsoft Sans Serif;}}_x000D_
\viewkind4\uc1\pard\f0\fs17 Using the client's (DoES) structure for stage submissions.\par_x000D_
}_x000D_
</t>
  </si>
  <si>
    <t>14-05-07 - Planning Approval_x000D_
23/01/2015 - Tenders Returned (€0.55m over, M&amp;E just 6% over budget)_x000D_
July 2015 - Ganson Commenced on site</t>
  </si>
  <si>
    <t xml:space="preserve">{\rtf1\ansi\ansicpg1252\deff0\deflang2057{\fonttbl{\f0\fswiss\fprq2\fcharset0 Calibri;}{\f1\fnil\fcharset0 Microsoft Sans Serif;}}_x000D_
{\colortbl ;\red255\green0\blue0;}_x000D_
\viewkind4\uc1\pard\sa200\sl276\slmult1\cf1\f0\fs22 Risks 30/08/2012\par_x000D_
\cf0 The school is on a clean, well serviced site.  The key risk for BDP is the relatively low fees, however we are working with an architect that we work with regularly who is also on a low fee.  Risks can be minimised by carefully monitoring and controlling our input.  A second potential risk is brief changes, particularly by the multiple groups involved on the client side.  We have warned the architect of this potential and suggested that the principle of a single client contact is clearly maintained.\par_x000D_
\pard\f1\fs17\par_x000D_
}_x000D_
</t>
  </si>
  <si>
    <t>4,165000</t>
  </si>
  <si>
    <t>contract ex vat</t>
  </si>
  <si>
    <t xml:space="preserve">{\rtf1\ansi\ansicpg1252\deff0\deflang2057{\fonttbl{\f0\fnil\fcharset0 Arial;}}_x000D_
\viewkind4\uc1\pard\fs20 A combined primary and secondary school for children with specials needs.  The project is on a green field site in Waterford.\par_x000D_
 \par_x000D_
}_x000D_
</t>
  </si>
  <si>
    <t xml:space="preserve">{\rtf1\ansi\ansicpg1252\deff0\deflang2057{\fonttbl{\f0\fnil\fcharset0 Microsoft Sans Serif;}}_x000D_
\viewkind4\uc1\pard\f0\fs17 Taking over project from other consultants at stage 2b. Risk that the information pack from stage 2a is minimal. BDP to complete a stage 2a review of the documents\par_x000D_
\par_x000D_
\par_x000D_
Project is advanced through planning before BDP appointment- if there are issues with routing of servies- etc. due to the nature of the building then could create issues for stage 2b design\par_x000D_
\par_x000D_
\par_x000D_
}_x000D_
</t>
  </si>
  <si>
    <t xml:space="preserve">{\rtf1\ansi\ansicpg1252\deff0\deflang2057{\fonttbl{\f0\fnil\fcharset0 Microsoft Sans Serif;}}_x000D_
\viewkind4\uc1\pard\f0\fs17 Newforma for document transfer and emails \par_x000D_
}_x000D_
</t>
  </si>
  <si>
    <t>J:P5000664/brief</t>
  </si>
  <si>
    <t>J:P5000664/ cost control/ change control</t>
  </si>
  <si>
    <t xml:space="preserve">Rapid Build Schools Lot 24 RBS 2015 </t>
  </si>
  <si>
    <t>P5000677</t>
  </si>
  <si>
    <t>Rapid Build Framework 2016- 2017</t>
  </si>
  <si>
    <t>P5000676</t>
  </si>
  <si>
    <t>Punchestown Race Course</t>
  </si>
  <si>
    <t>€5,000,000</t>
  </si>
  <si>
    <t>Stephan Slattery</t>
  </si>
  <si>
    <t>Punchestown</t>
  </si>
  <si>
    <t xml:space="preserve">{\rtf1\fbidis\ansi\ansicpg1252\deff0\deflang2057{\fonttbl{\f0\fswiss\fprq2\fcharset0 Arial;}{\f1\fnil\fcharset0 Arial;}}_x000D_
\viewkind4\uc1\pard\ltrpar\sa200\sl276\slmult1\f0\fs20 The project includes the upgrade and refurbishment of a number of areas including viewing stands, bars and restaurants.  The project will require some demolition of existing facilities.  The first \'801.5M phase is due o be completed in 2016 and the second \'803.5m phase is due for completion in 2018.\par_x000D_
\pard\ltrpar\f1\fs20\par_x000D_
}_x000D_
</t>
  </si>
  <si>
    <t xml:space="preserve">{\rtf1\ansi\ansicpg1252\deff0\deflang2057{\fonttbl{\f0\fswiss\fprq2\fcharset0 Arial;}{\f1\fnil\fcharset0 Microsoft Sans Serif;}}_x000D_
{\colortbl ;\red255\green0\blue0;\red255\green192\blue0;}_x000D_
\viewkind4\uc1\pard\sa200\sl276\slmult1\cf1\f0\fs20 07/07/2015\cf0\par_x000D_
The uncertainty of the project brief is the most significant risk on the project along with the potential for the project timeline to drag.  It is important to establish if positive project progress is being made and hold back input if it will not be productive. BDP must take a proactive view of the project management.\cf2\par_x000D_
\pard\cf0\f1\fs17\par_x000D_
}_x000D_
</t>
  </si>
  <si>
    <t>1.5m PH1 adn 3.5Ph2</t>
  </si>
  <si>
    <t>in the breif folder</t>
  </si>
  <si>
    <t>P5000661</t>
  </si>
  <si>
    <t>St Mary's Secondary School - Ballina</t>
  </si>
  <si>
    <t>Ballina</t>
  </si>
  <si>
    <t>Mayo</t>
  </si>
  <si>
    <t xml:space="preserve">{\rtf1\fbidis\ansi\ansicpg1252\deff0\deflang2057{\fonttbl{\f0\fswiss\fprq2\fcharset0 Calibri;}{\f1\fnil\fcharset0 Arial;}}_x000D_
\viewkind4\uc1\pard\ltrpar\sa200\sl276\slmult1\f0\fs22 This new 650 pupil Girls school was awarded to BDP following their short listing in the DoES secondary schools design competition.  It has an area of approximately 6,782 m\super 2\nosupersub\par_x000D_
\pard\ltrpar\f1\fs20\par_x000D_
}_x000D_
</t>
  </si>
  <si>
    <t xml:space="preserve">{\rtf1\fbidis\ansi\ansicpg1252\deff0\deflang2057{\fonttbl{\f0\fswiss\fprq2\fcharset0 Calibri;}{\f1\fnil\fcharset0 Microsoft Sans Serif;}}_x000D_
\viewkind4\uc1\pard\ltrpar\sa200\sl276\slmult1\f0\fs22 07/07/2015\par_x000D_
BDP architecture has a limited experience of Irish school design and there will be a temptation to spend more time on the project than is covered by the project fees.  There is a risk of significant re-design as the project progresses and it is important that the implications of significant changes are understood before a change is progressed.  A secondary risk is the use of BIM which will inevitably have an additional cost, particularly as this will be used as a BIM learning project for BDP.  It is therefore very important that the M&amp;E profession only begin BIM work when the layouts are established (stage 2a).\par_x000D_
\pard\ltrpar\f1\fs17\par_x000D_
}_x000D_
</t>
  </si>
  <si>
    <t>P5000678</t>
  </si>
  <si>
    <t>tender</t>
  </si>
  <si>
    <t>j:</t>
  </si>
  <si>
    <t>Microsoft Excel Worksheet</t>
  </si>
  <si>
    <t>xlsx</t>
  </si>
  <si>
    <t>Microsoft Excel 97-2003 Worksheet</t>
  </si>
  <si>
    <t>xls</t>
  </si>
  <si>
    <t>Adobe Acrobat Document</t>
  </si>
  <si>
    <t>pdf</t>
  </si>
  <si>
    <t>Microsoft Word Document</t>
  </si>
  <si>
    <t>docx</t>
  </si>
  <si>
    <t>Microsoft Word 97 - 2003 Document</t>
  </si>
  <si>
    <t>doc</t>
  </si>
  <si>
    <t>Contacts</t>
  </si>
  <si>
    <t>Project Directors Brief</t>
  </si>
  <si>
    <t>xl</t>
  </si>
  <si>
    <t>This type of rule looks for a file type in a particular location</t>
  </si>
  <si>
    <t>If this file type exists, another file must be present in another location</t>
  </si>
  <si>
    <t>\Calculations\CalcsM\</t>
  </si>
  <si>
    <t>CalculationsM.xls</t>
  </si>
  <si>
    <t>Then search for</t>
  </si>
  <si>
    <t>\Calculations\</t>
  </si>
  <si>
    <t>Result if found in wrong location</t>
  </si>
  <si>
    <t>Additional information</t>
  </si>
  <si>
    <t>The mechanical calculations index is missing but there are mechanical calculations on file</t>
  </si>
  <si>
    <t>The mechanical calculations index is saved in the wrong location.</t>
  </si>
  <si>
    <t>Included File Types</t>
  </si>
  <si>
    <t>xlsm</t>
  </si>
  <si>
    <t>Activate</t>
  </si>
  <si>
    <t>Response</t>
  </si>
  <si>
    <t>Decription (not used by code)</t>
  </si>
  <si>
    <t>Size</t>
  </si>
  <si>
    <t>If File Type (contains*)</t>
  </si>
  <si>
    <t>* for example, xl will search for any file extension that contains it such as xls,xlsx,xlsm</t>
  </si>
  <si>
    <t>Note that only some types of file are examined from the J-Drive - See Stages tab for more info</t>
  </si>
  <si>
    <t>Duplicate Check</t>
  </si>
  <si>
    <t>if they have the same name but dif types</t>
  </si>
  <si>
    <t>*</t>
  </si>
  <si>
    <t>* will only check if already checking for duplicates</t>
  </si>
  <si>
    <t>Don't check files with the following in their paths:</t>
  </si>
  <si>
    <t>Previous</t>
  </si>
  <si>
    <t>A "To Do" List - Add any additional checks to be incorporated here</t>
  </si>
  <si>
    <t>Equipment schedule checks (loads of examples here, can use parameters from PHB such as area/occupnacy))</t>
  </si>
  <si>
    <t>Rep</t>
  </si>
  <si>
    <t>Spec</t>
  </si>
  <si>
    <t>Schedule</t>
  </si>
  <si>
    <t>Project Directors</t>
  </si>
  <si>
    <r>
      <t xml:space="preserve">Include files in check that </t>
    </r>
    <r>
      <rPr>
        <b/>
        <u/>
        <sz val="10"/>
        <color theme="1"/>
        <rFont val="Arial"/>
        <family val="2"/>
      </rPr>
      <t>contain</t>
    </r>
    <r>
      <rPr>
        <b/>
        <sz val="10"/>
        <color theme="1"/>
        <rFont val="Arial"/>
        <family val="2"/>
      </rPr>
      <t>:</t>
    </r>
  </si>
  <si>
    <t>This rule checks that the PHB has been updated</t>
  </si>
  <si>
    <t>The rules are hardcoded into the macro</t>
  </si>
  <si>
    <t>The sheet simply says which stage to apply them to and whether to activate them or not (1/0)</t>
  </si>
  <si>
    <t>Checks for a name</t>
  </si>
  <si>
    <t>No name entered in PHB</t>
  </si>
  <si>
    <t>Checks for a project number</t>
  </si>
  <si>
    <t>No project number entered in PHB</t>
  </si>
  <si>
    <t>Checks for an area</t>
  </si>
  <si>
    <t>No area entered in PHB</t>
  </si>
  <si>
    <t>Checks for an occupancy</t>
  </si>
  <si>
    <t>No occupancy entered in PHB</t>
  </si>
  <si>
    <t>Checks for a project type</t>
  </si>
  <si>
    <t>No project type entered in PHB</t>
  </si>
  <si>
    <t>Checks for a DES Roll # (if type is school)</t>
  </si>
  <si>
    <t>Checks if Job Director assigned</t>
  </si>
  <si>
    <t>No DES roll number entered in PHB</t>
  </si>
  <si>
    <t>No Job Runner assigned</t>
  </si>
  <si>
    <t>No Job Director assigned</t>
  </si>
  <si>
    <t>No Lead Mech assigned</t>
  </si>
  <si>
    <t>No Lead Elec assigned</t>
  </si>
  <si>
    <t>Checks if Lead Elec assigned</t>
  </si>
  <si>
    <t>Checks if Lead Mech assigned</t>
  </si>
  <si>
    <t>Checks if Job Runner assigned</t>
  </si>
  <si>
    <t>Record of H&amp;S Briefing</t>
  </si>
  <si>
    <t>Stage 2b Electrical Design Review</t>
  </si>
  <si>
    <t>Controls Points List</t>
  </si>
  <si>
    <t>Other</t>
  </si>
  <si>
    <t>These rules may throw errors if we take over a job</t>
  </si>
  <si>
    <t>as we only took over at stage 2b</t>
  </si>
  <si>
    <t>There may only be one key date even though it's at stage 2b</t>
  </si>
  <si>
    <t>Note: Rules 11-16</t>
  </si>
  <si>
    <t>They will only throw an error once.</t>
  </si>
  <si>
    <t>If Rule 11 detects an error, the rest won't be checked etc.</t>
  </si>
  <si>
    <t>Checks for professions</t>
  </si>
  <si>
    <t>No professions assigned (see marketing tab)</t>
  </si>
  <si>
    <t>Checks for project description</t>
  </si>
  <si>
    <t>No project description (see marketing tab)</t>
  </si>
  <si>
    <t>Description (for information only)</t>
  </si>
  <si>
    <t>Error Message (this appears on the dashboard)</t>
  </si>
  <si>
    <t>Rule # (info only)</t>
  </si>
  <si>
    <t>Checks for project risks</t>
  </si>
  <si>
    <t>No project risks (see QA tab)</t>
  </si>
  <si>
    <t>The other parameter is used for the empty rtf string (copied from an example in the database)</t>
  </si>
  <si>
    <t>The other parameter is used for the empty rtf string (note, the default font seems to change and we check against length to see if it's enetered)</t>
  </si>
  <si>
    <t>Checks for address</t>
  </si>
  <si>
    <t>No project location address (see location tab)</t>
  </si>
  <si>
    <t>Result if found</t>
  </si>
  <si>
    <t>Activate (1/0)</t>
  </si>
  <si>
    <t>This rule looks for the use of a particular phrase in a document (.doc or .docx)</t>
  </si>
  <si>
    <t>Project Name:</t>
  </si>
  <si>
    <t>Job Runner:</t>
  </si>
  <si>
    <t>Status:</t>
  </si>
  <si>
    <t>NB: Excluded strings are checked before included strings</t>
  </si>
  <si>
    <t>The contractor should</t>
  </si>
  <si>
    <t>The builder should</t>
  </si>
  <si>
    <t>The main contractor should</t>
  </si>
  <si>
    <t>The mechanical contractor should</t>
  </si>
  <si>
    <t>The electrical contractor should</t>
  </si>
  <si>
    <t>I would recommend</t>
  </si>
  <si>
    <t>The phrase 'The contractor should' was found in the following document:</t>
  </si>
  <si>
    <t xml:space="preserve">Only apply to files that contain: </t>
  </si>
  <si>
    <t xml:space="preserve">Rules at top right applied first </t>
  </si>
  <si>
    <t>(leave below blank to check all these)</t>
  </si>
  <si>
    <t>EN 99999</t>
  </si>
  <si>
    <t>\Specs\Mechanical</t>
  </si>
  <si>
    <t>Project Contacts</t>
  </si>
  <si>
    <t>\Specs\Electrical</t>
  </si>
  <si>
    <t xml:space="preserve">Result if not found </t>
  </si>
  <si>
    <t>Electrical Spec Vol 1</t>
  </si>
  <si>
    <t>String Before Wrong Location Error:</t>
  </si>
  <si>
    <t>String Before Not Found Error:</t>
  </si>
  <si>
    <t xml:space="preserve">Missing: </t>
  </si>
  <si>
    <t xml:space="preserve">Wrong Location: </t>
  </si>
  <si>
    <t>One</t>
  </si>
  <si>
    <t>(ignores if blank - ensure no extra spaces after string)</t>
  </si>
  <si>
    <t>List</t>
  </si>
  <si>
    <t>As there are various options that a file may have been saved under, the script will search the name for a number of strings to determine if it's the right file</t>
  </si>
  <si>
    <t>Control</t>
  </si>
  <si>
    <t>Point</t>
  </si>
  <si>
    <t>review</t>
  </si>
  <si>
    <t>Vol</t>
  </si>
  <si>
    <t>2b</t>
  </si>
  <si>
    <t>2a</t>
  </si>
  <si>
    <t>Project Director's Brief</t>
  </si>
  <si>
    <t>Mechanical Spec Vol 1</t>
  </si>
  <si>
    <t>\Minutes\Design Review</t>
  </si>
  <si>
    <t>\qa</t>
  </si>
  <si>
    <t>Three</t>
  </si>
  <si>
    <t>Mechanical Spec Vol 3</t>
  </si>
  <si>
    <t>Luminaire Schedule</t>
  </si>
  <si>
    <t>Lumin</t>
  </si>
  <si>
    <t>Use min string length for checks while ensuring correct file will be ehcked (as some files may have slightly different names or may have spelling errors)</t>
  </si>
  <si>
    <t>supercede</t>
  </si>
  <si>
    <t>superceed</t>
  </si>
  <si>
    <t>supersede</t>
  </si>
  <si>
    <t>superseed</t>
  </si>
  <si>
    <t>evidence</t>
  </si>
  <si>
    <t>Project below tender budget- april 2013. LOI approved 31/05/13. LOA issued 27/06/13. Sports cente handed back Sept 14. Main school completed in january 2015. belford house due for completion in August 2015. Final whole PC for site 6/10/15</t>
  </si>
  <si>
    <t>27 April 2016 for Practical Completion</t>
  </si>
  <si>
    <t xml:space="preserve">{\rtf1\ansi\ansicpg1252\deff0\deflang2057{\fonttbl{\f0\fnil\fcharset0 Arial;}}_x000D_
\viewkind4\uc1\pard\fs20 The design of a world class sustainable office development for the ESB.\line\line Site area: 6,267m2\line Hardcaped site coverage to redline : 4,456m2 (inlucdes public footpaths)\line\line Green areas excluding roof terraces: 1,477m2\line\line GFA at RFI: 47,097 \line Total green : 3,832m2\line\par_x000D_
}_x000D_
</t>
  </si>
  <si>
    <t>J:\P5000448\Images\View.jpg</t>
  </si>
  <si>
    <t>Completion 14/08/2017</t>
  </si>
  <si>
    <t>22-05-2015 - Contract Appointment_x000D_
02-06-2015 - Commence on Site_x000D_
Programmed to be complete 14/08/2017</t>
  </si>
  <si>
    <t>Jessica Smyth</t>
  </si>
  <si>
    <t>Eoin White</t>
  </si>
  <si>
    <t>21/04/2015 - E-mail confiramtion from client (Shane) to proceed with Stage 2b at risk without Planning Permission, copy saved in J:\P5000481\Letter\Client_x000D_
31-07-2015 - Prelim. Planning Permission Granted</t>
  </si>
  <si>
    <t>J:\P5000581\Images\1014 Sligo AMHU.jpg</t>
  </si>
  <si>
    <t>_x000D_
22/08/2014 - Undergraduate Teaching Lab Handover_x000D_
04/09/2014 - Dental Treatment Area Handover</t>
  </si>
  <si>
    <t>Both Clane &amp; Celbridge projects are now fully complete</t>
  </si>
  <si>
    <t>OCarolan College Nobber</t>
  </si>
  <si>
    <t>Stage 1- meeting due 14th may 2015. Final stage 1 submission 3/11/15 to client.</t>
  </si>
  <si>
    <t xml:space="preserve">{\rtf1\ansi\ansicpg1252\deff0\deflang2057{\fonttbl{\f0\fswiss\fprq2\fcharset0 Arial;}{\f1\fswiss\fprq2\fcharset0 Calibri;}{\f2\fnil\fcharset0 Microsoft Sans Serif;}}_x000D_
{\colortbl ;\red0\green0\blue0;}_x000D_
\viewkind4\uc1\pard\cf1\f0\fs20 The key risk is generated by the selection of architectural team and the potential for the team to propose a solution that does not comply with the DoES TGD which could result in project delays.\par_x000D_
\par_x000D_
The architectural team is creative and our previous experience with the team has shown that they may not produce a scheme that is compliant with the TGD.\par_x000D_
\par_x000D_
\pard\sa200\sl276\slmult1 The team is also likely to put our engineers under pressure to deviate from the TGD and this may lead to abortive work.  It is therefore important that our team understand the need to check all instructions against the TGD before proceeding\cf0\f1\fs22   \par_x000D_
\pard\f2\fs17\par_x000D_
}_x000D_
</t>
  </si>
  <si>
    <t>stage 1</t>
  </si>
  <si>
    <t>71980O</t>
  </si>
  <si>
    <t>1,833,214</t>
  </si>
  <si>
    <t xml:space="preserve">{\rtf1\ansi\ansicpg1252\deff0\deflang2057{\fonttbl{\f0\fnil\fcharset0 Arial;}}_x000D_
\viewkind4\uc1\pard\fs20 Bdp replaced OLM at the end of Stage 2b\par_x000D_
}_x000D_
</t>
  </si>
  <si>
    <t>approved 2b</t>
  </si>
  <si>
    <t>Planning submission</t>
  </si>
  <si>
    <t>BDP put in additional fee for checking daylight and overheating as previous window design was wrong- 1700. school sent on but DOES lost it, school sent again on 27/08/2015- and Does confirmed receipt-  Confrimationreceived- full model check done</t>
  </si>
  <si>
    <t>Stage 1 submission</t>
  </si>
  <si>
    <t>Note previous extension was scrapped and school are due a refund from Bord gais networks of 6000- keep in mind for final gas application</t>
  </si>
  <si>
    <t>P5000663</t>
  </si>
  <si>
    <t>LIT - Coonagh Cross</t>
  </si>
  <si>
    <t>Third Level</t>
  </si>
  <si>
    <t>Tenser</t>
  </si>
  <si>
    <t>Gaelscoil an Eiscir Riada Summer works 2015</t>
  </si>
  <si>
    <t>P5000681</t>
  </si>
  <si>
    <t>Fitzwilton House</t>
  </si>
  <si>
    <t xml:space="preserve">{\rtf1\fbidis\ansi\ansicpg1252\deff0\deflang2057{\fonttbl{\f0\fswiss\fprq2\fcharset0 Arial;}{\f1\fswiss\fprq2\fcharset0 Calibri;}{\f2\fnil\fcharset0 Arial;}}_x000D_
\viewkind4\uc1\pard\ltrpar\lang6153\f0\fs20 BDP are appointed to assist in producing a sustainability case for the planning application for the building and in particular to make the case for demolishing the existing building.\f1\fs22\par_x000D_
\pard\ltrpar\lang2057\f2\fs20\par_x000D_
}_x000D_
</t>
  </si>
  <si>
    <t>P5000682</t>
  </si>
  <si>
    <t>Journey's end (Hugh Blaney's House)</t>
  </si>
  <si>
    <t>3000000</t>
  </si>
  <si>
    <t xml:space="preserve">Duplicate Files: </t>
  </si>
  <si>
    <t xml:space="preserve">Multiple File Types: </t>
  </si>
  <si>
    <t>String to include before error:</t>
  </si>
  <si>
    <t xml:space="preserve">PHB Error: </t>
  </si>
  <si>
    <t>txt</t>
  </si>
  <si>
    <t>check</t>
  </si>
  <si>
    <t>Stage 2b Mechanical Checklist</t>
  </si>
  <si>
    <t>Stage 2a Design Review</t>
  </si>
  <si>
    <t>Stage 2b Mechanical Design Review</t>
  </si>
  <si>
    <t>Detailed Design</t>
  </si>
  <si>
    <t>Tender Action</t>
  </si>
  <si>
    <t>Site Management</t>
  </si>
  <si>
    <t>\qa\tasklists</t>
  </si>
  <si>
    <t>Stage 2b - Detailed Design (tasklist)</t>
  </si>
  <si>
    <t>Scheme Design</t>
  </si>
  <si>
    <t>Stage 2a - Scheme Design (tasklist)</t>
  </si>
  <si>
    <t>\Health &amp; Safety</t>
  </si>
  <si>
    <t>Risk</t>
  </si>
  <si>
    <t>Ass</t>
  </si>
  <si>
    <t>Stage 2a - Risk Assessment</t>
  </si>
  <si>
    <t>Stage 2b - Risk Assessment</t>
  </si>
  <si>
    <t>H&amp;S Briefing</t>
  </si>
  <si>
    <t>Ayla</t>
  </si>
  <si>
    <t>LOI issued 10/07/15. slight delay with final contract signing due to land agreements between dublin city, GAA, DoES- 15/09/15. Precontract meeting due 12-10-15. MDY withdrew tender-Nove 15- salmon contracting issue LOI- 4/11/15</t>
  </si>
  <si>
    <t>P5000683</t>
  </si>
  <si>
    <t>DAA - CPSRA Expansion</t>
  </si>
  <si>
    <t>November 2015 kick-off</t>
  </si>
  <si>
    <t xml:space="preserve">{\rtf1\ansi\ansicpg1252\deff0\deflang2057{\fonttbl{\f0\fnil\fcharset0 Arial;}}_x000D_
\viewkind4\uc1\pard\fs20 New security entrance to teh west side of the airport.\par_x000D_
\par_x000D_
David Regan fulfilling the role of PSDP.\par_x000D_
}_x000D_
</t>
  </si>
  <si>
    <t>submittal</t>
  </si>
  <si>
    <t xml:space="preserve">{\rtf1\ansi\ansicpg1252\deff0\deflang2057{\fonttbl{\f0\fnil\fcharset0 Arial;}}_x000D_
\viewkind4\uc1\pard\fs20 3,500m2 new/2,978m2 refurb \par_x000D_
Mix of new build/ extension/ refurbishment\par_x000D_
\par_x000D_
Example Text here.\par_x000D_
}_x000D_
</t>
  </si>
  <si>
    <t>Mechanical Volume One</t>
  </si>
  <si>
    <t>Missing: Stage 2a Design Review</t>
  </si>
  <si>
    <t>Missing: Stage 2a - Scheme Design (tasklist)</t>
  </si>
  <si>
    <t>Missing: Stage 2a - Risk Assessment</t>
  </si>
  <si>
    <t>This worksheet is used by Ayla to output the issues found into individual workbooks for each Job Runner</t>
  </si>
  <si>
    <t>Full template path</t>
  </si>
  <si>
    <t>K:\M&amp;E\Project Management\Ayla\Ayla Job Runner Template.xlsx</t>
  </si>
  <si>
    <t>Output Path</t>
  </si>
  <si>
    <t>Approved (1/0)</t>
  </si>
  <si>
    <t>This sheet keeps a record of all rule exceptions</t>
  </si>
  <si>
    <t>The dashboard is updated and then checked against these exceptions</t>
  </si>
  <si>
    <t>Issues which are found on the list below are not included on the dashboard</t>
  </si>
  <si>
    <t>Ayla searches for any excel documents in K:\M&amp;E\Project Management\Ayla</t>
  </si>
  <si>
    <t>and copies in any items that have been marked as ignore</t>
  </si>
  <si>
    <t>These items must be approved below before Ayla ignores them</t>
  </si>
  <si>
    <t>Project is live but there are no files on the J drive</t>
  </si>
  <si>
    <t>J:\Dn07222\REPORTS\Sports Centre\DMB091216 Survey Report.doc</t>
  </si>
  <si>
    <t>J:\Dn07222\SPECS\ELECTRICAL\GRD Electrical Volume Two  - Equipment Schedules Rev 5.doc</t>
  </si>
  <si>
    <t>J:\Dn07222\SPECS\Emergency Works\Mechanical Volume One.doc</t>
  </si>
  <si>
    <t>J:\Dn07222\SPECS\Mechancial\Mechanical Volume One.doc</t>
  </si>
  <si>
    <t>Mechanical Volume Three - Controls Specification</t>
  </si>
  <si>
    <t>J:\Dn07222\SPECS\Specs that were updated but not sent\Mechanical Volume One.doc</t>
  </si>
  <si>
    <t>Missing: Project Directors Brief</t>
  </si>
  <si>
    <t xml:space="preserve">Wrong Location: Mechanical Spec Vol 1 must be saved in \Specs\Mechanical but was found in </t>
  </si>
  <si>
    <t>j:\dn07222\specs\emergency works\</t>
  </si>
  <si>
    <t xml:space="preserve">Wrong Location: Mechanical Spec Vol 3 must be saved in \Specs\Mechanical but was found in </t>
  </si>
  <si>
    <t>j:\dn07222\specs\mechancial\</t>
  </si>
  <si>
    <t>Missing: Controls Points List</t>
  </si>
  <si>
    <t>Missing: Luminaire Schedule</t>
  </si>
  <si>
    <t>Missing: Stage 2b Mechanical Design Review</t>
  </si>
  <si>
    <t>Missing: Stage 2b Mechanical Checklist</t>
  </si>
  <si>
    <t>Missing: Stage 2b - Detailed Design (tasklist)</t>
  </si>
  <si>
    <t>Missing: Stage 3 - Detailed Design (tasklist)</t>
  </si>
  <si>
    <t>Missing: Record of H&amp;S Briefing</t>
  </si>
  <si>
    <t>Missing: Stage 2b - Risk Assessment</t>
  </si>
  <si>
    <t>Duplicate Files: Mechanical Volume One</t>
  </si>
  <si>
    <t>The phrase 'We would recommend' was found in the following document:</t>
  </si>
  <si>
    <t>The phrase 'The mechanical contractor should' was found in the following document:</t>
  </si>
  <si>
    <t>PHB Error: No occupancy entered in PHB</t>
  </si>
  <si>
    <t>Start Time:</t>
  </si>
  <si>
    <t>Missing: Electrical Spec Vol 1</t>
  </si>
  <si>
    <t>Missing: Stage 2b Electrical Design Review</t>
  </si>
  <si>
    <t xml:space="preserve">Wrong Location: Stage 2b - Risk Assessment must be saved in \Health &amp; Safety but was found in </t>
  </si>
  <si>
    <t>Schedule of Exterior Luminaires and Lamps</t>
  </si>
  <si>
    <t>J:\P5000168\manufacturers\Underfloor Heating\10-01-05\General UFH Spec Pipe on Rail Non Specific.doc</t>
  </si>
  <si>
    <t>HKC PA buttons, DR contacts and JBs</t>
  </si>
  <si>
    <t>HBB Mechanical Volume One Rev 4 - Extract pages 46-49</t>
  </si>
  <si>
    <t>J:\P5000168\Project Brief\12-08-30 Revised NUIG Services Generic Specifications\ISS NUIG Structured Cabling Specification_2011.doc</t>
  </si>
  <si>
    <t>J:\P5000168\Project Brief\NEW REQUIRMENTS FOR DOCUMENT UPDATING\ISS NUIG Structured Cabling Specification_2011.doc</t>
  </si>
  <si>
    <t>J:\P5000168\Project Brief\NUIG IT Cabling Brief 12-08-10\ISS NUIG Structured Cabling Specification_2011.doc</t>
  </si>
  <si>
    <t>J:\P5000168\Project Brief\NUIG IT Cabling Brief 12-12-11\ISS NUIG Structured Cabling Specification_Aug 2012.doc</t>
  </si>
  <si>
    <t>J:\P5000168\Specs\Electrical\HBB Electrical Volume 1.doc</t>
  </si>
  <si>
    <t>J:\P5000168\Specs\Electrical\enabling works contract\Electrical Volume Two - aras ui cathail  - Equipment Schedules .doc</t>
  </si>
  <si>
    <t>J:\P5000168\Specs\Electrical\HBB  APPENDIX\SECTION 1\ISS NUIG Structured Cabling Specification_Aug 2012.doc</t>
  </si>
  <si>
    <t>J:\P5000168\Specs\Electrical\Specs just for option One\HBB Electrical Volume 1.doc</t>
  </si>
  <si>
    <t>J:\P5000168\Specs\Enabling Works Contract\SPC001 Enabling Works Specification rev --.doc</t>
  </si>
  <si>
    <t>J:\P5000168\Specs\Enabling Works Contract\SPC001 Enabling Works Specification rev 01.doc</t>
  </si>
  <si>
    <t>J:\P5000168\Specs\Enabling Works Contract\archive specification\09-11-18 - SPC001 Enabling Works Specification (Rev 1).doc</t>
  </si>
  <si>
    <t>J:\P5000168\Specs\Enabling Works Contract\archive specification\SPC001 Enabling Works Specification rev --.doc</t>
  </si>
  <si>
    <t>J:\P5000168\Specs\Mechanical\HBB Mechanical Volume One Rev 4.doc</t>
  </si>
  <si>
    <t>J:\P5000168\Specs\Mechanical\OPTION a VERSIONS\HBB Mechanical Volume One Rev 4.doc</t>
  </si>
  <si>
    <t>J:\P5000168\Specs\Mechanical\Value engineering removed items\HBB Mechanical Volume One Rev 1 130115.doc</t>
  </si>
  <si>
    <t>J:\P5000168\Specs\Mechanical\Value engineering removed items\HBB Mechanical Volume One Rev 2 130809.doc</t>
  </si>
  <si>
    <t>J:\P5000168\SPSheet\Prequalifications\Electrical\HBB QW3_Specialists Subcontracts_Appendix A.doc</t>
  </si>
  <si>
    <t>J:\P5000168\SPSheet\Prequalifications\Electrical\HBB QW3_Specialists Subcontracts_Appendix B1.doc</t>
  </si>
  <si>
    <t>J:\P5000168\SPSheet\Prequalifications\Electrical\HBB QW3_Specialists Subcontracts_Appendix C1.doc</t>
  </si>
  <si>
    <t>J:\P5000168\SPSheet\Prequalifications\Electrical\HBB QW3_Specialists Subcontracts_Appendix C2.doc</t>
  </si>
  <si>
    <t>J:\P5000168\SPSheet\Prequalifications\Electrical\HBB QW3_Specialists Subcontracts_Supplement 3.4.1.doc</t>
  </si>
  <si>
    <t>J:\P5000168\SPSheet\Prequalifications\Electrical\HBB QW3_Specialists Subcontracts_Supplement 3.4.2.doc</t>
  </si>
  <si>
    <t>J:\P5000168\SPSheet\Prequalifications\Mechanical\HBB QW3_Specialists Subcontracts_Appendix A.doc</t>
  </si>
  <si>
    <t>J:\P5000168\SPSheet\Prequalifications\Mechanical\HBB QW3_Specialists Subcontracts_Appendix B1.doc</t>
  </si>
  <si>
    <t>J:\P5000168\SPSheet\Prequalifications\Mechanical\HBB QW3_Specialists Subcontracts_Appendix C1.doc</t>
  </si>
  <si>
    <t>J:\P5000168\SPSheet\Prequalifications\Mechanical\HBB QW3_Specialists Subcontracts_Appendix C2.doc</t>
  </si>
  <si>
    <t>J:\P5000168\SPSheet\Prequalifications\Mechanical\HBB QW3_Specialists Subcontracts_Supplement 3.4.1.doc</t>
  </si>
  <si>
    <t>J:\P5000168\SPSheet\Prequalifications\Mechanical\HBB QW3_Specialists Subcontracts_Supplement 3.4.2.doc</t>
  </si>
  <si>
    <t xml:space="preserve">Wrong Location: Project Contacts must be saved in \qa but was found in </t>
  </si>
  <si>
    <t>j:\p5000168\plant submittals\novated\electrical\ets-14 intruder alarm technical submittal\ets-14 intruder alarm technical submittal\</t>
  </si>
  <si>
    <t>j:\p5000168\plant submittals\ta\mechanical\mts 37 gas detection\</t>
  </si>
  <si>
    <t xml:space="preserve">Wrong Location: Luminaire Schedule must be saved in \Specs\Electrical but was found in </t>
  </si>
  <si>
    <t>j:\p5000168\cost control\value engineering\</t>
  </si>
  <si>
    <t>Missing: Stage 4 - Detailed Design (tasklist)</t>
  </si>
  <si>
    <t>Copied Files:Lot 3 Schedule of Services - Nov 06</t>
  </si>
  <si>
    <t>Copied Files:Schedule of Exterior Luminaires and Lamps</t>
  </si>
  <si>
    <t>Duplicate Files: b Euro WFC -SCH 1 Specs Version III</t>
  </si>
  <si>
    <t>Duplicate Files: General UFH Spec Pipe on Rail Non Specific</t>
  </si>
  <si>
    <t>Copied Files:ISS NUIG Structured Cabling Specification_2011</t>
  </si>
  <si>
    <t>Copied Files:HBB_REP009 M&amp;E Stage 2B Report Rev B_with NUIG comments 030414</t>
  </si>
  <si>
    <t>Copied Files:HDMI Cable Specifications</t>
  </si>
  <si>
    <t>Copied Files:ISS NUIG Structured Cabling Specification_Aug 2012</t>
  </si>
  <si>
    <t>Copied Files:HBB Electrical Volume 1</t>
  </si>
  <si>
    <t>Duplicate Files: HBB Electrical Volume 2 -Electrical Equipment Schedules</t>
  </si>
  <si>
    <t>Duplicate Files: NUI Galway lighting control schedule.</t>
  </si>
  <si>
    <t>Duplicate Files: NUI Galway lighting control schedule</t>
  </si>
  <si>
    <t>Duplicate Files: Schedule of Interior Luminaires and Lamps_1</t>
  </si>
  <si>
    <t>Duplicate Files: Electrical Equipment Schedule</t>
  </si>
  <si>
    <t>Copied Files:Transmission Representatives List</t>
  </si>
  <si>
    <t>Duplicate Files: Equipment Schedule</t>
  </si>
  <si>
    <t>Duplicate Files: HBB Mechanical Volume One Rev 4</t>
  </si>
  <si>
    <t>Copied Files:HBB QW3_Specialists Subcontracts_Appendix A</t>
  </si>
  <si>
    <t>Copied Files:HBB QW3_Specialists Subcontracts_Appendix B1</t>
  </si>
  <si>
    <t>Copied Files:HBB QW3_Specialists Subcontracts_Appendix C1</t>
  </si>
  <si>
    <t>Copied Files:HBB QW3_Specialists Subcontracts_Appendix C2</t>
  </si>
  <si>
    <t>Copied Files:HBB QW3_Specialists Subcontracts_Supplement 3.4.1</t>
  </si>
  <si>
    <t>Copied Files:HBB QW3_Specialists Subcontracts_Supplement 3.4.2</t>
  </si>
  <si>
    <t>The phrase 'The builder should' was found in the following document:</t>
  </si>
  <si>
    <t>The phrase 'The main contractor should' was found in the following document:</t>
  </si>
  <si>
    <t>The phrase 'I would recommend' was found in the following document:</t>
  </si>
  <si>
    <t>The phrase 'The electrical contractor should' was found in the following document:</t>
  </si>
  <si>
    <t>Missing: Mechanical Spec Vol 3</t>
  </si>
  <si>
    <t>J:\P5000417\BREEAM\IGBC Workshop\Workshop_report_ REV A.doc</t>
  </si>
  <si>
    <t>Master contacts list 2008</t>
  </si>
  <si>
    <t>j:\p5000417\pre appointment\m&amp;e stage 2\3.2\</t>
  </si>
  <si>
    <t>Copied Files:SD_02 Schedule_Iss1</t>
  </si>
  <si>
    <t>Copied Files:specification_13320_revision7</t>
  </si>
  <si>
    <t>Missing: Mechanical Spec Vol 1</t>
  </si>
  <si>
    <t xml:space="preserve">Wrong Location: Stage 2b Electrical Design Review must be saved in \Minutes\Design Review but was found in </t>
  </si>
  <si>
    <t>Luminaire schedule</t>
  </si>
  <si>
    <t>J:\P5000523\Specs\Electrical\Lusk Community College - Electrical Specification - Volume One.docx</t>
  </si>
  <si>
    <t>j:\p5000523\reports\stage 2a\appendices\</t>
  </si>
  <si>
    <t>Stage 2b design review mechanical</t>
  </si>
  <si>
    <t>Stage 2b Design Review-Electrical PS -EW</t>
  </si>
  <si>
    <t>j:\p5000524\reports\stage 2a\apendices\</t>
  </si>
  <si>
    <t>j:\p5000524\minutes\design stage minutes\design review stage 2b\primary\</t>
  </si>
  <si>
    <t xml:space="preserve">Wrong Location: Stage 2b Mechanical Design Review must be saved in \Minutes\Design Review but was found in </t>
  </si>
  <si>
    <t>j:\p5000524\minutes\design stage minutes\design review stage 2b\</t>
  </si>
  <si>
    <t>End Time:</t>
  </si>
  <si>
    <t>Stage 2b Electrical Checklist</t>
  </si>
  <si>
    <t>Reason to ignore</t>
  </si>
  <si>
    <t>wrong type of contacts</t>
  </si>
  <si>
    <t>just an extract of the spec</t>
  </si>
  <si>
    <t>too late now - passt tender</t>
  </si>
  <si>
    <t>This is in place under a different name</t>
  </si>
  <si>
    <t>Task list is in mdb format</t>
  </si>
  <si>
    <t>too late - stage passed</t>
  </si>
  <si>
    <t>mdb</t>
  </si>
  <si>
    <t>Error Count:</t>
  </si>
  <si>
    <t xml:space="preserve">Filename must contain: 2a, review, </t>
  </si>
  <si>
    <t xml:space="preserve">Filename must contain: Stage 2a, Scheme Design, </t>
  </si>
  <si>
    <t>Filename must contain: 2a, Risk, Ass</t>
  </si>
  <si>
    <t>Filename must contain: 2b, Elec, review</t>
  </si>
  <si>
    <t>Filename must contain: 2b, Mech, review</t>
  </si>
  <si>
    <t>Missing: Stage 2b Electrical Checklist</t>
  </si>
  <si>
    <t>Filename must contain: 2b, Elec, check</t>
  </si>
  <si>
    <t>Filename must contain: 2b, Mech, check</t>
  </si>
  <si>
    <t xml:space="preserve">Filename must contain: Stage 3, Tender Action, </t>
  </si>
  <si>
    <t xml:space="preserve">Filename must contain: H&amp;S Briefing, </t>
  </si>
  <si>
    <t>\manufacturers\</t>
  </si>
  <si>
    <t>\Manufacturers information\</t>
  </si>
  <si>
    <t>Prequalification</t>
  </si>
  <si>
    <t xml:space="preserve">Filename must contain: Project Directors Brief, </t>
  </si>
  <si>
    <t>Filename must contain: Control, Point, List</t>
  </si>
  <si>
    <t xml:space="preserve">Filename must contain: Lumin, Schedule, </t>
  </si>
  <si>
    <t xml:space="preserve">Filename must contain: Stage 2b, Detailed Design, </t>
  </si>
  <si>
    <t>Filename must contain: 2b, Risk, Ass</t>
  </si>
  <si>
    <t>Stage 3 - Tender Action (tasklist)</t>
  </si>
  <si>
    <t>Stage 4 - Site Management (tasklist)</t>
  </si>
  <si>
    <t>Missing: Stage 3 - Tender Action (tasklist)</t>
  </si>
  <si>
    <t>Filename must contain: Elec, Vol, One</t>
  </si>
  <si>
    <t>\P5000676\Appointment\Lot 4 - Mechanical &amp; Electrical Engineering Services\</t>
  </si>
  <si>
    <t>Workbook Name (preceeded by job runner's name)</t>
  </si>
  <si>
    <t>Job Runners Found (updated when exported)</t>
  </si>
  <si>
    <t>\old\</t>
  </si>
  <si>
    <t>archive</t>
  </si>
  <si>
    <t>apendices</t>
  </si>
  <si>
    <t>apendix</t>
  </si>
  <si>
    <t>rename duplicates / copies easily from Runners workbook</t>
  </si>
  <si>
    <t>\Prequalifications\</t>
  </si>
  <si>
    <t>Possibly insufficient key date boxes filled out</t>
  </si>
  <si>
    <t>genuine duplicate</t>
  </si>
  <si>
    <t>change rule to ingore manufacturers</t>
  </si>
  <si>
    <t>ok but too late to change</t>
  </si>
  <si>
    <t>ok report not by BDP</t>
  </si>
  <si>
    <t>problem in spec template - fixed now</t>
  </si>
  <si>
    <t>just named incorrectly</t>
  </si>
  <si>
    <t>ok we wernt involved at stage 2b</t>
  </si>
  <si>
    <t>\SS\</t>
  </si>
  <si>
    <t xml:space="preserve">{\rtf1\ansi\ansicpg1252\deff0\deflang2057{\fonttbl{\f0\fnil\fcharset0 MS Sans Serif;}}_x000D_
\viewkind4\uc1\pard\f0\fs17\par_x000D_
}_x000D_
</t>
  </si>
  <si>
    <t xml:space="preserve">{\rtf1\ansi\ansicpg1252\deff0\deflang2057{\fonttbl{\f0\fnil\fcharset0 Arial;}}_x000D_
\viewkind4\uc1\pard\fs20 summer works.  the client cancelled our contract\par_x000D_
}_x000D_
</t>
  </si>
  <si>
    <t xml:space="preserve">{\rtf1\ansi\ansicpg1252\deff0\deflang2057{\fonttbl{\f0\fnil\fcharset0 Arial;}}_x000D_
\viewkind4\uc1\pard\fs20 The design of a high quality domesitc house.\par_x000D_
}_x000D_
</t>
  </si>
  <si>
    <t xml:space="preserve">{\rtf1\ansi\ansicpg1252\deff0\deflang2057{\fonttbl{\f0\fnil\fcharset0 Microsoft Sans Serif;}}_x000D_
\viewkind4\uc1\pard\f0\fs17 The key risks are:\par_x000D_
\par_x000D_
1) Working on a domestic house the fee is always minimal\par_x000D_
\par_x000D_
2) The breif is not defined so we must create a clear brief and issue to the client.\par_x000D_
\par_x000D_
3) Budget is a concern as cost over run may need value engineering which woudl be costly. It is therefore important not to over design.\par_x000D_
}_x000D_
</t>
  </si>
  <si>
    <t>Duplicate Files: newpark lighting schedule</t>
  </si>
  <si>
    <t>09-12-03 - Stage 2a Mechanical Risk Assessment (Rev-0)</t>
  </si>
  <si>
    <t>09-12-03 - Stage 2b  Electrical Risk Assessment (Rev-1)</t>
  </si>
  <si>
    <t>Reminders</t>
  </si>
  <si>
    <t>J:\P5000168\Specs\Mechanical\Aras Ui Chathail Boiler Replacement\Not to be issued (Was Ger's)\09-11-18 - SPC001 Enabling Works Specification (Rev 1).doc</t>
  </si>
  <si>
    <t>Missing: Stage 4 - Site Management (tasklist)</t>
  </si>
  <si>
    <t xml:space="preserve">Filename must contain: Stage 4, Site Management, </t>
  </si>
  <si>
    <t xml:space="preserve">Wrong Location: Stage 2a - Risk Assessment must be saved in \Health &amp; Safety but was found in </t>
  </si>
  <si>
    <t>j:\p5000168\health and safety\</t>
  </si>
  <si>
    <t>Duplicate Files: 09-11-18 - SPC001 Enabling Works Specification (Rev 1)</t>
  </si>
  <si>
    <t>J:\P5000176\Reports\REP001Masterplan Services Section 070629.doc</t>
  </si>
  <si>
    <t>J:\P5000176\Specs\Electrical\140710 National Gallery Electrical Specification.doc</t>
  </si>
  <si>
    <t>J:\P5000176\Specs\Electrical\190810 National Gallery Electrical Specification.doc</t>
  </si>
  <si>
    <t>J:\P5000176\Specs\Electrical\30810 National Gallery Electrical Specification.doc</t>
  </si>
  <si>
    <t>J:\P5000176\Specs\Electrical\National Gallery Electrical Specification.doc</t>
  </si>
  <si>
    <t>J:\P5000176\Specs\Electrical\PHASE 2\Enabling\Security Room (Inc Specialist)\02-10-12 - Vol 2 - Temp Security - Security Specialist Specification option 2.doc</t>
  </si>
  <si>
    <t>J:\P5000176\Specs\Electrical\PHASE 2\Enabling\Security Room (Inc Specialist)\02-10-12 - Vol 2 - Temp Security - Security Specialist Specification.doc</t>
  </si>
  <si>
    <t>J:\P5000176\Specs\Electrical\PHASE 2\Enabling\Security Room (Inc Specialist)\12-06-12 - Vol 1 - Temp Security - M&amp;E Specification.doc</t>
  </si>
  <si>
    <t>J:\P5000176\Specs\Electrical\PHASE 2\Enabling\Security Room (Inc Specialist)\12-06-12 - Vol 2 - Temp Security - Security Specialist Specification (first tender).doc</t>
  </si>
  <si>
    <t>J:\P5000176\Specs\Electrical\PHASE 2\Enabling\Security Room (Inc Specialist)\12-06-12 - Vol 2 - Temp Security - Security Specialist Specification.doc</t>
  </si>
  <si>
    <t>J:\P5000176\Specs\Mechanical\Roof works tender\100714 National Gallery Mechanical Specification.doc</t>
  </si>
  <si>
    <t>J:\P5000176\Specs\Mechanical\Roof works tender\National Gallery Mechanical Specification.doc</t>
  </si>
  <si>
    <t>Filename must contain: Mech, Vol, Three</t>
  </si>
  <si>
    <t xml:space="preserve">Wrong Location: Controls Points List must be saved in \Specs\Mechanical but was found in </t>
  </si>
  <si>
    <t xml:space="preserve">Wrong Location: Electrical Spec Vol 1 must be saved in \Specs\Electrical but was found in </t>
  </si>
  <si>
    <t>Duplicate Files: NGI - Pre Qual Assessment - ELECTRICAL Specialist (Historic Wings Refurb) - A&amp;L Electrical</t>
  </si>
  <si>
    <t>Duplicate Files: NGI - Pre Qual Assessment - ELECTRICAL Specialist (Historic Wings Refurb) - Crowe Engineering</t>
  </si>
  <si>
    <t>Duplicate Files: NGI - Pre Qual Assessment - ELECTRICAL Specialist (Historic Wings Refurb) - Joe Vaughan</t>
  </si>
  <si>
    <t>Duplicate Files: NGI - Pre Qual Assessment - ELECTRICAL Specialist (Historic Wings Refurb) - King &amp; Moffat</t>
  </si>
  <si>
    <t>Duplicate Files: NGI - Pre Qual Assessment - ELECTRICAL Specialist (Historic Wings Refurb) - L Redmond</t>
  </si>
  <si>
    <t>Duplicate Files: NGI - Pre Qual Assessment - ELECTRICAL Specialist (Historic Wings Refurb) - O'Hara Engineering</t>
  </si>
  <si>
    <t>Duplicate Files: NGI - Pre Qual Assessment - ELECTRICAL Specialist (Historic Wings Refurb) - O'Kane Engineering</t>
  </si>
  <si>
    <t>Duplicate Files: NGI - Pre Qual Assessment - ELECTRICAL Specialist (Historic Wings Refurb) - Vaughan Eng. Services</t>
  </si>
  <si>
    <t>Duplicate Files: NGI - Pre Qual Assessment - ELECTRICAL Specialist (Historic Wings Refurb) -CWE Elect.</t>
  </si>
  <si>
    <t>Duplicate Files: NGI - Pre Qual Assessment - ELECTRICAL Specialist (Historic Wings Refurb) -Designer Group</t>
  </si>
  <si>
    <t>Duplicate Files: NGI - Pre Qual Assessment - ELECTRICAL Specialist (Historic Wings Refurb) -Jones Engineering</t>
  </si>
  <si>
    <t>Duplicate Files: NGI - Pre Qual Assessment - ELECTRICAL Specialist (Historic Wings Refurb) -Winthrop</t>
  </si>
  <si>
    <t>Duplicate Files: NGI - Pre Qual Assessment - LIFT Specialist (Historic Wings Refurb) Ascention Lifts</t>
  </si>
  <si>
    <t>Duplicate Files: NGI - Pre Qual Assessment - LIFT Specialist (Historic Wings Refurb) Ennis Lifts</t>
  </si>
  <si>
    <t>Duplicate Files: NGI - Pre Qual Assessment - LIFT Specialist (Historic Wings Refurb) KONE</t>
  </si>
  <si>
    <t>Duplicate Files: NGI - Pre Qual Assessment - LIFT Specialist (Historic Wings Refurb) Mid Western Lifts</t>
  </si>
  <si>
    <t>Duplicate Files: NGI - Pre Qual Assessment - MECHANICAL Specialist (Historic Wings Refurb) Designer Group</t>
  </si>
  <si>
    <t>Duplicate Files: NGI - Pre Qual Assessment - MECHANICAL Specialist (Historic Wings Refurb) GMG Mechanical</t>
  </si>
  <si>
    <t>Duplicate Files: NGI - Pre Qual Assessment - MECHANICAL Specialist (Historic Wings Refurb) Jones Engineering</t>
  </si>
  <si>
    <t>Duplicate Files: NGI - Pre Qual Assessment - MECHANICAL Specialist (Historic Wings Refurb) Kane Heating</t>
  </si>
  <si>
    <t>Duplicate Files: NGI - Pre Qual Assessment - MECHANICAL Specialist (Historic Wings Refurb) L.Lynch</t>
  </si>
  <si>
    <t>Duplicate Files: NGI - Pre Qual Assessment - MECHANICAL Specialist (Historic Wings Refurb) Lynskeys</t>
  </si>
  <si>
    <t>Duplicate Files: NGI - Pre Qual Assessment - MECHANICAL Specialist (Historic Wings Refurb) Tritech Engineering</t>
  </si>
  <si>
    <t>Duplicate Files: NGI - Pre Qual Assessment - MECHANICAL Specialist (Historic Wings Refurb) Vaughan Engineering</t>
  </si>
  <si>
    <t>Duplicate Files: NGI - Pre Qual Assessment - MECHANICAL Specialist (Historic Wings Refurb) Winthrop</t>
  </si>
  <si>
    <t>J:\P5000368\Images\08-11-10 Holy Child School Killiney Survey\REP001 - Site Survey Report.doc</t>
  </si>
  <si>
    <t>J:\P5000368\Reports\REP001 - Site Survey Report.doc</t>
  </si>
  <si>
    <t>J:\P5000368\Specs\Mechanical\01 - Volume One - Rev 1.docx</t>
  </si>
  <si>
    <t>J:\P5000368\Specs\Mechanical\Construction\01 - Volume One - Rev 2.docx</t>
  </si>
  <si>
    <t>PHB Error: No area entered in PHB</t>
  </si>
  <si>
    <t>PHB Error: No DES roll number entered in PHB</t>
  </si>
  <si>
    <t>PHB Error: No professions assigned (see marketing tab)</t>
  </si>
  <si>
    <t>PHB Error: No project description (see marketing tab)</t>
  </si>
  <si>
    <t>PHB Error: No project risks (see QA tab)</t>
  </si>
  <si>
    <t>PHB Error: No project location address (see location tab)</t>
  </si>
  <si>
    <t>Filename must contain: Mech, Vol, One</t>
  </si>
  <si>
    <t>PHB Error: No Lead Mech assigned</t>
  </si>
  <si>
    <t>PHB Error: No Lead Elec assigned</t>
  </si>
  <si>
    <t>j:\p5000448\minutes\miscellaneous meetings\15-09-16 - controls meeting\</t>
  </si>
  <si>
    <t>Duplicate Files: Schedules of Accommodation - Junior school 19479N</t>
  </si>
  <si>
    <t>Duplicate Files: Schedules of Accommodation - Senior school 19678T</t>
  </si>
  <si>
    <t>Duplicate Files: REP004 - M&amp;E Tender Report (Rev 01)</t>
  </si>
  <si>
    <t>Duplicate Files: 2015-03-16 ON GOING Schedule of VE Cost savings For Ch Or-1629</t>
  </si>
  <si>
    <t>Duplicate Files: 19678Brief Formulation  Site Report Form - Senior school 19678T</t>
  </si>
  <si>
    <t>Duplicate Files: Brief Formulation Site Report Form - Junior school 19479N</t>
  </si>
  <si>
    <t>Duplicate Files: 10.02.03_Building Survey Specification_1629</t>
  </si>
  <si>
    <t>Duplicate Files: 10.02.03_Refurbishment and Demolitions Asbestos Survey Specification_1629</t>
  </si>
  <si>
    <t>Duplicate Files: 10.02.03_Topographical Survey Specification_1629</t>
  </si>
  <si>
    <t>Duplicate Files: 10.02.03_Archeological Study Specification_1629</t>
  </si>
  <si>
    <t>J:\P5000468\Specs\Electrical\ES-01 Electrical Specification - Volume One.doc</t>
  </si>
  <si>
    <t>Mechanical Volume Three</t>
  </si>
  <si>
    <t>MS-01 - Mechanical Volume One</t>
  </si>
  <si>
    <t>MS-03 - Mechanical Volume Three</t>
  </si>
  <si>
    <t>P5000490 Tullamore College Schedule of Lamps and Luminaires 05.03.12</t>
  </si>
  <si>
    <t>Volume A3.3 - Mechanical Drawings</t>
  </si>
  <si>
    <t>Volume A3.4 - Electrical Drawings1</t>
  </si>
  <si>
    <t>J:\P5000490\Specs\Electrical\Volume 1 Start &amp; Section A+C (GCCC).doc</t>
  </si>
  <si>
    <t>J:\P5000490\Specs\Electrical\Volume 2  - Equipment Schedules.doc</t>
  </si>
  <si>
    <t>j:\p5000490\reports\120316 2.0 stage 2a design team drawings\2.3 m&amp;e engineers' drawings\2.3.1 pdf\</t>
  </si>
  <si>
    <t>j:\p5000490\reports\</t>
  </si>
  <si>
    <t>PHB Error: Possibly insufficient key date boxes filled out</t>
  </si>
  <si>
    <t xml:space="preserve">Wrong Location: Project Directors Brief must be saved in \qa but was found in </t>
  </si>
  <si>
    <t>Project Directors Brief (M&amp;E)</t>
  </si>
  <si>
    <t>J:\P5000515\Reports\111209 CC due dilligence\FINAL FINAL REPORT\111209FINAL REPORT.docx</t>
  </si>
  <si>
    <t>j:\p5000515\brief\</t>
  </si>
  <si>
    <t>CRITICAL: Stage entered in the PHB is blank. Project could not be audited.</t>
  </si>
  <si>
    <t>J:\P5000522\Specs\Electrical\St. Dympnas  - Electrical Specification - Volume One.docx</t>
  </si>
  <si>
    <t>J:\P5000524\Specs\Electrical\P\Scoil Chormaic CNS - Electrical Specification - Volume One.docx</t>
  </si>
  <si>
    <t>J:\P5000524\Specs\Electrical\PP\Coláiste Ghlór na Mara - Electrical Specification - Volume One.docx</t>
  </si>
  <si>
    <t>Duplicate Files: Mechanical Volume Two Title Sheets</t>
  </si>
  <si>
    <t>Duplicate Files: Primary Mechanical Volume Three</t>
  </si>
  <si>
    <t>J:\P5000527\Specs\Electrical\Electrical Specification - Volume 1.doc</t>
  </si>
  <si>
    <t>12-09-13 - Stage 2a - Safety Review</t>
  </si>
  <si>
    <t>Elec - Stage 2b Design Review</t>
  </si>
  <si>
    <t>J:\P5000547\Specs\Electrical\School Specification - Electrical Specification - Volume One.docx</t>
  </si>
  <si>
    <t xml:space="preserve">Wrong Location: Stage 2a Design Review must be saved in \Minutes\Design Review but was found in </t>
  </si>
  <si>
    <t>j:\p5000547\health &amp; safety\</t>
  </si>
  <si>
    <t>j:\p5000547\reports\</t>
  </si>
  <si>
    <t>J:\P5000548\Minutes\Design reviews\Copy of 2a report with comments shown in red\Mhicil Naofa REP001 Stage 2a.doc</t>
  </si>
  <si>
    <t>J:\P5000548\Reports\Stage 2a\Mhicil Naofa REP001 Stage 2a.doc</t>
  </si>
  <si>
    <t>J:\P5000548\Specs\Electrical\Scoil Mhicil Naofa Toilets - Section A Electrical Specification.docx</t>
  </si>
  <si>
    <t>J:\P5000548\Specs\Summer Works 2013 project\Scoil Mhicil Naofa Toilets - Section A Electrical Specification.docx</t>
  </si>
  <si>
    <t>J:\P5000548\Specs\Summer Works 2013 project\Scoil Mhicil Naofa Toilets - Section A Mechanical Specification.docx</t>
  </si>
  <si>
    <t>Duplicate Files: Mhicil Naofa REP001 Stage 2a</t>
  </si>
  <si>
    <t>J:\P5000560\Reports\S&amp;C REPORT\Stage 1 report\LIT Thurles S&amp;C Stage 1 report parameters.docx</t>
  </si>
  <si>
    <t>J:\P5000560\Specs\Electrical\Electrical Specification.doc</t>
  </si>
  <si>
    <t>j:\p5000560\minutes\design reviews\stage 2b mechanical design review\</t>
  </si>
  <si>
    <t>Duplicate Files: Equipment Schedules</t>
  </si>
  <si>
    <t>150904 Controls Points List - Metering</t>
  </si>
  <si>
    <t>J:\P5000561\Specs\Electrical\Electrical Specification - Volume 1.doc</t>
  </si>
  <si>
    <t>j:\p5000561\sketches\</t>
  </si>
  <si>
    <t>Appendix 4- Luminaire Schedule</t>
  </si>
  <si>
    <t>J:\P5000563\Specs\Electrical\Gaelscoil Bharra - Electrical Specification - Volume One.docx</t>
  </si>
  <si>
    <t>j:\p5000563\reports\stage 2a\appendices\</t>
  </si>
  <si>
    <t>J:\P5000567\Specs\Electrical\Electrical Specification - Volume 1.doc</t>
  </si>
  <si>
    <t>J:\P5000567\Specs\Electrical\GCCC Specs- DO NOT USE\Electrical Specification - Volume 1.doc</t>
  </si>
  <si>
    <t>Duplicate Files: Electrical Specification - Volume 1</t>
  </si>
  <si>
    <t>Duplicate Files: Mechanical Volume Three</t>
  </si>
  <si>
    <t>Lackagh - Luminaire Schedule</t>
  </si>
  <si>
    <t>j:\p5000569\reports\stage 2a\</t>
  </si>
  <si>
    <t>Duplicate Files: Project Directors Brief</t>
  </si>
  <si>
    <t>J:\P5000587\Specs\Electrical\LIT Projects - Section A Electrical Specification.docx</t>
  </si>
  <si>
    <t>J:\P5000587\Specs\Electrical\Stem Workshops - Section A Electrical Specification Rev B.docx</t>
  </si>
  <si>
    <t>J:\P5000587\Temp RJS holiday folder\Limerick Labs 2\SPEC\LIT Projects - Section A Electrical Specification.docx</t>
  </si>
  <si>
    <t>J:\P5000587\Temp RJS holiday folder\Limerick Labs 2\SPEC\Stem Workshops - Section A Electrical Specification Rev B.docx</t>
  </si>
  <si>
    <t>J:\P5000587\Temp RJS holiday folder\Limerick Labs 2\SPEC\Stem Workshops - Section A Electrical Specification.docx</t>
  </si>
  <si>
    <t>Duplicate Files: LIT Summer Works 2013 - Furniture Schedule</t>
  </si>
  <si>
    <t>Duplicate Files: LIT Projects - Section A Electrical Specification</t>
  </si>
  <si>
    <t>PHB Error: No project type entered in PHB</t>
  </si>
  <si>
    <t>Duplicate Files: REP-01 - Moylish Campus Computer Area Ventilation</t>
  </si>
  <si>
    <t>Duplicate Files: 3 4 Thermal Report</t>
  </si>
  <si>
    <t>J:\P5000603\Health &amp; Safety\PSDP Files\SPC-10 - Heavy Fuel Oil Replacement\Heavy Fuel Oil Replacement - PSHP.docx</t>
  </si>
  <si>
    <t>J:\P5000603\Reports\Heavy Fuel Oil Report\NUIM HFO report RevC.docx</t>
  </si>
  <si>
    <t>J:\P5000603\Reports\Heavy Fuel Oil Report\NUIM HFO report RevD.docx</t>
  </si>
  <si>
    <t>J:\P5000603\Reports\Tender Report and Matrix\River Apartments Tenders\REP001 - River Apt. Tender Report.docx</t>
  </si>
  <si>
    <t>Duplicate Files: Involvement Poster</t>
  </si>
  <si>
    <t>Duplicate Files: Mapping_of_deliverables_to_report</t>
  </si>
  <si>
    <t>Duplicate Files: Equipment Schedules PHII Science</t>
  </si>
  <si>
    <t>J:\P5000604\Brief\3.2.3ElecSpec.doc.docx</t>
  </si>
  <si>
    <t>J:\P5000604\Specs\Electrical\Enabling Works\MISA Enabling Works Specification.doc</t>
  </si>
  <si>
    <t>J:\P5000604\Specs\Electrical\MISA\3.2.3ElecSpec.doc.docx</t>
  </si>
  <si>
    <t>J:\P5000604\Specs\Electrical\MISA\MISA Electrical Specification.docx</t>
  </si>
  <si>
    <t>J:\P5000604\Specs\Electrical\Multi Faith\Electrical Specification - Multi-Faith.doc</t>
  </si>
  <si>
    <t>J:\P5000604\Specs\Mechanical\MISA Mechanical Volume One.doc</t>
  </si>
  <si>
    <t>Duplicate Files: 3.2.3ElecSpec.doc</t>
  </si>
  <si>
    <t>J:\P5000608\Specs\Electrical\St.Mochtas Electrical Specification - Volume One.docx</t>
  </si>
  <si>
    <t>Lot 15.2 - Electrical Volume One Rev 5 A3 Version</t>
  </si>
  <si>
    <t>j:\p5000609\specs\mechanical\</t>
  </si>
  <si>
    <t>J:\P5000627\Specs\Electrical\P5000627 Parkhall College Electrical Services Specification 25.doc</t>
  </si>
  <si>
    <t>Duplicate Files: Builders Works Schedule</t>
  </si>
  <si>
    <t>Duplicate Files: ICT PROVISIONS meeting 190914 for report</t>
  </si>
  <si>
    <t>Duplicate Files: Electrical Tender Schedules</t>
  </si>
  <si>
    <t>Lot 17_Ashbourne_Educate Together_Mechanical Volume One</t>
  </si>
  <si>
    <t>Ashbourne Educate Together  Controls Points List</t>
  </si>
  <si>
    <t>J:\P5000638\Specs\Electrical\Midleton Rapid Build Electrical Specification - Volume One.docx</t>
  </si>
  <si>
    <t>J:\P5000638\Specs\Electrical\Claregalway\Electrical Specification - Volume One - Claregalway.doc</t>
  </si>
  <si>
    <t>j:\p5000638\bid documents\m&amp;e specs\primary specs\</t>
  </si>
  <si>
    <t>j:\p5000638\bid documents\m&amp;e specs\primary specs\controls points lists\</t>
  </si>
  <si>
    <t>Duplicate Files: Primary Equipment Schedules</t>
  </si>
  <si>
    <t>Duplicate Files: Concept Design Workstream Report no.1</t>
  </si>
  <si>
    <t>J:\P5000640\Specs\Electrical\Rathcoole Electrical Specification Volume One.doc</t>
  </si>
  <si>
    <t>Missing: Project Contacts</t>
  </si>
  <si>
    <t xml:space="preserve">Filename must contain: Contacts, </t>
  </si>
  <si>
    <t>J:\P5000657\Specs\Summer Works 2015\Elec\CNC Lab\LIT SW2015 - CNC Lab Electrical Specification.docx</t>
  </si>
  <si>
    <t>J:\P5000657\Specs\Summer Works 2015\Elec\EAC\LIT SW2015 - EAC Electrical Specification.docx</t>
  </si>
  <si>
    <t>J:\P5000657\Specs\Summer Works 2015\Elec\Front Entrance\LIT SW2015 - Front Entrance Electrical Specification.docx</t>
  </si>
  <si>
    <t>J:\P5000657\Specs\Summer Works 2015\Elec\GQ\LIT SW2015 - GQ Studio Electrical Specification.docx</t>
  </si>
  <si>
    <t>J:\P5000657\Specs\Summer Works 2015\Elec\Lecture Theatres\LIT SW2015 - Lecture Rooms Electrical Specification.docx</t>
  </si>
  <si>
    <t>J:\P5000657\Specs\Summer Works 2015\Elec\Merriman\LIT SW2015 - Merriman House Electrical Specification.docx</t>
  </si>
  <si>
    <t>J:\P5000657\Specs\Summer Works 2015\Elec\Merriman\LIT SW2015 - Merriman House Fire Alarm System Specification.docx</t>
  </si>
  <si>
    <t>J:\P5000657\Specs\Summer Works 2015\Elec\UAT\LIT SW2015 - UAT Electrical Specification.docx</t>
  </si>
  <si>
    <t>Mechanical Specification Volume One</t>
  </si>
  <si>
    <t>j:\p5000657\specs\summer works 2015\merriman house &amp; eac\</t>
  </si>
  <si>
    <t>Duplicate Files: 15-06-11 - Site Inspection Notes</t>
  </si>
  <si>
    <t>Duplicate Files: Contacts</t>
  </si>
  <si>
    <t>Duplicate Files: LIT SW2015 - Front Entrance Electrical Specification Cover</t>
  </si>
  <si>
    <t>Duplicate Files: Pre-Stage 1 Stake-holder Meeting Report 11th May 2015 REDUCED</t>
  </si>
  <si>
    <t>J:\P5000663\Reports\Due Diligence\11-12-09 CC due dilligence\FINAL FINAL REPORT\111209FINAL REPORT.docx</t>
  </si>
  <si>
    <t>J:\P5000664\Specs\Electrical\St. Martins Special School - Electrical Specification - Volume One.doc.docx</t>
  </si>
  <si>
    <t>J:\P5000677\Bid\Lot 5\Electrical Specifications\5.4 -Charleville\Lot 5.4 Charleville Holy Family School_Electrical Specification Volume 1.docx</t>
  </si>
  <si>
    <t>Duplicate Files: RBS Primary Equipment Schedules</t>
  </si>
  <si>
    <t>and instead of &amp; in path</t>
  </si>
  <si>
    <t xml:space="preserve">Copied Files: </t>
  </si>
  <si>
    <t>To check an individual project, enter the number below and click the button.</t>
  </si>
  <si>
    <t>Specific Project:</t>
  </si>
  <si>
    <t>P5000685</t>
  </si>
  <si>
    <t>Summer Works 2016</t>
  </si>
  <si>
    <t>Note: PHB records are automatically updated with each project check</t>
  </si>
  <si>
    <t>genuine exception</t>
  </si>
  <si>
    <t>too late</t>
  </si>
  <si>
    <t>ok - it should be in both locations</t>
  </si>
  <si>
    <t>ok multiple projects in the folder</t>
  </si>
  <si>
    <t>not applicable - multiple projects</t>
  </si>
  <si>
    <t>not applicable to this project</t>
  </si>
  <si>
    <t>not applicable for this project</t>
  </si>
  <si>
    <t>not applicable - skipped 2a</t>
  </si>
  <si>
    <t>Project Number:</t>
  </si>
  <si>
    <t>Maynooth Town</t>
  </si>
  <si>
    <t xml:space="preserve">{\rtf1\ansi\ansicpg1252\deff0\deflang2057{\fonttbl{\f0\fnil\fcharset0 Arial;}}_x000D_
\viewkind4\uc1\pard\fs20 The summer works project involved the following:\par_x000D_
\par_x000D_
Fuel oil replacement (swapping heavy oil for gas boiler)\par_x000D_
Appartments (reducing the number of boilers serving them)\par_x000D_
Hume (adding mech vent to three lecture theatres)\par_x000D_
Callan (AHU and pump replacement and general tidying)\par_x000D_
Science (AHU replacement, chiller replacement, pump replacemente and general tidying)\par_x000D_
\par_x000D_
For details of the masterplan see the architectural project hand book\par_x000D_
}_x000D_
</t>
  </si>
  <si>
    <t xml:space="preserve">{\rtf1\ansi\ansicpg1252\deff0\deflang2057{\fonttbl{\f0\fnil\fcharset0 Microsoft Sans Serif;}}_x000D_
\viewkind4\uc1\pard\f0\fs17 For the summer works project:\par_x000D_
\par_x000D_
The key risk is the project timescale.  It is unrealistic to carry out the work during the summer period and the client must be informed that the work will over run.\par_x000D_
}_x000D_
</t>
  </si>
  <si>
    <t>M&amp;E Arch for masterplan</t>
  </si>
  <si>
    <t>Mount street upper</t>
  </si>
  <si>
    <t xml:space="preserve">{\rtf1\ansi\ansicpg1252\deff0\deflang2057{\fonttbl{\f0\fnil\fcharset0 Arial;}}_x000D_
\viewkind4\uc1\pard\fs20 Refurbishment of existing Georgan houses as part of the ESB HQ project\par_x000D_
}_x000D_
</t>
  </si>
  <si>
    <t xml:space="preserve">{\rtf1\ansi\ansicpg1252\deff0\deflang2057{\fonttbl{\f0\fnil\fcharset0 Microsoft Sans Serif;}}_x000D_
\viewkind4\uc1\pard\f0\fs17 Nov 2015\par_x000D_
\par_x000D_
Key risk is working in a historic construction that is subject to conservation constraints.\line\line It is important that we we work with the conservation architect to ensure our proposals are sensitive to the construction.\par_x000D_
}_x000D_
</t>
  </si>
  <si>
    <t>Jameses hospital</t>
  </si>
  <si>
    <t>Howth</t>
  </si>
  <si>
    <t>Copied Files: Newpark Comp School-Sports Ctr-FullReport_19092014</t>
  </si>
  <si>
    <t>Copied Files: Newpark Change Order Schedule meeting 10 version</t>
  </si>
  <si>
    <t>Copied Files: Newpark Comprehensive School (localised pre-refurb survey) March 2011 - Report</t>
  </si>
  <si>
    <t>Copied Files: Newpark Comprehensive School 81001I March 2011 - Report</t>
  </si>
  <si>
    <t>Copied Files: Newpark Progress Report 19</t>
  </si>
  <si>
    <t>Copied Files: Procurement &amp; Submittal Schedule 4 4 14</t>
  </si>
  <si>
    <t>Copied Files: Electrical Volume Two  - Equipment Schedules Rev 5.0</t>
  </si>
  <si>
    <t>Copied Files: report4056002926931452972</t>
  </si>
  <si>
    <t>Copied Files: Lot 3 Schedule of Services - Nov 06</t>
  </si>
  <si>
    <t>Copied Files: ISS NUIG Structured Cabling Specification_2011</t>
  </si>
  <si>
    <t>Copied Files: HBB_REP009 M&amp;E Stage 2B Report Rev B_with NUIG comments 030414</t>
  </si>
  <si>
    <t>Copied Files: HDMI Cable Specifications</t>
  </si>
  <si>
    <t>Copied Files: ISS NUIG Structured Cabling Specification_Aug 2012</t>
  </si>
  <si>
    <t>Copied Files: HBB Electrical Volume 1</t>
  </si>
  <si>
    <t>Copied Files: Transmission Representatives List</t>
  </si>
  <si>
    <t>Copied Files: HBB QW3_Specialists Subcontracts_Appendix A</t>
  </si>
  <si>
    <t>Copied Files: HBB QW3_Specialists Subcontracts_Appendix B1</t>
  </si>
  <si>
    <t>Copied Files: HBB QW3_Specialists Subcontracts_Appendix C1</t>
  </si>
  <si>
    <t>Copied Files: HBB QW3_Specialists Subcontracts_Appendix C2</t>
  </si>
  <si>
    <t>Copied Files: HBB QW3_Specialists Subcontracts_Supplement 3.4.1</t>
  </si>
  <si>
    <t>Copied Files: HBB QW3_Specialists Subcontracts_Supplement 3.4.2</t>
  </si>
  <si>
    <t>Copied Files: 12-06-12 - Vol 3 - Elec Enabling Works - V Sections</t>
  </si>
  <si>
    <t>Copied Files: 12-06-12 - Vol 4 - Elec Enabling Works - Y Sections</t>
  </si>
  <si>
    <t>Copied Files: 12-06-12 - Vol 1 - Temp Security - M&amp;E Specification</t>
  </si>
  <si>
    <t>Copied Files: 12-06-12 - Vol 2 - Temp Security - Security Specialist Specification</t>
  </si>
  <si>
    <t>Copied Files: 1024 08apr11 mcgovern surveyors schedule of condition report cover page</t>
  </si>
  <si>
    <t>Copied Files: REP004 - M&amp;E Tender Report</t>
  </si>
  <si>
    <t>Copied Files: Report Template Cover</t>
  </si>
  <si>
    <t>Copied Files: 111213 Munster Rugby Area Schedule</t>
  </si>
  <si>
    <t>Copied Files: Desmond prospectus clare st 03</t>
  </si>
  <si>
    <t>Copied Files: ormond prospectus 02</t>
  </si>
  <si>
    <t>Copied Files: Ormond prospectus sketch</t>
  </si>
  <si>
    <t>Copied Files: Thomond prospectus precedent</t>
  </si>
  <si>
    <t>Copied Files: Thomond prospectus sketch</t>
  </si>
  <si>
    <t>J:\P5000527\Completion certs\Reports\Air Report.pdf</t>
  </si>
  <si>
    <t>Copied Files: Air Report</t>
  </si>
  <si>
    <t>Copied Files: 121117 S&amp;C Area Schedule Option C</t>
  </si>
  <si>
    <t>Copied Files: 130108 S&amp;C Area Schedule Option D</t>
  </si>
  <si>
    <t>Copied Files: 130118 S&amp;C Area Schedule Option E</t>
  </si>
  <si>
    <t>Copied Files: LIT Thurles S&amp;C Stage 1 report</t>
  </si>
  <si>
    <t>Copied Files: LIT Summer Works 2013 - Furniture Schedule</t>
  </si>
  <si>
    <t>Copied Files: 130326 Lab Equipment Schedule</t>
  </si>
  <si>
    <t>Copied Files: Stem Workshops - Section A Electrical Specification Rev B</t>
  </si>
  <si>
    <t>Copied Files: Stem Workshops Elecspec Rev B</t>
  </si>
  <si>
    <t>Copied Files: policy Schedule to  insured 597._G1_</t>
  </si>
  <si>
    <t>Copied Files: Mechanical Volume Two Title Sheets</t>
  </si>
  <si>
    <t>Copied Files: 3.2.2MechSpec.doc</t>
  </si>
  <si>
    <t>Copied Files: Lift Specification</t>
  </si>
  <si>
    <t>Copied Files: MISA - Fire Generator - Cable Schedule 2014-05-23</t>
  </si>
  <si>
    <t>Copied Files: MISA - TX Mains - Cable Schedule 2014-05-23</t>
  </si>
  <si>
    <t>Copied Files: 4143 GPR Report</t>
  </si>
  <si>
    <t>Copied Files: Parkhall College Antrim Acoustic spec amended 220409</t>
  </si>
  <si>
    <t>Copied Files: ICT Report B</t>
  </si>
  <si>
    <t>Copied Files: Parkhall LED Lighting Report 030914 C</t>
  </si>
  <si>
    <t>Copied Files: P5000627 Parkhall College Lift Specification</t>
  </si>
  <si>
    <t>Copied Files: Equipment Schedules</t>
  </si>
  <si>
    <t>Copied Files: Cost Reports</t>
  </si>
  <si>
    <t>Copied Files: 3. Completed Schedules A&amp;B to CoE1</t>
  </si>
  <si>
    <t>Copied Files: 151008 - Draft report</t>
  </si>
  <si>
    <t>Copied Files: 151012 - Draft report</t>
  </si>
  <si>
    <t>Copied Files: PHASE 1 - Preliminary Inspection Plan &amp; Inspection Notification Framework</t>
  </si>
  <si>
    <t>Copied Files: PHASE 2 - Preliminary Inspection Plan &amp; Inspection Notification Framework</t>
  </si>
  <si>
    <t>Copied Files: Ancillary Inspection Plan Certificates (C&amp;S)</t>
  </si>
  <si>
    <t>Copied Files: Ancillary Inspection Plan Certificates (Fire)</t>
  </si>
  <si>
    <t>Copied Files: Ancillary Inspection Plan Certificates (M&amp;E)</t>
  </si>
  <si>
    <t>Copied Files: Pre-Stage 1 Stake-holder Meeting Report 11th May 2015 REDUCED</t>
  </si>
  <si>
    <t>Copied Files: Appendix C.  SI General Specification</t>
  </si>
  <si>
    <t>MICC cable</t>
  </si>
  <si>
    <t>LSF cable</t>
  </si>
  <si>
    <t>BS60439</t>
  </si>
  <si>
    <t>Checking schedules</t>
  </si>
  <si>
    <t>There are some schedules that interrelate - if I have a boiler then I have a flue and pumps and air dirt separator</t>
  </si>
  <si>
    <t>Is there evidence that the notes have not been edited by the engineer</t>
  </si>
  <si>
    <t>Do boile outputs and pump sizes make sense</t>
  </si>
  <si>
    <t>Are there any pumps that are clearly too small or to large</t>
  </si>
  <si>
    <t>Maybe if the PHB knows it is a new school then check all the standard schedules exist</t>
  </si>
  <si>
    <t>replacement consultants at 2b</t>
  </si>
  <si>
    <t xml:space="preserve">{\rtf1\ansi\ansicpg1252\deff0\deflang2057{\fonttbl{\f0\fswiss\fprq2\fcharset0 Arial;}{\f1\fnil\fcharset0 Arial;}}_x000D_
\viewkind4\uc1\pard\lang6153\b\f0\fs20 Newtownmount Kennedy School\par_x000D_
\par_x000D_
\b0 The construction of a 1,800m\super 2\nosupersub  new build primary school and the refurbishment of an existing 750m\super 2\nosupersub  of primary school with demolition of a 300m2 extension to exitsting primary school.\par_x000D_
\par_x000D_
The project desciption above has been superseded with a new brief. Fees to be agreed following revised scheme drawings from architect. Construction of a new 2700m2 primary school with SNU.\lang2057\f1\par_x000D_
}_x000D_
</t>
  </si>
  <si>
    <t xml:space="preserve">{\rtf1\ansi\ansicpg1252\deff0\deflang2057{\fonttbl{\f0\fswiss\fprq2\fcharset0 Microsoft Sans Serif;}{\f1\fnil\fcharset0 Microsoft Sans Serif;}}_x000D_
{\colortbl ;\red255\green0\blue0;\red0\green0\blue0;\red0\green176\blue80;}_x000D_
\viewkind4\uc1\pard\cf1\lang6153\f0\fs17 Risks as of 24/04/2015\par_x000D_
\par_x000D_
\cf2 The largest risks are : 1) The project architect is not familiar with school design and how the DoES operates 2) The refurbishment element of the project becomes complex and a solution for the site is not self precenting or is complex. 3) The intent is to incorporate existing plant items that were installed during Summer Works. Will Contractor take ownership of items ?\par_x000D_
\par_x000D_
\cf3 Mitigations\par_x000D_
\par_x000D_
\cf0 It will be necessary to ensure that our input is limited to that which is actually required, rather than that which the architect deems appropriate.  It will also be necessary to ensure that the project architect understands the project and we must hold off on the issuing of our stage reports until we are convinced that the architect tables a viable solution.\par_x000D_
\lang2057\f1\par_x000D_
}_x000D_
</t>
  </si>
  <si>
    <t>Lot 19 - Midleton Starts in Site August 2015_x000D_
Lot 20 - Claregalway proposed to start on site January 2016</t>
  </si>
  <si>
    <t>10,557,969.</t>
  </si>
  <si>
    <t xml:space="preserve">Appointed as replacement consultants 11th march 2015 for stage 2b. Half fee for stage 2a for familiarisation. Stage 2b submitted 20/07/15. 20/10/15 correspondance received back on stage 2b submittal- nothing for BDP. </t>
  </si>
  <si>
    <t>Formal stage 2b approval received 23/11/2015., Approval to proceed to tender stage 25/11/15.</t>
  </si>
  <si>
    <t>J:\Dn07222\REPORTS\Old Form Stage 2\stage 2 report rev1.doc</t>
  </si>
  <si>
    <t>J:\Dn07222\REPORTS\Stage 3\REP 004 Stage 3 Report(DES).doc</t>
  </si>
  <si>
    <t>J:\Dn07222\REPORTS\Stage 3\Old Stage 3 - do not use\REP 004 Stage 3 Report.doc</t>
  </si>
  <si>
    <t>J:\Dn07222\REPORTS\Stage 3\Old Stage 3 - do not use\REP 004 Stage 3 Reportrev1.doc</t>
  </si>
  <si>
    <t>J:\Dn07222\REPORTS\Stage 3\Old Stage 3 - do not use\REP 004 Stage 3(Old DR).doc</t>
  </si>
  <si>
    <t>J:\Dn07222\SPECS\ELECTRICAL\ELEC SPEC VOL1 REV 00 NEW PHASING.docx</t>
  </si>
  <si>
    <t>J:\Dn07222\SPECS\ELECTRICAL\ELEC SPEC VOL1 REV 00.docx</t>
  </si>
  <si>
    <t>J:\Dn07222\SPECS\ELECTRICAL\ELEC SPEC VOL1 REV 01.docx</t>
  </si>
  <si>
    <t>Reference to 'MICC cable' instead of 'PH120 enchanced rated cable' was found in the following document:</t>
  </si>
  <si>
    <t>Reference to 'LSF cable' instead of 'LSOH cable' was found in the following document:</t>
  </si>
  <si>
    <t>J:\P5000168\Project Brief\Laboratory Exemplars\Centre for Life\TM01121 Elec Tech Spec.doc</t>
  </si>
  <si>
    <t>J:\P5000168\Reports\REP003 M&amp;E Basis of Design.doc</t>
  </si>
  <si>
    <t>J:\P5000168\Specs\Electrical\HBB Electrical Volume 4.doc</t>
  </si>
  <si>
    <t>J:\P5000168\Specs\Electrical\enabling works contract\Electrical Volume One - BOILER ROOM INSTALLATION - aras ui cathail.doc</t>
  </si>
  <si>
    <t>J:\P5000176\Specs\Conservation Dept\110722 Electrical Specification-conservation v90.doc</t>
  </si>
  <si>
    <t>J:\P5000176\Specs\Conservation Dept\110722 Mechanical &amp; Electrical Specification-conservation v90.doc</t>
  </si>
  <si>
    <t>J:\P5000176\Specs\Electrical\PHASE 2\Enabling\Boiler &amp; Board Works\12-06-12 - Vol 3 - Elec Enabling Works - V Sections.doc</t>
  </si>
  <si>
    <t>J:\P5000176\Specs\Electrical\PHASE 2\Enabling\Boiler &amp; Board Works\12-06-12 - Vol 4 - Elec Enabling Works - Y Sections.doc</t>
  </si>
  <si>
    <t>J:\P5000176\Specs\Electrical\PHASE 2\Enabling\Security Room (Inc Specialist)\12-06-12 - Vol 3 - Elec Enabling Works - V Sections.doc</t>
  </si>
  <si>
    <t>J:\P5000176\Specs\Electrical\PHASE 2\Enabling\Security Room (Inc Specialist)\12-06-12 - Vol 4 - Elec Enabling Works - Y Sections.doc</t>
  </si>
  <si>
    <t>J:\P5000448\Reports\REP002 - Stage 1 Report (GCCC Form of Contract).docx</t>
  </si>
  <si>
    <t>J:\P5000448\Reports\REP003 - Stage 2A Report.docx</t>
  </si>
  <si>
    <t>J:\P5000448\Specs\Electrical\Electrical\A.2.4 Electrical Volume One Rev 0.doc</t>
  </si>
  <si>
    <t>J:\P5000468\Reports\Stage 1 Report\REP001 - Stage 1 Report (GCCC Form of Contract).docx</t>
  </si>
  <si>
    <t>J:\P5000468\Reports\Stage 1 Report\REP001 - Stage 1 Report (Rev-1).docx</t>
  </si>
  <si>
    <t>J:\P5000468\Reports\Stage 2A Report\REP002 - Stage 2a Report.docx</t>
  </si>
  <si>
    <t>Reference to 'BS60439' instead of 'BS EN 61439' was found in the following document:</t>
  </si>
  <si>
    <t>J:\P5000490\Reports\110909 Stage 1\Tullamore College REP001 Stage 1.doc</t>
  </si>
  <si>
    <t>J:\P5000490\Reports\110909 Stage 1\Tullamore College REP001 Stage 1_Rev1.doc</t>
  </si>
  <si>
    <t>J:\P5000490\Reports\110909 Stage 1\Tullamore College REP001 Stage 1_Rev2.doc</t>
  </si>
  <si>
    <t>J:\P5000490\Specs\Electrical\VOLUME 1 Section B (GCCC)  - Particular Specification.doc</t>
  </si>
  <si>
    <t>J:\P5000563\Specs\Temporary Accommodation Specification.docx</t>
  </si>
  <si>
    <t>J:\P5000569\Specs\Electrical\Electrical Volume One.doc</t>
  </si>
  <si>
    <t>J:\P5000575\Specs\Electrical\Electrical Specification- Volume 1 Rev 1.doc</t>
  </si>
  <si>
    <t>J:\P5000600\Reports\NDFA Report 3 3 Building Services Report.docx</t>
  </si>
  <si>
    <t>J:\P5000608\Specs\Mechanical\Mechanical\Temporary Accomodation Specification WCover Sheet.doc</t>
  </si>
  <si>
    <t>J:\P5000609\Reports\Bid reports\Galway ETNS\130930 Galway ETNS Rep001 A3.doc</t>
  </si>
  <si>
    <t>J:\P5000609\Reports\Bid reports\Oranmore\131002 Oranmore Rep001 A3.doc</t>
  </si>
  <si>
    <t>J:\P5000627\Specs\Mechanical\VOLUME 4 - Section 1 (NES).doc</t>
  </si>
  <si>
    <t>J:\P5000627\Specs\Mechanical\VOLUME 4 - Section 2 (Y-Clauses).doc</t>
  </si>
  <si>
    <t>J:\P5000627\Specs\Mechanical\Old Specification Documentation\Mechanical Specification Section 1 .doc</t>
  </si>
  <si>
    <t>J:\P5000627\Specs\Mechanical\Old Specification Documentation\Mechanical Specification Section 1-srm .doc</t>
  </si>
  <si>
    <t>J:\P5000627\Specs\Mechanical\Old Specification Documentation\Mechanical Specification Section 2.doc</t>
  </si>
  <si>
    <t>J:\P5000638\Bid Documents\Electrical PP Specification.doc</t>
  </si>
  <si>
    <t>J:\P5000638\Bid Documents\M&amp;E Specs\Electrical\Lot 17_Ashbourne_ Colaiste De Lacy_Electrical PP Specification.doc</t>
  </si>
  <si>
    <t>J:\P5000638\Bid Documents\M&amp;E Specs\Electrical\Lot 17_Ashbourne_Educate Together NS_Electrical P Specification.doc</t>
  </si>
  <si>
    <t>J:\P5000638\Bid Documents\M&amp;E Specs\Electrical\Lot 17_Ashbourne_Gaelscoil Na Mi_ Electrical P Specification.doc</t>
  </si>
  <si>
    <t>J:\P5000638\Bid Documents\M&amp;E Specs\Electrical\Lot 19_Midleton_Gaelscoil Mhainistir Na Corann_Electrical P Specification.doc</t>
  </si>
  <si>
    <t>J:\P5000638\Bid Documents\M&amp;E Specs\Electrical\Lot 20_Claregalway_Colaiste Bhaile Chlair_Electrical PP Specification.doc</t>
  </si>
  <si>
    <t>J:\P5000638\Bid Documents\Reports\Lot 17 Ashbourne Report.docx</t>
  </si>
  <si>
    <t>J:\P5000638\Bid Documents\Reports\Lot 19 Midleton Report.docx</t>
  </si>
  <si>
    <t>J:\P5000638\Bid Documents\Reports\Lot 20 Claregalway Report.docx</t>
  </si>
  <si>
    <t>J:\P5000647\Specs\Electrical\Electrical Specification - Volume One.doc</t>
  </si>
  <si>
    <t>Authorisation to proceed to Stage 3 (Tender Action) 24.11.2015</t>
  </si>
  <si>
    <t xml:space="preserve">Wrong Location: Stage 3 - Tender Action (tasklist) must be saved in \qa\tasklists but was found in </t>
  </si>
  <si>
    <t>j:\p5000664\letters\client\</t>
  </si>
  <si>
    <t>J:\P5000677\Bid\Lot 3\Building Services Reports\3.1 - Balbriggan\Lot 3.1 Balbriggan_Building Services Report.docx</t>
  </si>
  <si>
    <t>J:\P5000677\Bid\Lot 3\Building Services Reports\3.2 &amp; 3.3 - Powerstown\Lot 3.2&amp;3.3 Powerstown_Building Services Report.docx</t>
  </si>
  <si>
    <t>J:\P5000677\Bid\Lot 3\Electrical Specifications\3.1 - Balbriggan\Lot 3.1 Balbriggan_Electrical Specification Volume 1.docx</t>
  </si>
  <si>
    <t>J:\P5000677\Bid\Lot 3\Electrical Specifications\3.2 - Powerstown ETNS\Lot 3.2 Powerstown ETNS_Electrical Specification Volume 1.docx</t>
  </si>
  <si>
    <t>J:\P5000677\Bid\Lot 3\Electrical Specifications\3.3 - Powerstown Gaelscoil\Lot 3.3 Powerstown Gaelscoil an Chuillann_Electrical Specification Volume 1.docx</t>
  </si>
  <si>
    <t>J:\P5000677\Bid\Lot 4\Building Services Reports\4.1 - Midleton\Lot 4.1 Midleton ETNS_Building Services Report.docx</t>
  </si>
  <si>
    <t>J:\P5000677\Bid\Lot 4\Building Services Reports\4.2 - Carrigaline\Lot 4.2 Carrigaline Post Primary_Building Services Report.docx</t>
  </si>
  <si>
    <t>J:\P5000677\Bid\Lot 4\Electrical Specifications\4.1 - Midleton ETNS\Lot 4.1 Midleton ETNS_Electrical Specification Volume 1.docx</t>
  </si>
  <si>
    <t>J:\P5000677\Bid\Lot 4\Electrical Specifications\4.2 -Carrigaline Post Primary\Lot 4.2 Carrigaline_Electrical Specification Volume 1.docx</t>
  </si>
  <si>
    <t>J:\P5000677\Bid\Lot 5\Building Services Reports\5.1 - Fermoy\Lot 5.1 Fermoy_Building Services Report.docx</t>
  </si>
  <si>
    <t>J:\P5000677\Bid\Lot 5\Building Services Reports\5.2 - Limerick Gaelscoil\Lot 5.2 Limerick Gaelscoil an Raithin_Building Services Report.docx</t>
  </si>
  <si>
    <t>J:\P5000677\Bid\Lot 5\Building Services Reports\5.3 - Limerick East ETNS\Lot 5.3 Limerick East ETNS_Building Services Report.docx</t>
  </si>
  <si>
    <t>J:\P5000677\Bid\Lot 5\Building Services Reports\5.4 - Charleville\Lot 5.4 Charleville Holy Family School_Building Services Report.docx</t>
  </si>
  <si>
    <t>J:\P5000677\Bid\Lot 5\Electrical Specifications\5.1 - Fermoy\Lot 5.1 Fermoy Gaelscoil de hIde_Electrical Specification Volume 1.docx</t>
  </si>
  <si>
    <t>J:\P5000677\Bid\Lot 5\Electrical Specifications\5.2 -Limerick Gaelscoil\Lot 5.2 Limerick Gaelscoil an Raithin_Electrical Specification Volume 1.docx</t>
  </si>
  <si>
    <t>J:\P5000677\Bid\Lot 5\Electrical Specifications\5.3 -Limerick ETNS\Lot 5.3 Limerick East ETNS_Electrical Specification Volume 1.docx</t>
  </si>
  <si>
    <t>J:\P5000677\Bid\Lot 6\Electrical Specifications\6.1 - Firhouse ETNS\Lot 6.1 Firhouse ETNS_Electrical Specification Volume 1.docx</t>
  </si>
  <si>
    <t>J:\P5000677\Bid\Lot 6\Electrical Specifications\6.2 -Firhouse Gaelscoil na Giuise\Lot 6.2 Firhouse Gaelscoil na Giuise_Electrical Specification Volume 1.docx</t>
  </si>
  <si>
    <t>Too Late/Before My Time</t>
  </si>
  <si>
    <t>Too late</t>
  </si>
  <si>
    <t>Copy required for reference</t>
  </si>
  <si>
    <t>Too Late</t>
  </si>
  <si>
    <t>Replacement Consultant at Stage 3</t>
  </si>
  <si>
    <t>Alternative name used</t>
  </si>
  <si>
    <t xml:space="preserve">ok </t>
  </si>
  <si>
    <t>genuine - different revs</t>
  </si>
  <si>
    <t>project complete</t>
  </si>
  <si>
    <t>architectural isssue</t>
  </si>
  <si>
    <t>genuie - muliple project</t>
  </si>
  <si>
    <t>for architecutral phb</t>
  </si>
  <si>
    <t>Ignore, there is also a copy in the Spec folder</t>
  </si>
  <si>
    <t>These were actually carried out, the file name is what's catching you out</t>
  </si>
  <si>
    <t>Missed on this project; will attend to this in future</t>
  </si>
  <si>
    <t>There was one done for the stage 2a, just not noted in the file name</t>
  </si>
  <si>
    <t>Applicable, they are nearly identical</t>
  </si>
  <si>
    <t>True, won't happen again Ayla</t>
  </si>
  <si>
    <t>Too late for this project, on site; will attend to future projects</t>
  </si>
  <si>
    <t>Carried out, file is in a sub-folder</t>
  </si>
  <si>
    <t>Stage 2a was so long ago, not sure it was applicable back then</t>
  </si>
  <si>
    <t>Replacements at 2b</t>
  </si>
  <si>
    <t>Knockbeg, Co. Laois</t>
  </si>
  <si>
    <t>€6,046230.13</t>
  </si>
  <si>
    <t xml:space="preserve">{\rtf1\ansi\ansicpg1252\deff0\deflang2057{\fonttbl{\f0\fnil\fcharset0 Arial;}{\f1\fnil\fcharset0 MS Sans Serif;}{\f2\fswiss\fprq2\fcharset0 Calibri;}}_x000D_
\viewkind4\uc1\pard\b\fs23 Colaiste Choilm\b0\f1\fs17\par_x000D_
\par_x000D_
\pard\sa200\sl276\slmult1\f2\fs22 This 5,531m\super 2\nosupersub  secondary school was designed as a low energy research project to test and study methods of improving the environmental performance of school buildings. It is the first secondary school to achieve an \ldblquote A2\rdblquote  energy rating and has achieved the best air leakage rate of any secondary school in Ireland. The buildings form, layout, structure, and fa\'e7ade were designed to minimise the buildings energy use passively, and the building contains several new technologies that have never been applied to secondary schools in Ireland before.  The school also includes more extensive building monitoring features than any previous school.  BDP\rquote s role was to develop the sustainability strategies for the project in addition to designing the M&amp;E systems for the project.\par_x000D_
\'805,339,000 - tender figure\par_x000D_
6,300462.35 - recommended final figure including vat\par_x000D_
6,046,230.13 - final cert\par_x000D_
\pard\f1\fs17  \par_x000D_
}_x000D_
</t>
  </si>
  <si>
    <t>02/12/08 Looks like Main contractor is going into liquidation. _x000D_
Nov 2015 potential lieaks reported intenrally and extenrally._x000D_
Also refernce to a pipe installed to the oil bund for a future extenral toilet.</t>
  </si>
  <si>
    <t>24/07/2015 Stage 2b submitted_x000D_
01/12/2015 Approval recieved to go to tender</t>
  </si>
  <si>
    <t xml:space="preserve">Nov '15 - Second Stage 1 Meeting with DoES - Stage 1 Proposal is accepted for Option 3 - New Build on upper site. Architect to issue Stage 1 Addedum with information on the road. _x000D_
Stage 1 Approved Dec '15. </t>
  </si>
  <si>
    <t>Stage 2a meeting to be held 22nd Oct 2014. Stage 2a apporved and given go ahead to Stage 2b 18/12/14. Stage 2b completed by BDP Aug 15. Not submtted by DT until Dec 15- issues with QS. NB: include petrol interceptor info</t>
  </si>
  <si>
    <t>24/07/2015:_x000D_
Sent Stage 2a Due Diligence Report to the architect and identified that the previous M&amp;E consultant's budget was approximately 200k under what is required. The architect did not respond with further actions to be carried out.</t>
  </si>
  <si>
    <t>tender documents to be largely complete early January 2016</t>
  </si>
  <si>
    <t>J:\P5000563\Reports\Tender Report and Matrix\Rep005- Tender Report- Sammon.docx</t>
  </si>
  <si>
    <t>J:\P5000581\Specs\Temporary Accommodation\TAS-001 - Temp Acommodation Electrical Performance Specification.doc</t>
  </si>
  <si>
    <t>Copied Files: BDP Quality Inspection Report-Response 17 - 22</t>
  </si>
  <si>
    <t>J:\P5000651\Bid\Lot 8 - Letterkenny\Building Services Reports\Lot 8 - Letterkenny ETNS - Building Services Report.docx</t>
  </si>
  <si>
    <t>J:\P5000651\Bid\Lot 8 - Letterkenny\Electrical Specifications\Lot 8 Letterkenny ETNS_Electrical Specification Volume 1.docx</t>
  </si>
  <si>
    <t>j:\p5000651\p5000651a\qa\</t>
  </si>
  <si>
    <t>False Positive</t>
  </si>
  <si>
    <t>Replacement at later stage</t>
  </si>
  <si>
    <t>genuine due to multiple projects</t>
  </si>
  <si>
    <t>Prequal</t>
  </si>
  <si>
    <t>Replacements at later stage</t>
  </si>
  <si>
    <t>Ignore</t>
  </si>
  <si>
    <t>NA- bid document part of brief</t>
  </si>
  <si>
    <t>NA- contract doc that has tender info in it</t>
  </si>
  <si>
    <t>NA- STRUCTURAL TEAM FILES</t>
  </si>
  <si>
    <t>NA- only seems to be one</t>
  </si>
  <si>
    <t>na- keep both</t>
  </si>
  <si>
    <t>na-keep both</t>
  </si>
  <si>
    <t>na- ignore job finished</t>
  </si>
  <si>
    <t>na- BDP architects files</t>
  </si>
  <si>
    <t>na- keep both- not same file</t>
  </si>
  <si>
    <t>NA- job completed-old spec</t>
  </si>
  <si>
    <t>NA- its in there under MISA folder in specs as more than one building</t>
  </si>
  <si>
    <t>NA- job completed- hard copy file</t>
  </si>
  <si>
    <t>NA- job completed</t>
  </si>
  <si>
    <t>NA- job completed- old stage procedures</t>
  </si>
  <si>
    <t>it was in a separate folder- moved out now</t>
  </si>
  <si>
    <t>NA NO STAGE 2A</t>
  </si>
  <si>
    <t>NA- ONLY STARTING STAGE 2A</t>
  </si>
  <si>
    <t>NA- appointed from stage 2b only</t>
  </si>
  <si>
    <t>NA- job completed- no -stage 2a</t>
  </si>
  <si>
    <t>No stage 2a</t>
  </si>
  <si>
    <t>NA- not sure where it is- stage 2b now done</t>
  </si>
  <si>
    <t>NA- not sure where it is- project checked and tendered now</t>
  </si>
  <si>
    <t>NA- no stage 2b</t>
  </si>
  <si>
    <t>NA- its in there</t>
  </si>
  <si>
    <t>NA no stage2b but risk assesment done for design</t>
  </si>
  <si>
    <t>na- no stage 2b offically- checked by bristol</t>
  </si>
  <si>
    <t>na- design review completed</t>
  </si>
  <si>
    <t>na- project has been checked and tendered</t>
  </si>
  <si>
    <t>na stage 2b</t>
  </si>
  <si>
    <t>na- project has been checked and stage 2b submitted</t>
  </si>
  <si>
    <t>na- no stage 2b</t>
  </si>
  <si>
    <t>NA- we didn’t tender this- D&amp;B project</t>
  </si>
  <si>
    <t>NA- specs issued- on site</t>
  </si>
  <si>
    <t>NA: Spec havent been done yet??</t>
  </si>
  <si>
    <t>NA- not done yet</t>
  </si>
  <si>
    <t>NA- job completed- summer works project of main project</t>
  </si>
  <si>
    <t>NA- reports issued- on site</t>
  </si>
  <si>
    <t>NA- is in there in specs/luminare shcedule</t>
  </si>
  <si>
    <t>NA- letter its picking up is tender action letter from DOES</t>
  </si>
  <si>
    <t>ok but in backup folder</t>
  </si>
  <si>
    <t>Leopardstown</t>
  </si>
  <si>
    <t>Name</t>
  </si>
  <si>
    <t>not a bdp project</t>
  </si>
  <si>
    <t>For End Feb/Start March Forecast Review</t>
  </si>
  <si>
    <t>Add a calculation checked check</t>
  </si>
  <si>
    <t>Look at all calcs in calcsM (and CalcsE?) and see if they're indexed correctly.</t>
  </si>
  <si>
    <t>Count how many don't have an INFO tab</t>
  </si>
  <si>
    <t>Only apply to projects that have finished 2b and aren't complete</t>
  </si>
  <si>
    <t>Actions</t>
  </si>
  <si>
    <t>K:\M&amp;E\Project Management\Ayla\Issues for Runners\</t>
  </si>
  <si>
    <t>historic</t>
  </si>
  <si>
    <t>Multiple Projects because of Rapids</t>
  </si>
  <si>
    <t>Replacements at a later stage</t>
  </si>
  <si>
    <t>as per DoES requirements</t>
  </si>
  <si>
    <t>as per the TGD</t>
  </si>
  <si>
    <t>as per TGD</t>
  </si>
  <si>
    <t>€7,780,000</t>
  </si>
  <si>
    <t>17-11-2014 - Approval letter from the DoES to progress Stage 2a _x000D_
25-05-2015 - Stage 2a Submission to DoES_x000D_
19-01-2016 - Stage 2a presentation to DoES,  Pre. approval to Stage 2b; letter/comments in 2 weeks</t>
  </si>
  <si>
    <t>Brackenstown Road,_x000D_
Swords,_x000D_
Co. Dublin.</t>
  </si>
  <si>
    <t xml:space="preserve">{\rtf1\ansi\ansicpg1252\deff0\deflang2057{\fonttbl{\f0\fnil\fcharset0 Arial;}}_x000D_
\viewkind4\uc1\pard\lang6153\fs20 This project involves the extnsion of a rapid building school to generate the larger, 1000 pupil school school.  \par_x000D_
\par_x000D_
The project also involved an extension to the associated primary school, although it is unclear if this will proceed.\par_x000D_
\par_x000D_
The area of the existing school is approximately 3590m2.\par_x000D_
\par_x000D_
The area of the new building is approximately 7436m2 with an additional 955m2 of the existing building being refurbished.\lang2057\par_x000D_
}_x000D_
</t>
  </si>
  <si>
    <t>3,549,559.49</t>
  </si>
  <si>
    <t>ex vat tender sum</t>
  </si>
  <si>
    <t>Killiney,</t>
  </si>
  <si>
    <t>Engineering</t>
  </si>
  <si>
    <t>€9M</t>
  </si>
  <si>
    <t>Planning Issue Aug 16</t>
  </si>
  <si>
    <t xml:space="preserve">CSAIP UCC Cork </t>
  </si>
  <si>
    <t xml:space="preserve">{\rtf1\ansi\ansicpg1252\deff0\deflang2057{\fonttbl{\f0\fnil\fcharset0 Arial;}}_x000D_
\viewkind4\uc1\pard\fs20 BREEAM Consultant for an office development in UCC Cork\par_x000D_
}_x000D_
</t>
  </si>
  <si>
    <t xml:space="preserve">{\rtf1\ansi\ansicpg1252\deff0\deflang2057{\fonttbl{\f0\fnil\fcharset0 Microsoft Sans Serif;}}_x000D_
\viewkind4\uc1\pard\f0\fs17 BREEAM 2016 Scheme changes could result in different project requirements\par_x000D_
}_x000D_
</t>
  </si>
  <si>
    <t>Commissioning</t>
  </si>
  <si>
    <t xml:space="preserve">{\rtf1\ansi\ansicpg1252\deff0\deflang2057{\fonttbl{\f0\fnil\fcharset0 Microsoft Sans Serif;}}_x000D_
\viewkind4\uc1\pard\f0\fs17 BAM\par_x000D_
D&amp;B project\par_x000D_
Client changes\par_x000D_
}_x000D_
</t>
  </si>
  <si>
    <t>Newtownmountkennedy Co. Wicklow</t>
  </si>
  <si>
    <t>Wicklow/Ireland</t>
  </si>
  <si>
    <t xml:space="preserve">stage 2a submitted may 2015. Stage 2a approved. Stage 2b is stalled due to planning issues. Jan 16- residents have loadged appeal with ABP. </t>
  </si>
  <si>
    <t>navan, co. meath</t>
  </si>
  <si>
    <t xml:space="preserve">{\rtf1\ansi\ansicpg1252\deff0\deflang2057{\fonttbl{\f0\fnil\fcharset0 Arial;}}_x000D_
\viewkind4\uc1\pard\fs20 32 classroom primary school\par_x000D_
}_x000D_
</t>
  </si>
  <si>
    <t xml:space="preserve">{\rtf1\ansi\ansicpg1252\deff0\deflang2057{\fonttbl{\f0\fnil\fcharset0 Microsoft Sans Serif;}}_x000D_
\viewkind4\uc1\pard\f0\fs17 Project detting delayed on site.\par_x000D_
}_x000D_
</t>
  </si>
  <si>
    <t>QA Folder in J:\</t>
  </si>
  <si>
    <t>Program Folder in J:\</t>
  </si>
  <si>
    <t xml:space="preserve">{\rtf1\ansi\ansicpg1252\deff0\deflang2057{\fonttbl{\f0\fnil\fcharset0 Microsoft Sans Serif;}}_x000D_
\viewkind4\uc1\pard\f0\fs17 Client (Contractor - Stewarts) requested that we use their document management site (Procore) for uploading drawings.\par_x000D_
\par_x000D_
This has been used in place of Newforma but all document uploads have been saved in Data Out sub folders. \par_x000D_
}_x000D_
</t>
  </si>
  <si>
    <t>Tender Report</t>
  </si>
  <si>
    <t>Tender Report due 16/12/15</t>
  </si>
  <si>
    <t>On site in Feb '16</t>
  </si>
  <si>
    <t>Gaelscoil Bhaile Munna,_x000D_
Bóthar Choltraí,_x000D_
Baile Munna,_x000D_
Baile Átha Cliath 9</t>
  </si>
  <si>
    <t xml:space="preserve">{\rtf1\ansi\ansicpg1252\deff0\deflang2057{\fonttbl{\f0\fnil\fcharset0 Microsoft Sans Serif;}}_x000D_
\viewkind4\uc1\pard\f0\fs17 BDP were appointed during Tender period. Documents are based on OLM's design. BDP carried out Due Diligence and issued a Tender Addendum but have not reissued new drawings or specifications. \par_x000D_
}_x000D_
</t>
  </si>
  <si>
    <t xml:space="preserve">{\rtf1\ansi\ansicpg1252\deff0\deflang2057{\fonttbl{\f0\fnil\fcharset0 Microsoft Sans Serif;}}_x000D_
\viewkind4\uc1\pard\f0\fs17 BDP were appointed during Tender period. Documents are based on OLM's design. BDP carried out Due Diligence and issued a Tender Addendum missed a lot of the BDP Process because were appointed too late. \fs17\par_x000D_
}_x000D_
</t>
  </si>
  <si>
    <t>20015B</t>
  </si>
  <si>
    <t>Rapid Builds 2015-2016 - Lot 1 and Lot 8</t>
  </si>
  <si>
    <t>St Catherines Avenue Rush Co. Dublin</t>
  </si>
  <si>
    <t xml:space="preserve">{\rtf1\ansi\ansicpg1252\deff0\deflang2057{\fonttbl{\f0\fnil\fcharset0 Arial;}}_x000D_
\viewkind4\uc1\pard\fs20 New 16 class school with SET facility and GP Hall including associated site works, demolition of existing school and provision of temporary classrooms\par_x000D_
}_x000D_
</t>
  </si>
  <si>
    <t xml:space="preserve">{\rtf1\ansi\ansicpg1252\deff0\deflang2057{\fonttbl{\f0\fnil\fcharset0 Microsoft Sans Serif;}}_x000D_
\viewkind4\uc1\pard\f0\fs17 Main Risk is that there is a bid process and the team may not suceed in winning same.\par_x000D_
}_x000D_
</t>
  </si>
  <si>
    <t>19624T</t>
  </si>
  <si>
    <t>64520M</t>
  </si>
  <si>
    <t>Stage 2b Design</t>
  </si>
  <si>
    <t>04/01/2016 - Planning apllication</t>
  </si>
  <si>
    <t xml:space="preserve">Coonagh Cross,_x000D_
Limerick </t>
  </si>
  <si>
    <t xml:space="preserve">{\rtf1\ansi\ansicpg1252\deff0\deflang2057{\fonttbl{\f0\fnil\fcharset0 Arial;}}_x000D_
\viewkind4\uc1\pard\fs20 This is an incomplete shopping centre that was taken over by NAMA.  LIT have purchased the property to develop it into a new teaching facility.  First group of students are scheduled to start in September 2017.\par_x000D_
}_x000D_
</t>
  </si>
  <si>
    <t xml:space="preserve">{\rtf1\ansi\ansicpg1252\deff0\deflang2057{\fonttbl{\f0\fnil\fcharset0 Microsoft Sans Serif;}}_x000D_
\viewkind4\uc1\pard\f0\fs17 There is a risk that the project will be over specified/designed and we'll have to complete a serious Value Engineering exercise, so we need to ensure that an economic approach is used in the stage 2b deisgn stage.\par_x000D_
}_x000D_
</t>
  </si>
  <si>
    <t>QA Folder on J:\</t>
  </si>
  <si>
    <t>Program folder on J:\</t>
  </si>
  <si>
    <t xml:space="preserve">Knocknacarra Primary School Galway </t>
  </si>
  <si>
    <t xml:space="preserve">{\rtf1\ansi\ansicpg1252\deff0\deflang2057{\fonttbl{\f0\fnil\fcharset0 Arial;}}_x000D_
\viewkind4\uc1\pard\fs20 24 Class Primary School Rapid Build Project with Stewarts Contractors\par_x000D_
}_x000D_
</t>
  </si>
  <si>
    <t xml:space="preserve">{\rtf1\ansi\ansicpg1252\deff0\deflang2057{\fonttbl{\f0\fnil\fcharset0 Microsoft Sans Serif;}}_x000D_
\viewkind4\uc1\pard\f0\fs17 Client (Contractor - Stewarts) requested that we use their document management site (Procore) for uploading drawings.\par_x000D_
\par_x000D_
\pard This has been used in place of Newforma but all document uploads have been saved in Data Out sub folders. \fs17\par_x000D_
}_x000D_
</t>
  </si>
  <si>
    <t>Leasure</t>
  </si>
  <si>
    <t>Fermoy Co. Cork</t>
  </si>
  <si>
    <t xml:space="preserve">{\rtf1\ansi\ansicpg1252\deff0\deflang2057{\fonttbl{\f0\fnil\fcharset0 Arial;}}_x000D_
\viewkind4\uc1\pard\fs20 Rapid Build Project \par_x000D_
\par_x000D_
Lots 2-7\par_x000D_
}_x000D_
</t>
  </si>
  <si>
    <t xml:space="preserve">{\rtf1\ansi\ansicpg1252\deff0\deflang2057{\fonttbl{\f0\fnil\fcharset0 Microsoft Sans Serif;}}_x000D_
\viewkind4\uc1\pard\f0\fs17 Rapid Build project with Precast walls. \par_x000D_
}_x000D_
</t>
  </si>
  <si>
    <t xml:space="preserve">{\rtf1\ansi\ansicpg1252\deff0\deflang2057{\fonttbl{\f0\fnil\fcharset0 Microsoft Sans Serif;}}_x000D_
\viewkind4\uc1\pard\f0\fs17 We have been asked to use Procore to upload documents rather than Newforma.\par_x000D_
}_x000D_
</t>
  </si>
  <si>
    <t>PSDP</t>
  </si>
  <si>
    <t>P5000688</t>
  </si>
  <si>
    <t>Ennistymon Primary &amp; PP Schools</t>
  </si>
  <si>
    <t>Clare</t>
  </si>
  <si>
    <t xml:space="preserve">{\rtf1\ansi\ansicpg1252\deff0\deflang2057{\fonttbl{\f0\fnil\fcharset0 Microsoft Sans Serif;}{\f1\fswiss\fprq2\fcharset0 Arial;}}_x000D_
{\colortbl ;\red255\green0\blue0;}_x000D_
\viewkind4\uc1\pard\cf1\f0\fs17 12/01/2016\par_x000D_
\pard\sa160\sl252\slmult1\cf0\lang6153\f1\fs20 The most significant project risk at this stage is the project location.  The project is a long way from the office and travel time and expense can be significant.  To mitigate this risk an engineer who lives a significant way towards the site has been assigned and a second engineer who is working on other projects in the area.   A potential additional risk is that the two project time lines will separate.  This may require consideration of an additional fee claim.\par_x000D_
\pard\lang2057\f0\fs17\par_x000D_
}_x000D_
</t>
  </si>
  <si>
    <t>61950W</t>
  </si>
  <si>
    <t>J:\P5000524\Reports\Stage 2b\REP003 - Stage 2b Report - Post Primary.docx</t>
  </si>
  <si>
    <t>J:\P5000524\Reports\Stage 2b\REP003 - Stage 2b Report - Primary.docx</t>
  </si>
  <si>
    <t>J:\P5000569\Reports\Stage 1\REP001 Stage 1 Report.doc</t>
  </si>
  <si>
    <t>J:\P5000569\Reports\Stage 2a\REP002 Stage 2a Report.doc</t>
  </si>
  <si>
    <t>J:\P5000667\Reports\BDP Due Diligence Report- St.Josephs Lucan.docx</t>
  </si>
  <si>
    <t>Copied Files: erco-84426-000-en-specs-01 (1)</t>
  </si>
  <si>
    <t>Copied Files: erco-33923-000-en-specs-01</t>
  </si>
  <si>
    <t>The phrase "as per DoES requirements is not acceptable to the DoES"</t>
  </si>
  <si>
    <t>The phrase "as per the TGD is not acceptable to the DoES"</t>
  </si>
  <si>
    <t>The phrase "as per TGD is not acceptable to the DoES"</t>
  </si>
  <si>
    <t>ok, cut sheet in calcs</t>
  </si>
  <si>
    <t>too late to change - report issued</t>
  </si>
  <si>
    <t>Already sent - also refers to antoher consultant's design not being as per the TGDs, not that ours will be as per the TGDs</t>
  </si>
  <si>
    <t>Calculation Check</t>
  </si>
  <si>
    <t>Check all excel docs in CalcsM</t>
  </si>
  <si>
    <t>Check for info tab, if none add it</t>
  </si>
  <si>
    <t>Add unindexed calcs to new sheet in calcs index</t>
  </si>
  <si>
    <t>Add options for runner to move them over to index sheet (there could be some that aren't required to be indexed)</t>
  </si>
  <si>
    <t>Flag that there were some calcs found to the runner a nd refer them to the index</t>
  </si>
  <si>
    <t>Path Name Check</t>
  </si>
  <si>
    <t>Check that file paths do not exceed 255 characters</t>
  </si>
  <si>
    <t>This causes issues for Newforma and for archiving</t>
  </si>
  <si>
    <t>DES will be stadning over latent defects for other contractors works. Final PC achieved in October 2013- including the additional works changeover which involved the building of new art and home ec rooms. Project PC Sept- 13. Final account agreed feb16</t>
  </si>
  <si>
    <t>Bryan Walsh</t>
  </si>
  <si>
    <t>PHB historic records</t>
  </si>
  <si>
    <t xml:space="preserve">Note: windows doesn't seem to let you do this anyway </t>
  </si>
  <si>
    <t>Check has been added and error produced if path length &gt;= 255</t>
  </si>
  <si>
    <t>J:\Dn07222\REPORTS\BDP report on DES Letter (Rev B).doc</t>
  </si>
  <si>
    <t>J:\Dn07222\REPORTS\BDP report on DES Letter.doc</t>
  </si>
  <si>
    <t>Mech Calcs: There are 2 unindexed calculations in the CalcsM folder. Refer to the CalculationsM index for more details.</t>
  </si>
  <si>
    <t>12-06-12 - Vol 3 - Elec Enabling Works - V Sections</t>
  </si>
  <si>
    <t>j:\p5000176\specs\clarifications\130809 chilled water and heating schematic\</t>
  </si>
  <si>
    <t>j:\p5000176\qa\design review\adrian review\enabling\</t>
  </si>
  <si>
    <t>Mech Calcs: There are 57 unindexed calculations in the CalcsM folder. Refer to the CalculationsM index for more details.</t>
  </si>
  <si>
    <t>J:\P5000487\Reports\Stage 1\REP002 Stage 1 Report.doc</t>
  </si>
  <si>
    <t>J:\P5000487\Reports\Stage 1\REP002 Stage 1 Report_Rev1.doc</t>
  </si>
  <si>
    <t>J:\P5000487\Reports\Stage 1\REP002 Stage 1 Report_Rev2.doc</t>
  </si>
  <si>
    <t>J:\P5000487\Reports\Stage 2a\REP003 Stage 2A Report.doc</t>
  </si>
  <si>
    <t>J:\P5000487\Reports\Stage 2a\REP003 Stage 2A Report_rev1.doc</t>
  </si>
  <si>
    <t>J:\P5000490\Reports\REP002 - Stage 2a Report.docx</t>
  </si>
  <si>
    <t>Mech Calcs: There are 12 unindexed calculations in the CalcsM folder. Refer to the CalculationsM index for more details.</t>
  </si>
  <si>
    <t>J:\P5000522\Reports\REP002 Stage 2A Report.doc</t>
  </si>
  <si>
    <t>J:\P5000522\Reports\St Dympna's REP001 Stage 1.doc</t>
  </si>
  <si>
    <t>Mech Calcs: There are 15 unindexed calculations in the CalcsM folder. Refer to the CalculationsM index for more details.</t>
  </si>
  <si>
    <t>J:\P5000547\Reports\REP002 Stage 2a Report (Rev-4).doc</t>
  </si>
  <si>
    <t>J:\P5000548\Reports\Stage 1 Report\Mhicil Naofa REP001 Stage 1-Rev 1.doc</t>
  </si>
  <si>
    <t>J:\P5000548\Reports\Stage 1 Report\Mhicil Naofa REP001 Stage 1-Rev 2.doc</t>
  </si>
  <si>
    <t>J:\P5000560\Reports\DAC\DAC Report.docx</t>
  </si>
  <si>
    <t>J:\P5000560\Reports\FSC\FSC Report.docx</t>
  </si>
  <si>
    <t>J:\P5000563\Reports\Stage 2a\REP002 Stage 2a Report.doc</t>
  </si>
  <si>
    <t>J:\P5000563\Reports\Stage 2b\REP 004-Gaelscoil Bharra - M&amp;E Services Stage 2b Additional Report.docx</t>
  </si>
  <si>
    <t>Mech Calcs: There are 5 unindexed calculations in the CalcsM folder. Refer to the CalculationsM index for more details.</t>
  </si>
  <si>
    <t>J:\P5000607\Reports\Pre Stage 1 report\REP001 Pre-Stage 1 Report r1.doc</t>
  </si>
  <si>
    <t>Mech Calcs: There are 4 unindexed calculations in the CalcsM folder. Refer to the CalculationsM index for more details.</t>
  </si>
  <si>
    <t>J:\P5000608\Reports\Stage 2a\REP001 Stage 2a Report.doc</t>
  </si>
  <si>
    <t>J:\P5000656\Reports\BDP Due Diligence Report- Scoil Phadraig, Clane, National School REV.docx</t>
  </si>
  <si>
    <t>J:\P5000656\Reports\BDP Due Diligence Report- Scoil Phadraig, Clane, National School.docx</t>
  </si>
  <si>
    <t>J:\P5000657\DAC\Main Building\S&amp;C DAC Report.docx</t>
  </si>
  <si>
    <t>Copied Files: Schedule of Accommodation</t>
  </si>
  <si>
    <t>Duplicate Files: 2015-09-17 - SI Tender Report</t>
  </si>
  <si>
    <t>J:\P5000676\Specs\Electrical\15_01_16 - Punchestown Racecourse _Electrical Specification - Volume One.doc</t>
  </si>
  <si>
    <t>J:\P5000676\Specs\Electrical\Punchestown Racecourse _Electrical Specification - Volume One.doc</t>
  </si>
  <si>
    <t>Mech Calcs: There are 83 unindexed calculations in the CalcsM folder. Refer to the CalculationsM index for more details.</t>
  </si>
  <si>
    <t>too late to change, report issued</t>
  </si>
  <si>
    <t>plugin</t>
  </si>
  <si>
    <t>exception - not real M&amp;E job</t>
  </si>
  <si>
    <t>exception - there is a SS list</t>
  </si>
  <si>
    <t>File name must contain (1 AND 2 AND 3) OR (4 AND 5 AND 6)</t>
  </si>
  <si>
    <t>It returns a result if the file is not found or if the file is found but is in the wrong place. This looks at files on the J drive</t>
  </si>
  <si>
    <t>Activated (1/0)</t>
  </si>
  <si>
    <t>This sheet is used to control some of the hardcoded checks that Ayla does.</t>
  </si>
  <si>
    <t>Description</t>
  </si>
  <si>
    <t>RecordPHB</t>
  </si>
  <si>
    <t xml:space="preserve">Whether or not to automatically update the PHB records </t>
  </si>
  <si>
    <t>MaxPathLengths</t>
  </si>
  <si>
    <t>Macro</t>
  </si>
  <si>
    <t>Whether to report file paths that are greater than or equal to 255 characters</t>
  </si>
  <si>
    <t>CalcsM</t>
  </si>
  <si>
    <t>Whether to automatically add INFO tab to mech calcs and add unindexed calcs to CalculationsM</t>
  </si>
  <si>
    <t>Ignore calculation if path contains:</t>
  </si>
  <si>
    <t>Total Unindexed Found:</t>
  </si>
  <si>
    <t>CalcsM Parameters</t>
  </si>
  <si>
    <t>Total Un Checked Calcs:</t>
  </si>
  <si>
    <t>J:\P5000168\Project Brief\NUIG IT Cabling Brief 12-12-11\ISS NUIG Structured Cabling Specification.doc</t>
  </si>
  <si>
    <t>J:\P5000176\Specs\Electrical\PHASE 2\Tender Issue 231012 - current versions\Vol 1 - Temp Security - M&amp;E Specification no prelims 121023.doc</t>
  </si>
  <si>
    <t>J:\P5000176\Specs\Electrical\PHASE 2\Tender Issue 231012 - current versions\Vol 3 - NGI Refurb Elec Spec - Combined  190613.doc</t>
  </si>
  <si>
    <t>J:\P5000176\Specs\Electrical\PHASE 2\Tender Issue 231012 - current versions\Vol 4 - Y-Sections 121025.doc</t>
  </si>
  <si>
    <t>Mech Calcs: There are 54 unindexed calculations in the CalcsM folder. Refer to the CalculationsM index for more details.</t>
  </si>
  <si>
    <t>Mech Calcs: There are 6 indexed calculations that haven't been checked. Refer to the CalculationsM index for more details.</t>
  </si>
  <si>
    <t>Mech Calcs: There are 2 indexed calculations that haven't been checked. Refer to the CalculationsM index for more details.</t>
  </si>
  <si>
    <t>J:\P5000487\Reports\Stage 2a\REP003 Stage 2A Report_rev2 in pprogress.doc</t>
  </si>
  <si>
    <t>J:\P5000487\Specs\Electrical\Whitecross Electrical Specification - Volume One.docx</t>
  </si>
  <si>
    <t>Mech Calcs: There are 12 indexed calculations that haven't been checked. Refer to the CalculationsM index for more details.</t>
  </si>
  <si>
    <t>J:\P5000604\Brief\Submission FINAL\3.2.3 Elec General Spec.docx</t>
  </si>
  <si>
    <t>Mech Calcs: There are 137 unindexed calculations in the CalcsM folder. Refer to the CalculationsM index for more details.</t>
  </si>
  <si>
    <t>Mech Calcs: There are 11 indexed calculations that haven't been checked. Refer to the CalculationsM index for more details.</t>
  </si>
  <si>
    <t>Mech Calcs: There are 4 indexed calculations that haven't been checked. Refer to the CalculationsM index for more details.</t>
  </si>
  <si>
    <t>J:\P5000627\Specs\Electrical\Tender Issue\P5000627 Parkhall College Electrical Services Specification 24.doc</t>
  </si>
  <si>
    <t>J:\P5000651\P5000651a\Bid Submission\Building Services Reports\Lot 1.0 Rush\Lot 1.0_St Catherines National School_Rush_Building Services Report.docx</t>
  </si>
  <si>
    <t>J:\P5000651\P5000651a\Bid Submission\Electrical Specifications\Lot 1.0 Rush\Lot 21.1_St Catherine's National School_Rush_ Electrical Specification.doc</t>
  </si>
  <si>
    <t>\brief\</t>
  </si>
  <si>
    <t>client document</t>
  </si>
  <si>
    <t>Not a real project</t>
  </si>
  <si>
    <t>this is ok, they are listed in a ss tab</t>
  </si>
  <si>
    <t>pre-appointment</t>
  </si>
  <si>
    <t>\pre-appointment\</t>
  </si>
  <si>
    <t>\Simulations\</t>
  </si>
  <si>
    <t>\BER\</t>
  </si>
  <si>
    <t>\Simulation\</t>
  </si>
  <si>
    <t>Just cut sheets</t>
  </si>
  <si>
    <t>Too late to fix</t>
  </si>
  <si>
    <t>too late to fix</t>
  </si>
  <si>
    <t>17-11-2014 - DoES of NI approve project to proceed to detailed design (Letter in P5000627/Letters/Client)_x000D_
20/04/2015 - Parkhall granted Planning Permission_x000D_
08/05/2015 - Tendered</t>
  </si>
  <si>
    <t xml:space="preserve">{\rtf1\ansi\ansicpg1252\deff0\deflang2057{\fonttbl{\f0\fnil\fcharset0 Arial;}}_x000D_
{\colortbl ;\red0\green0\blue0;}_x000D_
\viewkind4\uc1\pard\cf1\fs20 Refurbishment of existing school and 4,295 m\super 2\nosupersub  extension to provide overall accommodation of 9372m2 for 1000 pupils. Refurbishment of existing school includes replacement of heating system and extensive modifications of other M&amp;E services, as well as a review of the thermal performance of the existing building \par_x000D_
\par_x000D_
\cf0 Update Oct 2015: Area of extension has been increased to \cf1 5,017 and resuidal is 5,629.25 including stairs and lifts (5389.25 without)\cf0\par_x000D_
}_x000D_
</t>
  </si>
  <si>
    <t>Mech Calcs: There are 13 unindexed calculations in the CalcsM folder. Refer to the CalculationsM index for more details.</t>
  </si>
  <si>
    <t>Copied Files: Ballina Schedule of Accommodation Jan 16</t>
  </si>
  <si>
    <t>Duplicate Files: Ballina Schedule of Accommodation Sept 15</t>
  </si>
  <si>
    <t>Copied Files: 150707 CC DD Final Draft Report - Rev B</t>
  </si>
  <si>
    <t>Too Late Project handed over</t>
  </si>
  <si>
    <t>Too late Project in Construction Original Mech Engineer has left</t>
  </si>
  <si>
    <t>Too Late Bid Issued</t>
  </si>
  <si>
    <t>Resolved</t>
  </si>
  <si>
    <t>BDP architectural files</t>
  </si>
  <si>
    <t>BDP civil/structural files</t>
  </si>
  <si>
    <t>Ignore- bristol calculations- several folders with calcs from dublina nd bristols</t>
  </si>
  <si>
    <t>JOB IS COMPLETED</t>
  </si>
  <si>
    <t>don’t think thye have one- private school. Job finished</t>
  </si>
  <si>
    <t>this is the submission- already issued</t>
  </si>
  <si>
    <t>NOTED- ALREADY ISSUED</t>
  </si>
  <si>
    <t>IGNORE- THIS WAS A DUE DILIGENCE REPORT AND WAS ACCEPTED</t>
  </si>
  <si>
    <t>BRIEF SUBMISSION- ALREADY ISSUED</t>
  </si>
  <si>
    <t>duplicate jobs in folder</t>
  </si>
  <si>
    <t>architect ayla to pick up</t>
  </si>
  <si>
    <t>CheckWordDoc</t>
  </si>
  <si>
    <t>CheckWordDoc Parameters</t>
  </si>
  <si>
    <t>Midleton Co. Cork_x000D_
Claregalway Co. Galway</t>
  </si>
  <si>
    <t>\Appointment\</t>
  </si>
  <si>
    <t>\Brief\</t>
  </si>
  <si>
    <t>\Ideas Scratch Pad\</t>
  </si>
  <si>
    <t>Whether to automatically turn on spell check in particular word documents (defined to the right)</t>
  </si>
  <si>
    <t>NUIM Masterplanning and M&amp;E summer works 2015</t>
  </si>
  <si>
    <t>Add Check to turn on spell check</t>
  </si>
  <si>
    <t>J:\P5000168\Cost Control\updated contract docs fab 14\</t>
  </si>
  <si>
    <t>J:\P5000168\Cost Control\updated contract docs nov 13\</t>
  </si>
  <si>
    <t>J:\P5000168\Cost Control\Value engineering\</t>
  </si>
  <si>
    <t>J:\P5000168\Specs\Electrical\Equipment Schedules (old)\Lights\</t>
  </si>
  <si>
    <t>J:\P5000168\manufacturers\chillers\</t>
  </si>
  <si>
    <t>J:\P5000168\manufacturers\chillers\york\</t>
  </si>
  <si>
    <t>J:\P5000168\manufacturers\Underfloor Heating\09-12-03\</t>
  </si>
  <si>
    <t>J:\P5000168\manufacturers\Underfloor Heating\10-01-05\</t>
  </si>
  <si>
    <t>J:\P5000168\Project Brief\12-08-30 Revised NUIG Services Generic Specifications\</t>
  </si>
  <si>
    <t>J:\P5000168\Project Brief\NEW REQUIRMENTS FOR DOCUMENT UPDATING\</t>
  </si>
  <si>
    <t>J:\P5000168\Project Brief\NUIG IT Cabling Brief 12-08-10\</t>
  </si>
  <si>
    <t>J:\P5000168\Project Brief\NOC comments april 14\</t>
  </si>
  <si>
    <t>J:\P5000168\Project Brief\NOC commnets 14-04-14\</t>
  </si>
  <si>
    <t>J:\P5000168\Project Brief\NUIG AV Brief 2012\12-10-12\</t>
  </si>
  <si>
    <t>J:\P5000168\Specs\Electrical\HBB  APPENDIX\SECTION 5\</t>
  </si>
  <si>
    <t>J:\P5000168\Project Brief\NUIG IT Cabling Brief 12-12-11\</t>
  </si>
  <si>
    <t>J:\P5000168\Specs\Electrical\HBB  APPENDIX\SECTION 1\</t>
  </si>
  <si>
    <t>J:\P5000168\Specs\Electrical\</t>
  </si>
  <si>
    <t>J:\P5000168\Specs\Electrical\Specs just for option One\</t>
  </si>
  <si>
    <t>J:\P5000168\Specs\Electrical\Equipment Schedules (new )\</t>
  </si>
  <si>
    <t>J:\P5000168\Specs\Electrical\Equipment Schedules (new )\Lights\</t>
  </si>
  <si>
    <t>J:\P5000168\Specs\Electrical\Equipment Schedules (old)\</t>
  </si>
  <si>
    <t>J:\P5000168\Specs\Electrical\Equipment Schedules (old)\Old\</t>
  </si>
  <si>
    <t>J:\P5000168\Specs\Enabling Works Contract\ESB information\</t>
  </si>
  <si>
    <t>J:\P5000168\Utilities\ESB\</t>
  </si>
  <si>
    <t>J:\P5000168\Specs\Mechanical\</t>
  </si>
  <si>
    <t>J:\P5000168\Specs\Mechanical\Value engineering removed items\</t>
  </si>
  <si>
    <t>J:\P5000168\Specs\Mechanical\OPTION a VERSIONS\</t>
  </si>
  <si>
    <t>J:\P5000168\SPSheet\Prequalifications\Electrical\</t>
  </si>
  <si>
    <t>J:\P5000168\SPSheet\Prequalifications\Mechanical\</t>
  </si>
  <si>
    <t>J:\P5000417\Asite Documents\Project Fitzwilliam\Actions\December 2013\</t>
  </si>
  <si>
    <t>J:\P5000417\Asite Documents\Project Fitzwilliam\Comments\</t>
  </si>
  <si>
    <t>J:\P5000417\RJS holidays 0614\ESB HEADQUARTERS\Utilities\</t>
  </si>
  <si>
    <t>J:\P5000417\Utilities Information\ESB\</t>
  </si>
  <si>
    <t>J:\P5000168\Specs\Enabling Works Contract\archive specification\</t>
  </si>
  <si>
    <t>J:\P5000168\Specs\Mechanical\Aras Ui Chathail Boiler Replacement\Not to be issued (Was Ger's)\</t>
  </si>
  <si>
    <t>J:\P5000603\Specs\Hume Building\</t>
  </si>
  <si>
    <t>J:\P5000603\Specs\Mechanical\</t>
  </si>
  <si>
    <t>J:\P5000603\Specs\Phase II Science\</t>
  </si>
  <si>
    <t>J:\P5000527\Calculations\CalcsM\BER\Documentation\</t>
  </si>
  <si>
    <t>J:\P5000527\Completion certs\Reports\</t>
  </si>
  <si>
    <t>J:\P5000603\Presentations\Student Poster\</t>
  </si>
  <si>
    <t>J:\P5000603\Reports\Brochures\131218 Rethinking Maynooth\Images\</t>
  </si>
  <si>
    <t>J:\P5000603\Reports\BDP_condition_analysis\</t>
  </si>
  <si>
    <t>J:\P5000603\Reports\Brochures\140221_report_progress_presentation\</t>
  </si>
  <si>
    <t>J:\P5000603\Reports\Tender Report and Matrix\River Apartments Tenders\Celsius Tender Response\Suitability Assessment Questionnaire &amp; Supplements\3.3\3.3f\</t>
  </si>
  <si>
    <t>J:\P5000603\Reports\Tender Report and Matrix\River Apartments Tenders\Celsius Tender Response\Suitability Assessment Questionnaire &amp; Supplements\3.3\3.3g\</t>
  </si>
  <si>
    <t>J:\P5000603\Specs\Callan\</t>
  </si>
  <si>
    <t>J:\P5000639\Cost Control\Cost Reports\</t>
  </si>
  <si>
    <t>J:\P5000639\ZP5000639SPC015\Cost Control\Cost Reports\</t>
  </si>
  <si>
    <t>J:\P5000639\New Forma\14.10.15\</t>
  </si>
  <si>
    <t>J:\P5000639\SPSheet\Fees\</t>
  </si>
  <si>
    <t>J:\P5000639\Reports\141001_NCH Design Committee Presentation\</t>
  </si>
  <si>
    <t>J:\P5000639\Reports\Concept Design Report\</t>
  </si>
  <si>
    <t>J:\P5000448\Brief\</t>
  </si>
  <si>
    <t>J:\P5000448\Pre Appointment\</t>
  </si>
  <si>
    <t>J:\P5000448\Cost Control\Tender Report\</t>
  </si>
  <si>
    <t>J:\P5000448\Reports\</t>
  </si>
  <si>
    <t>J:\P5000448\Cost Control\Tender Report\First Contractor\</t>
  </si>
  <si>
    <t>J:\P5000448\Cost Control\Value Engineering\</t>
  </si>
  <si>
    <t>J:\P5000448\Cost Control\Value Engineering\15-03-23 - Update and Schedule of Savings\</t>
  </si>
  <si>
    <t>J:\P5000448\Reports\Site Investigations\</t>
  </si>
  <si>
    <t>J:\P5000448\Specs\Architectural\</t>
  </si>
  <si>
    <t>J:\P5000524\Specs\Mechanical\Primary School\</t>
  </si>
  <si>
    <t>J:\P5000524\Specs\Mechanical\Secondary School\</t>
  </si>
  <si>
    <t>J:\P5000600\Reports\</t>
  </si>
  <si>
    <t>J:\P5000600\Reports\Final Submission\</t>
  </si>
  <si>
    <t>J:\P5000176\Reports\Tender Report and Matrix\</t>
  </si>
  <si>
    <t>J:\P5000176\Reports\Tender Report and Matrix\11_0426-Dilapidation Survey\</t>
  </si>
  <si>
    <t>J:\P5000176\QA\Design Review\adrian review\Security ROOM\</t>
  </si>
  <si>
    <t>J:\P5000176\Specs\Electrical\PHASE 2\Enabling\Security Room (Inc Specialist)\</t>
  </si>
  <si>
    <t>J:\P5000176\QA\Design Review\adrian review\Enabling\</t>
  </si>
  <si>
    <t>J:\P5000176\Specs\Electrical\PHASE 2\Enabling\Boiler &amp; Board Works\</t>
  </si>
  <si>
    <t>J:\P5000515\Calculations\Calcs Arch\</t>
  </si>
  <si>
    <t>J:\P5000515\Misc\</t>
  </si>
  <si>
    <t>J:\P5000515\Reports\111216 Munster Rugby\Links\</t>
  </si>
  <si>
    <t>J:\P5000560\Reports\S&amp;C REPORT\</t>
  </si>
  <si>
    <t>J:\P5000560\Reports\Stage 2a\Brochure\Links\</t>
  </si>
  <si>
    <t>J:\P5000587\Reports\Design Reports\Equipment Materials Lab\</t>
  </si>
  <si>
    <t>J:\P5000587\Temp RJS holiday folder\Limerick Labs 2\Equipment Materials Lab\</t>
  </si>
  <si>
    <t>J:\P5000657\SPC012-IFIL\Ideas Scratch Pad\Architectural\graphics\report\</t>
  </si>
  <si>
    <t>J:\P5000657\SPC012-IFIL\Reports\Temp Signage\report\</t>
  </si>
  <si>
    <t>J:\P5000657\SPC018-CNC Machining Room\BC(A)R\Completion\Ancillary Inspection Plan Certificates\</t>
  </si>
  <si>
    <t>J:\P5000657\SPC018-CNC Machining Room\BC(A)R\Completion\ISSUED\Ancillary Inspection Plan Certificates\</t>
  </si>
  <si>
    <t>J:\P5000657\SPC001-IT Sandbox\Cost Control\Cost Reports\</t>
  </si>
  <si>
    <t>J:\P5000657\SPC002-Student Centred Campus\Cost Control\Cost Reports\</t>
  </si>
  <si>
    <t>J:\P5000657\SPC003-Student Support Service\Cost Control\Cost Reports\</t>
  </si>
  <si>
    <t>J:\P5000657\SPC004-Student Centred Exams\Cost Control\Cost Reports\</t>
  </si>
  <si>
    <t>J:\P5000657\SPC005-Student Project+Group Meeting\Cost Control\Cost Reports\</t>
  </si>
  <si>
    <t>J:\P5000657\SPC006-Problem Based Learning Space\Cost Control\Cost Reports\</t>
  </si>
  <si>
    <t>J:\P5000657\SPC007-Training Restaurant Timber Floor\Cost Control\Cost Reports\</t>
  </si>
  <si>
    <t>J:\P5000657\SPC008-Thurles Staff Accommodation\Cost Control\Cost Reports\</t>
  </si>
  <si>
    <t>J:\P5000657\SPC009-Sports Kinesthetic Studio\Cost Control\Cost Reports\</t>
  </si>
  <si>
    <t>J:\P5000657\SPC010-Research+Postgrad Space for LSAD\Cost Control\Cost Reports\</t>
  </si>
  <si>
    <t>J:\P5000657\SPC011-Clare St Maintenance+Upgrade\Cost Control\Cost Reports\</t>
  </si>
  <si>
    <t>J:\P5000657\SPC012-IFIL\Cost Control\Cost Reports\</t>
  </si>
  <si>
    <t>J:\P5000657\SPC013-GQ Studios\Cost Control\Cost Reports\</t>
  </si>
  <si>
    <t>J:\P5000657\SPC014-LSAD Clonmel Mods\Cost Control\Cost Reports\</t>
  </si>
  <si>
    <t>J:\P5000657\SPC015-Business+Humanities Computer Lab\Cost Control\Cost Reports\</t>
  </si>
  <si>
    <t>J:\P5000657\SPC016-Prefab or Rented Research Office+Lab\Cost Control\Cost Reports\</t>
  </si>
  <si>
    <t>J:\P5000657\SPC017-Library Development\Cost Control\Cost Reports\</t>
  </si>
  <si>
    <t>J:\P5000657\SPC018-CNC Machining Room\Cost Control\Cost Reports\</t>
  </si>
  <si>
    <t>J:\P5000657\SPC019-Building Measurement+Cost Control\Cost Control\Cost Reports\</t>
  </si>
  <si>
    <t>J:\P5000657\SPC020-BIM Computer Lab\Cost Control\Cost Reports\</t>
  </si>
  <si>
    <t>J:\P5000657\SPC021-Energy Lab\Cost Control\Cost Reports\</t>
  </si>
  <si>
    <t>J:\P5000657\SPC022-Hydraulics,Hydrology+Structures\Cost Control\Cost Reports\</t>
  </si>
  <si>
    <t>J:\P5000657\SPC023-Interior Design Studios\Cost Control\Cost Reports\</t>
  </si>
  <si>
    <t>J:\P5000657\SPC024-Med Tech\Cost Control\Cost Reports\</t>
  </si>
  <si>
    <t>J:\P5000657\SPC025-Questum Furniture+Equipment\Cost Control\Cost Reports\</t>
  </si>
  <si>
    <t>J:\P5000657\SPC026-UATs\Cost Control\Cost Reports\</t>
  </si>
  <si>
    <t>J:\P5000657\SPC027-Front Entrance Accessibility\Cost Control\Cost Reports\</t>
  </si>
  <si>
    <t>J:\P5000657\SPC028-Small Flat Teaching Spaces\Cost Control\Cost Reports\</t>
  </si>
  <si>
    <t>J:\P5000657\SPC029-Georges Quay Student Facilities\Cost Control\Cost Reports\</t>
  </si>
  <si>
    <t>J:\P5000657\SPC030-Admin Staff Offices\Cost Control\Cost Reports\</t>
  </si>
  <si>
    <t>J:\P5000657\SPC031-Thurles Issue Desk Relocation\Cost Control\Cost Reports\</t>
  </si>
  <si>
    <t>J:\P5000657\SPC032-TV Studio\Cost Control\Cost Reports\</t>
  </si>
  <si>
    <t>J:\P5000657\SPC033-Moylish Compliances Generally\Cost Control\Cost Reports\</t>
  </si>
  <si>
    <t>J:\P5000657\SPC034-Green Rooms Fire Cert\Cost Control\Cost Reports\</t>
  </si>
  <si>
    <t>J:\P5000657\SPC035-Misc Projects Fund\Cost Control\Cost Reports\</t>
  </si>
  <si>
    <t>J:\P5000657\SPC036-Common Delivery of Modules in Large Spaces\Cost Control\Cost Reports\</t>
  </si>
  <si>
    <t>J:\P5000657\SPC037-Concrete+Soils Lab Roof Repairs\Cost Control\Cost Reports\</t>
  </si>
  <si>
    <t>J:\P5000657\SPC037-Concrete+Soils Lab Roof Repairs\SPC004-Student Centred Exams\Cost Control\Cost Reports\</t>
  </si>
  <si>
    <t>J:\P5000657\SPC038-Block 14 Capacity Increase\Cost Control\Cost Reports\</t>
  </si>
  <si>
    <t>J:\P5000657\SPC039-Dec 15 Accessibility Compliance\Cost Control\Cost Reports\</t>
  </si>
  <si>
    <t>J:\P5000657\SPC040-North Entrance Matwell\Cost Control\Cost Reports\</t>
  </si>
  <si>
    <t>J:\P5000657\SPC041-Creative Studios Lab Moylish\Cost Control\Cost Reports\</t>
  </si>
  <si>
    <t>J:\P5000657\SPC042-Creative Studios Lab Thurles\Cost Control\Cost Reports\</t>
  </si>
  <si>
    <t>J:\P5000657\SPC043-Food Sampling Lab\Cost Control\Cost Reports\</t>
  </si>
  <si>
    <t>J:\P5000657\SPC044-TBC\Cost Control\Cost Reports\</t>
  </si>
  <si>
    <t>J:\P5000657\SPC045-Fitzgibbon 2015\Cost Control\Cost Reports\</t>
  </si>
  <si>
    <t>J:\P5000515\Reports\120229 Presentations for LIT US trip\ISSUE\Desmond\Links\</t>
  </si>
  <si>
    <t>J:\P5000515\Reports\120229 Presentations for LIT US trip\ISSUE\LIT Masterplan\Links\</t>
  </si>
  <si>
    <t>J:\P5000627\Specs\Mechanical\</t>
  </si>
  <si>
    <t>J:\P5000627\Specs\Mechanical\PDF\</t>
  </si>
  <si>
    <t>J:\P5000627\Reports\ICT Report\</t>
  </si>
  <si>
    <t>J:\P5000627\Reports\Review &amp; Feedback Process (2014)\</t>
  </si>
  <si>
    <t>J:\P5000587\Cost Control\Loose Furn\</t>
  </si>
  <si>
    <t>J:\P5000587\Cost Control\Variations\Change Order 03\</t>
  </si>
  <si>
    <t>J:\P5000560\Reports\S&amp;C REPORT\Stage 1 report\</t>
  </si>
  <si>
    <t>J:\P5000560\Reports\Stage 2a\</t>
  </si>
  <si>
    <t>J:\P5000515\Reports\120229 Presentations for LIT US trip\ISSUE\Ormond\Links\</t>
  </si>
  <si>
    <t>J:\P5000515\Reports\120229 Presentations for LIT US trip\Ormond\InDesign\Ormond Folder\Links\</t>
  </si>
  <si>
    <t>J:\P5000627\Specs\Covers Etc\</t>
  </si>
  <si>
    <t>J:\P5000627\Specs\Electrical\</t>
  </si>
  <si>
    <t>J:\P5000627\Specs\Lift\</t>
  </si>
  <si>
    <t>J:\P5000627\Reports\Acoustics Specialist\2009 Reports\</t>
  </si>
  <si>
    <t>J:\P5000627\RJS Holiday 0614\Tender 02-09\Reports\Acoustic\</t>
  </si>
  <si>
    <t>J:\P5000627\Reports\LED Comparison\</t>
  </si>
  <si>
    <t>J:\P5000657\SPC018-CNC Machining Room\BC(A)R\</t>
  </si>
  <si>
    <t>J:\P5000657\SPC018-CNC Machining Room\BC(A)R\Commencement Notice\Supporting Documents\</t>
  </si>
  <si>
    <t>J:\P5000509\Cost Control\Budgets\Stage 2a Budget\</t>
  </si>
  <si>
    <t>J:\P5000509\Reports\Stage 2a Report\Appendices\</t>
  </si>
  <si>
    <t>J:\P5000587\Specs\Electrical\</t>
  </si>
  <si>
    <t>J:\P5000587\Temp RJS holiday folder\Limerick Labs 2\SPEC\</t>
  </si>
  <si>
    <t>J:\P5000515\Reports\120229 Presentations for LIT US trip\ISSUE\Thomond\Links\</t>
  </si>
  <si>
    <t>J:\P5000515\Reports\120229 Presentations for LIT US trip\Thomond\InDesign\Thomond Folder\Links\</t>
  </si>
  <si>
    <t>J:\P5000657\Minutes\Site Reviews\</t>
  </si>
  <si>
    <t>J:\P5000657\SPC018-CNC Machining Room\Minutes\Site Inspections\</t>
  </si>
  <si>
    <t>J:\P5000657\SPC043-Food Sampling Lab\Minutes\Site Inspection Notes\</t>
  </si>
  <si>
    <t>J:\P5000627\Cost Control\Budgets\pre tender\</t>
  </si>
  <si>
    <t>J:\P5000627\Specs\</t>
  </si>
  <si>
    <t>J:\P5000657\QA\</t>
  </si>
  <si>
    <t>J:\P5000657\SPC012-IFIL\QA\</t>
  </si>
  <si>
    <t>J:\P5000657\SPC018-CNC Machining Room\QA\</t>
  </si>
  <si>
    <t>J:\P5000657\SPC037-Concrete+Soils Lab Roof Repairs\SPC004-Student Centred Exams\QA\</t>
  </si>
  <si>
    <t>J:\P5000657\SPC043-Food Sampling Lab\QA\</t>
  </si>
  <si>
    <t>J:\P5000560\Specs\Mechanical\</t>
  </si>
  <si>
    <t>J:\P5000560\Specs\Mechanical\Main Campus Plant Room Changes\</t>
  </si>
  <si>
    <t>J:\P5000627\Reports\ICT Report\Rev A\</t>
  </si>
  <si>
    <t>J:\P5000587\Reports\Furn Report\Furniture Schedule\</t>
  </si>
  <si>
    <t>J:\P5000657\Specs\Summer Works 2015\Elec\Front Entrance\</t>
  </si>
  <si>
    <t>J:\P5000657\Specs\Summer Works 2015\Teaching &amp; WCs\Mech\</t>
  </si>
  <si>
    <t>J:\P5000657\SPC001-IT Sandbox\Brief\</t>
  </si>
  <si>
    <t>J:\P5000657\SPC003-Student Support Service\Brief\</t>
  </si>
  <si>
    <t>J:\P5000657\SPC004-Student Centred Exams\Brief\</t>
  </si>
  <si>
    <t>J:\P5000657\SPC005-Student Project+Group Meeting\Brief\</t>
  </si>
  <si>
    <t>J:\P5000657\SPC006-Problem Based Learning Space\Brief\</t>
  </si>
  <si>
    <t>J:\P5000657\SPC007-Training Restaurant Timber Floor\Brief\</t>
  </si>
  <si>
    <t>J:\P5000657\SPC008-Thurles Staff Accommodation\Brief\</t>
  </si>
  <si>
    <t>J:\P5000657\SPC009-Sports Kinesthetic Studio\Brief\</t>
  </si>
  <si>
    <t>J:\P5000657\SPC010-Research+Postgrad Space for LSAD\Brief\</t>
  </si>
  <si>
    <t>J:\P5000657\SPC011-Clare St Maintenance+Upgrade\Brief\</t>
  </si>
  <si>
    <t>J:\P5000657\SPC012-IFIL\Brief\</t>
  </si>
  <si>
    <t>J:\P5000657\SPC013-GQ Studios\Brief\</t>
  </si>
  <si>
    <t>J:\P5000657\SPC014-LSAD Clonmel Mods\Brief\</t>
  </si>
  <si>
    <t>J:\P5000657\SPC015-Business+Humanities Computer Lab\Brief\</t>
  </si>
  <si>
    <t>J:\P5000657\SPC016-Prefab or Rented Research Office+Lab\Brief\</t>
  </si>
  <si>
    <t>J:\P5000657\SPC017-Library Development\Brief\</t>
  </si>
  <si>
    <t>J:\P5000657\SPC019-Building Measurement+Cost Control\Brief\</t>
  </si>
  <si>
    <t>J:\P5000657\SPC020-BIM Computer Lab\Brief\</t>
  </si>
  <si>
    <t>J:\P5000657\SPC021-Energy Lab\Brief\</t>
  </si>
  <si>
    <t>J:\P5000657\SPC022-Hydraulics,Hydrology+Structures\Brief\</t>
  </si>
  <si>
    <t>J:\P5000657\SPC025-Questum Furniture+Equipment\Brief\</t>
  </si>
  <si>
    <t>J:\P5000657\SPC028-Small Flat Teaching Spaces\Brief\</t>
  </si>
  <si>
    <t>J:\P5000657\SPC029-Georges Quay Student Facilities\Brief\</t>
  </si>
  <si>
    <t>J:\P5000657\SPC030-Admin Staff Offices\Brief\</t>
  </si>
  <si>
    <t>J:\P5000657\SPC031-Thurles Issue Desk Relocation\Brief\</t>
  </si>
  <si>
    <t>J:\P5000657\SPC032-TV Studio\Brief\</t>
  </si>
  <si>
    <t>J:\P5000657\SPC033-Moylish Compliances Generally\Brief\</t>
  </si>
  <si>
    <t>J:\P5000657\SPC034-Green Rooms Fire Cert\Brief\</t>
  </si>
  <si>
    <t>J:\P5000657\SPC035-Misc Projects Fund\Brief\</t>
  </si>
  <si>
    <t>J:\P5000657\SPC036-Common Delivery of Modules in Large Spaces\Brief\</t>
  </si>
  <si>
    <t>J:\P5000657\SPC037-Concrete+Soils Lab Roof Repairs\Brief\</t>
  </si>
  <si>
    <t>J:\P5000657\SPC037-Concrete+Soils Lab Roof Repairs\SPC004-Student Centred Exams\Brief\</t>
  </si>
  <si>
    <t>J:\P5000657\SPC038-Block 14 Capacity Increase\Brief\</t>
  </si>
  <si>
    <t>J:\P5000657\SPC039-Dec 15 Accessibility Compliance\Brief\</t>
  </si>
  <si>
    <t>J:\P5000657\SPC040-North Entrance Matwell\Brief\</t>
  </si>
  <si>
    <t>J:\P5000657\SPC041-Creative Studios Lab Moylish\Brief\</t>
  </si>
  <si>
    <t>J:\P5000657\SPC042-Creative Studios Lab Thurles\Brief\</t>
  </si>
  <si>
    <t>J:\P5000657\SPC044-TBC\Brief\</t>
  </si>
  <si>
    <t>J:\P5000657\SPC045-Fitzgibbon 2015\Brief\</t>
  </si>
  <si>
    <t>J:\P5000595\Reports\</t>
  </si>
  <si>
    <t>J:\P5000595\Reports\Moylish Computer Suite Report\Moylish Computer Area Ventilation Report\</t>
  </si>
  <si>
    <t>J:\P5000604\Brief\</t>
  </si>
  <si>
    <t>J:\P5000604\Specs\Mechanical\</t>
  </si>
  <si>
    <t>J:\P5000604\Contracts\14-10-16 BAM Tender Docs\Document Issue Sheet 1\Mech &amp; Elec Works Requirements\Survey Records\Murphy Survey\</t>
  </si>
  <si>
    <t>J:\P5000604\Contracts\14-10-16 BAM Tender Docs\Document Issue Sheet 3\Multi Faith Center - Tender Issue\Tender Issue\Tender Addendum\Survey Record As Fitted Drawings\MISA Site Murphy Survey\</t>
  </si>
  <si>
    <t>J:\P5000661\Letters\Tender Invites\Civil &amp; Structural\SI tender\SI companies\Causeway Geotech\15-09-09\</t>
  </si>
  <si>
    <t>J:\P5000661\Letters\Tender Invites\Civil &amp; Structural\SI tender\SI companies\Ground Investigations Ireland\15-09-09\</t>
  </si>
  <si>
    <t>J:\P5000661\Letters\Tender Invites\Civil &amp; Structural\SI tender\SI companies\Groundcheck ltd\15-09-09\</t>
  </si>
  <si>
    <t>J:\P5000661\Letters\Tender Invites\Civil &amp; Structural\SI tender\SI companies\IGSL\15-09-09\</t>
  </si>
  <si>
    <t>J:\P5000661\Letters\Tender Invites\Civil &amp; Structural\SI tender\SI companies\Irish Drilling\15-09-09\</t>
  </si>
  <si>
    <t>J:\P5000661\Letters\Tender Invites\Civil &amp; Structural\SI tender\SI companies\SI tender scope\</t>
  </si>
  <si>
    <t>J:\P5000661\Specs\C&amp;S\SI Spec\SI tender scope\</t>
  </si>
  <si>
    <t>J:\P5000604\Snag Lists\Correction Action Notices\</t>
  </si>
  <si>
    <t>J:\P5000604\Snag Lists\Correction Action Notices\Mechanical\</t>
  </si>
  <si>
    <t>J:\Dn07222\SPECS\ELECTRICAL\Tender Issue Jan 13\</t>
  </si>
  <si>
    <t>J:\Dn07222\SPECS\Tender Issue Jan 13\</t>
  </si>
  <si>
    <t>J:\P5000604\Brief\JVT M&amp;E Works Requirements\Documents\</t>
  </si>
  <si>
    <t>J:\P5000604\Contracts\14-10-16 BAM Tender Docs\Document Issue Sheet 1\Mech &amp; Elec Works Requirements\Documents\</t>
  </si>
  <si>
    <t>J:\P5000604\Calculations\CalcsE\</t>
  </si>
  <si>
    <t>J:\P5000604\Calculations\CalcsM\14-06-16- Calculations from Bristol J drive\Amtech\</t>
  </si>
  <si>
    <t>J:\Dn07222\Costs\tender costs\</t>
  </si>
  <si>
    <t>J:\Dn07222\MINUTES\Site meetings\New building\</t>
  </si>
  <si>
    <t>J:\Dn07222\Commissioning\Sports Centre\Electrical - Sports Centre Certs\Mechanical\Mech - certs\Water Disinfection\</t>
  </si>
  <si>
    <t>J:\Dn07222\Commissioning\Sports Centre\mechanical- sports centre certs\</t>
  </si>
  <si>
    <t>J:\Dn07222\Health &amp; Safety\Emergency Works\</t>
  </si>
  <si>
    <t>J:\Dn07222\REPORTS\PSDP\Emergency Gas Works\</t>
  </si>
  <si>
    <t>J:\Dn07222\MINUTES\Site meetings\New building\Contractors Reports &amp; Programme\</t>
  </si>
  <si>
    <t>J:\Dn07222\MINUTES\Site meetings\New building\Contractors Reports &amp; Programme\Progress report 19\</t>
  </si>
  <si>
    <t>J:\P5000661\Ideas Scratch Pad\Architect\Initial thoughts and sources\Ballina\PROJECT LAUNCH\ARCHITECTS\</t>
  </si>
  <si>
    <t>J:\P5000661\QA\Project Launch\Architecture\</t>
  </si>
  <si>
    <t>J:\Dn07222\Utility\Main schools energy bills\</t>
  </si>
  <si>
    <t>J:\Dn07222\Utility\Sports centre\</t>
  </si>
  <si>
    <t>J:\P5000604\Specs\Electrical\MISA\</t>
  </si>
  <si>
    <t>J:\P5000567\Specs\Electrical\</t>
  </si>
  <si>
    <t>J:\P5000567\Specs\Electrical\GCCC Specs- DO NOT USE\</t>
  </si>
  <si>
    <t>J:\Dn07222\SPECS\Emergency Works\</t>
  </si>
  <si>
    <t>J:\Dn07222\SPECS\Mechancial\</t>
  </si>
  <si>
    <t>J:\Dn07222\SPECS\Specs that were updated but not sent\</t>
  </si>
  <si>
    <t>J:\P5000567\Specs\Mechanical\</t>
  </si>
  <si>
    <t>J:\P5000567\Specs\Mechanical\GCCC specs- DO NOT USE\</t>
  </si>
  <si>
    <t>J:\P5000548\Minutes\Design reviews\Copy of 2a report with comments shown in red\</t>
  </si>
  <si>
    <t>J:\P5000548\Reports\Stage 2a\</t>
  </si>
  <si>
    <t>J:\Dn07222\SPECS\ELECTRICAL\</t>
  </si>
  <si>
    <t>J:\P5000661\Reference\Architectural\Example reports\</t>
  </si>
  <si>
    <t>J:\P5000524\Specs\Mechanical\Primary School\old version with window bms link\</t>
  </si>
  <si>
    <t>J:\P5000176\Contractor Selection Prequals\120710 M&amp;E&amp;L Prequal Assessments\Pre Qual Electrical\</t>
  </si>
  <si>
    <t>J:\P5000176\Reports\Tender Report and Matrix\PreQual\Pre Qual Electrical\</t>
  </si>
  <si>
    <t>J:\P5000176\Contractor Selection Prequals\120710 M&amp;E&amp;L Prequal Assessments\Pre Qual Lifts\</t>
  </si>
  <si>
    <t>J:\P5000176\Reports\Tender Report and Matrix\PreQual\Pre Qual Lifts\</t>
  </si>
  <si>
    <t>J:\P5000176\Contractor Selection Prequals\120710 M&amp;E&amp;L Prequal Assessments\Pre Qual Mechanical\</t>
  </si>
  <si>
    <t>J:\P5000176\Reports\Tender Report and Matrix\PreQual\Pre Qual Mechanical\</t>
  </si>
  <si>
    <t>J:\P5000638\Specs\Mechanical\Claregalway\</t>
  </si>
  <si>
    <t>J:\P5000638\Specs\Mechanical\Midleton\</t>
  </si>
  <si>
    <t>J:\P5000638\Bid Documents\M&amp;E Specs\Primary Specs\Generic Equipment Schedules\</t>
  </si>
  <si>
    <t>J:\P5000677\Bid\Lot 3\Mechanical Specifications\Lot 3.3 Powerstown Gaelscoil\Reference\</t>
  </si>
  <si>
    <t>J:\P5000677\Bid\Lot 4\Mechanical Specifications\Lot 4.1 - Midleton ETNS\Word Docs\</t>
  </si>
  <si>
    <t>J:\P5000677\Bid\Lot 5\Mechanical Specifications\Lot 5.1 - Fermoy\Word Docs\</t>
  </si>
  <si>
    <t>J:\P5000677\Bid\Lot 5\Mechanical Specifications\Lot 5.2 -  Limerick Gaelscoil\Word Docs\</t>
  </si>
  <si>
    <t>J:\P5000677\Bid\Lot 5\Mechanical Specifications\Lot 5.3 -  Limerick ETNS\Word Docs\</t>
  </si>
  <si>
    <t>J:\P5000677\Bid\Lot 5\Mechanical Specifications\Lot 5.4 -  Charleville\Word Docs\</t>
  </si>
  <si>
    <t>J:\P5000677\Bid\Lot 6\Mechanical Specifications\Lot 6.1 - Firhouse - ETNS\Word Docs\</t>
  </si>
  <si>
    <t>J:\P5000677\Bid\Lot 6\Mechanical Specifications\Lot 6.2 - Firhouse Gaelscoil\Word Docs\</t>
  </si>
  <si>
    <t>J:\P5000651\Cost Control\Cost Reports\</t>
  </si>
  <si>
    <t>J:\P5000651\P5000651a\Cost Control\Cost Reports\</t>
  </si>
  <si>
    <t>J:\P5000682\Calculations\CalcsE\Lighting Design\DIALux Plugins\Type X - Erco Castor (Bollard)\</t>
  </si>
  <si>
    <t>J:\P5000682\Specs\Electrical\Luminaire Cut-outs\Type X - Erco Castor (Bollard)\</t>
  </si>
  <si>
    <t>J:\P5000682\Calculations\CalcsE\Lighting Design\DIALux Plugins\Type B - Erco Compact Downlight\</t>
  </si>
  <si>
    <t>J:\P5000682\Specs\Electrical\Luminaire Cut-outs\Type B - Erco Compact Downlight\</t>
  </si>
  <si>
    <t>J:\P5000682\Specs\Electrical\Luminaire Cut-outs\All\</t>
  </si>
  <si>
    <t>J:\P5000661\Brief\temporay general information\Ballina\st.marys ballina\</t>
  </si>
  <si>
    <t>J:\P5000661\Ideas Scratch Pad\Architect\Initial thoughts and sources\Ballina\st.marys ballina\</t>
  </si>
  <si>
    <t>J:\P5000661\Reports\Civil and Structural\SI Tender Report\</t>
  </si>
  <si>
    <t>J:\P5000661\Reports\Civil and Structural\TIA tender report\</t>
  </si>
  <si>
    <t>J:\P5000663\Reports\Stage 2A\M&amp;E\16-02-15\</t>
  </si>
  <si>
    <t>J:\P5000657\SPC012-IFIL\Images\signage outdoor\graphics\report\</t>
  </si>
  <si>
    <t>J:\P5000661\Brief\Schedule of Accomodation\</t>
  </si>
  <si>
    <t>J:\P5000661\Images\Architectural\Stage 1 Report Images\</t>
  </si>
  <si>
    <t>J:\P5000661\Presentations\20160119-Governing Body-Stage One Approval\20160119 - Client Presentation - draft\Images\Brief\</t>
  </si>
  <si>
    <t>too late, will close soon</t>
  </si>
  <si>
    <t>Copy saved in BER documentation folder as well as completion certs</t>
  </si>
  <si>
    <t>Too late did not win any of these bids</t>
  </si>
  <si>
    <t>\Utilities Information\</t>
  </si>
  <si>
    <t>This rule runs a number of checks on the mechanical equipment schedule</t>
  </si>
  <si>
    <t>Sheets that should exist if another sheet exists</t>
  </si>
  <si>
    <t>Valid From</t>
  </si>
  <si>
    <t>If sheet exists</t>
  </si>
  <si>
    <t>PUMPS</t>
  </si>
  <si>
    <t>PRESSURE</t>
  </si>
  <si>
    <t>DEAIRATOR</t>
  </si>
  <si>
    <t>RADS</t>
  </si>
  <si>
    <t>UNDERFLOOR</t>
  </si>
  <si>
    <t>Default Valid From Date:</t>
  </si>
  <si>
    <t>Then one of these three must also exist</t>
  </si>
  <si>
    <t>BUFFERS</t>
  </si>
  <si>
    <t>EGRILLE</t>
  </si>
  <si>
    <t>SGRILLE</t>
  </si>
  <si>
    <t>FANS</t>
  </si>
  <si>
    <t>AIR HANDLING UNITS</t>
  </si>
  <si>
    <t>LOUVRE</t>
  </si>
  <si>
    <t>If project type is</t>
  </si>
  <si>
    <t>Then this sheet must exist</t>
  </si>
  <si>
    <t>Any</t>
  </si>
  <si>
    <t>Sheets that should exist if the project is a particular type ("Any" applies to all)</t>
  </si>
  <si>
    <t>GENERAL</t>
  </si>
  <si>
    <t>BOILERS</t>
  </si>
  <si>
    <t>The rules will only be applied if the equip schedule was created after the "Valid From" date</t>
  </si>
  <si>
    <t>Date created</t>
  </si>
  <si>
    <t>FLUE</t>
  </si>
  <si>
    <t>NB: The sheet names used must be the same as the template sheet names (case sensitive)</t>
  </si>
  <si>
    <t>Calorifier</t>
  </si>
  <si>
    <t>HOT WATER a</t>
  </si>
  <si>
    <t>RAD PANNELS LPHW</t>
  </si>
  <si>
    <t>Apply From Stage:</t>
  </si>
  <si>
    <t>Not an M&amp;E project, Architectural</t>
  </si>
  <si>
    <t>J:\P5000515\Reports\120229 Presentations for LIT US trip\ISSUE\LIT Masterplan\Links\Desmond prospectus clare st 03.pdf</t>
  </si>
  <si>
    <t>J:\P5000683\Calculations\CalcsC&amp;S\Canopy\Specifications\BDP Insitu Concrete Specification.docx</t>
  </si>
  <si>
    <t>J:\P5000683\Specs\Architectural\P5000683 Specification.docx</t>
  </si>
  <si>
    <t>File reading error on the file name</t>
  </si>
  <si>
    <t>j:\p5000515\misc\lit coonagh cross site drawings and sfaety manuals\group 4 securiocor\coonagh cross\intruder\</t>
  </si>
  <si>
    <t>magnetic door contacts</t>
  </si>
  <si>
    <t>j:\p5000683\daa framework jobs\signature lounge\emails\</t>
  </si>
  <si>
    <t>Team Contacts</t>
  </si>
  <si>
    <t>Shortcut Added</t>
  </si>
  <si>
    <t>j:\p5000663\brief\</t>
  </si>
  <si>
    <t>Not applicable for this project</t>
  </si>
  <si>
    <t>\PLANT SUBMITTALS\</t>
  </si>
  <si>
    <t>\Project Brief\</t>
  </si>
  <si>
    <t>Standard Fee backup sheet</t>
  </si>
  <si>
    <t>Duplicate Files: ISS NUIG Structured Cabling Specification_2011</t>
  </si>
  <si>
    <t>Duplicate Files: HDMI Cable Specifications</t>
  </si>
  <si>
    <t>Duplicate Files: NGI Refurb Elec Spec</t>
  </si>
  <si>
    <t>Copied Files: BDP Survey - Report (2000)</t>
  </si>
  <si>
    <t>Duplicate Files: Vol 5 - NGI M&amp;E GENERAL REQUIREMENTS 23-02-13</t>
  </si>
  <si>
    <t>Mech Calcs: There are 78 unindexed calculations in the CalcsM folder. Refer to the CalculationsM index for more details.</t>
  </si>
  <si>
    <t>Mech Calcs: There are 14 unindexed calculations in the CalcsM folder. Refer to the CalculationsM index for more details.</t>
  </si>
  <si>
    <t>Project Audit Summary</t>
  </si>
  <si>
    <t>Mech Calcs: There is 1 indexed calculation that hasn't been checked. Refer to the CalculationsM index for more details.</t>
  </si>
  <si>
    <t>Duplicate Files: St. Fintinas Public Lighting Specification Rev A</t>
  </si>
  <si>
    <t>Path Error: path must be less than 255 characters. (Currently 257)</t>
  </si>
  <si>
    <t>Reduce the length of the file name or its directory. Or move the file to its parent directory.</t>
  </si>
  <si>
    <t>Mech Calcs: There are 22 unindexed calculations in the CalcsM folder. Refer to the CalculationsM index for more details.</t>
  </si>
  <si>
    <t>Mech Calcs: There are 8 unindexed calculations in the CalcsM folder. Refer to the CalculationsM index for more details.</t>
  </si>
  <si>
    <t>1.2 - 1.3 Contacts</t>
  </si>
  <si>
    <t>MC-06 Control Points List</t>
  </si>
  <si>
    <t>j:\p5000561\completion\o&amp;m manual\o&amp;m ballymakenny kd group\section 1 - introduction\1.2 project contact directory\1.2 - 1.3 contacts\</t>
  </si>
  <si>
    <t>j:\p5000561\completion\o&amp;m manual\o&amp;m ballymakenny kd group\section 3 - opinions on compliance and commissioning certs\3.3 test + commissioning certs\</t>
  </si>
  <si>
    <t>Mech Calcs: There are 7 unindexed calculations in the CalcsM folder. Refer to the CalculationsM index for more details.</t>
  </si>
  <si>
    <t>Copied Files: Tender Report for Gaelscoil Bharra Project -Stage 3-Roll No 20047O - rev1</t>
  </si>
  <si>
    <t>Mech Calcs: There are 8 indexed calculations that haven't been checked. Refer to the CalculationsM index for more details.</t>
  </si>
  <si>
    <t>Mech Calcs: There is 1 unindexed calculation in the CalcsM folder. Refer to the CalculationsM index for more details.</t>
  </si>
  <si>
    <t xml:space="preserve">\SS </t>
  </si>
  <si>
    <t>architectural issue</t>
  </si>
  <si>
    <t>J:\P5000661\Brief\Architect\2016-02-09 - Revised Schedule of Accommodation\</t>
  </si>
  <si>
    <t>J:\P5000661\Images\Architectural\20151215 DoES Presentation report\</t>
  </si>
  <si>
    <t>too late to change</t>
  </si>
  <si>
    <t>No Tender for Rapids</t>
  </si>
  <si>
    <t>ok, client breif coped to spec</t>
  </si>
  <si>
    <t>legitimate duplicate</t>
  </si>
  <si>
    <t>J:\P5000176\Reports\07-05-22 - BDP 2000 Report\</t>
  </si>
  <si>
    <t>J:\P5000176\Reports\BDP Surveys\</t>
  </si>
  <si>
    <t>J:\P5000176\QA\Design Review\adrian review\main Contract\</t>
  </si>
  <si>
    <t>J:\P5000176\Specs\Electrical\PHASE 2\120515 draft issue\</t>
  </si>
  <si>
    <t>J:\P5000176\Specs\Electrical\PHASE 2\Tender Issue 231012 - current versions\</t>
  </si>
  <si>
    <t>J:\P5000176\Specs\M&amp;E PRELIMS\</t>
  </si>
  <si>
    <t>too late as the report ahs been issued</t>
  </si>
  <si>
    <t>J:\P5000573\Reports\130607  M&amp;E Report.doc</t>
  </si>
  <si>
    <t>123567jkhgfdgarwsgawre</t>
  </si>
  <si>
    <t>Prestage 1 meeting scheduled 19th April 13. Approval for stage 1 confirmed. Stage 2a to proceed Jan 14. Stage 2a completed July 2014.</t>
  </si>
  <si>
    <t>March 2016 the project resumed</t>
  </si>
  <si>
    <t>nB: issue with fall for rain water tank- may not be able to use external leaf filter. meeting 8/3/16- cost reconcillation shows project 3 mill over previous 2a budget. meeting TBC with does. 1.5 mill is due inincrease in BBC, other costs are temp accomm</t>
  </si>
  <si>
    <t>Due to get LOA late March 2016</t>
  </si>
  <si>
    <t>19994G</t>
  </si>
  <si>
    <t>CalculationsM</t>
  </si>
  <si>
    <t>Mech Calcs: There are 16 indexed calculations that haven't been checked. Refer to the CalculationsM index for more details.</t>
  </si>
  <si>
    <t>Copied Files: 1.04.05.01 IFM_06 Flue Inspection Checklist</t>
  </si>
  <si>
    <t>Copied Files: 15-11-24 DT Inspection Process</t>
  </si>
  <si>
    <t>Copied Files: 15-11-24 NGI M&amp;E Void Closure Schedule Rev 1</t>
  </si>
  <si>
    <t>Mech Calcs: There are 44 unindexed calculations in the CalcsM folder. Refer to the CalculationsM index for more details.</t>
  </si>
  <si>
    <t>Mech Calcs: There are 9 indexed calculations that haven't been checked. Refer to the CalculationsM index for more details.</t>
  </si>
  <si>
    <t>Duplicate Files: REP004 - M&amp;E Tender Report</t>
  </si>
  <si>
    <t>Copied Files: 19678Brief Formulation  Site Report Form - Senior school 19678T</t>
  </si>
  <si>
    <t>Copied Files: Brief Formulation Site Report Form - Junior school 19479N</t>
  </si>
  <si>
    <t>Copied Files: 10.02.03_Building Survey Specification_1629</t>
  </si>
  <si>
    <t>Copied Files: 10.02.03_Refurbishment and Demolitions Asbestos Survey Specification_1629</t>
  </si>
  <si>
    <t>Copied Files: 10.02.03_Topographical Survey Specification_1629</t>
  </si>
  <si>
    <t>Copied Files: 10.02.03_Archeological Study Specification_1629</t>
  </si>
  <si>
    <t>Duplicate Files: LIT Thurles S&amp;C Stage 1 report</t>
  </si>
  <si>
    <t>Mech Calcs: There are 6 unindexed calculations in the CalcsM folder. Refer to the CalculationsM index for more details.</t>
  </si>
  <si>
    <t>Duplicate Files: 1308.DoES Comments Stage 1 Report.24.06.15</t>
  </si>
  <si>
    <t>Duplicate Files: Electrical Volume Two  - Luminaire Schedule</t>
  </si>
  <si>
    <t>Duplicate Files: Stem Workshops - Section A Electrical Specification Rev B</t>
  </si>
  <si>
    <t>Duplicate Files: 3.2.2MechSpec.doc</t>
  </si>
  <si>
    <t>Mech Calcs: There are 26 unindexed calculations in the CalcsM folder. Refer to the CalculationsM index for more details.</t>
  </si>
  <si>
    <t>Mech Calcs: There are 121 indexed calculations that haven't been checked. Refer to the CalculationsM index for more details.</t>
  </si>
  <si>
    <t>Was (April 2016)</t>
  </si>
  <si>
    <t>ok</t>
  </si>
  <si>
    <t>J:\P5000168\Brief\Project Brief\NUIG AV Brief 2012\12-10-12\</t>
  </si>
  <si>
    <t>J:\P5000168\Specs\Electrical\Specs just for option One\HBB Electrical Volume 1 for Option one.doc</t>
  </si>
  <si>
    <t>ok they are in an archive folder</t>
  </si>
  <si>
    <t>J:\P5000176\Commissioning\Winthrop\15-08-14 System Check Lists\</t>
  </si>
  <si>
    <t>J:\P5000176\Commissioning\Winthrop\15-08-14 Test Pack Covers\Pre Commissioning Checklists\</t>
  </si>
  <si>
    <t>not known</t>
  </si>
  <si>
    <t>April 2013- Contractor not on programme- meeting held and updated programme requested. Main Building PC in May 2013. Griffin &amp; O'Reilly PC September 2013</t>
  </si>
  <si>
    <t>DoES Tender approval letter is in J:\P5000468\Letters\Client_x000D_
DoES Approved tender sum 22/04/2014 (Letter in file)_x000D_
Commenced on site in July 2014_x000D_
Sustainitial Completion December 23rd 2015</t>
  </si>
  <si>
    <t>08/04/2016 - Project started on site mid October 2015</t>
  </si>
  <si>
    <t>SC expected 16th Dec 2016</t>
  </si>
  <si>
    <t>08/04/15 - Project Completed, school moved in at the end of Feb 2016. Main contractor is still on site completing a number of snag items and completing works to a GAA pitch to the rear of the site</t>
  </si>
  <si>
    <t>Main Works completed by Mid June 2016</t>
  </si>
  <si>
    <t>31/08/2015 - Final Grant of Planning Permission_x000D_
01-04-2016 - Oxygen Compound Tender issued, return 26/04/'16</t>
  </si>
  <si>
    <t>Summer works 2015 started 07/15 and ended 02/16</t>
  </si>
  <si>
    <t>Substantial Completion due 16th Dec</t>
  </si>
  <si>
    <t xml:space="preserve">12/01/2016 Letter of appointement received.  _x000D_
05/02/2016 - Presentation by DoES on ADAPT projects._x000D_
14/04/2016 - Pre-Stage 1 Presentation to DoES (client 6/04/'16)_x000D_
21/04/2016 Stage 1 submission lodged_x000D_
</t>
  </si>
  <si>
    <t xml:space="preserve">{\rtf1\ansi\ansicpg1252\deff0\deflang2057{\fonttbl{\f0\fswiss\fprq2\fcharset0 Arial;}{\f1\fnil\fcharset0 Arial;}}_x000D_
\viewkind4\uc1\pard\sa160\sl252\slmult1\lang6153\f0\fs20 The project involves a primary and secondary school.  The primary school is Ennistymon NS Scoil Mhainc\'edn and the secondary is Ennistymon Coil Mhuire.\par_x000D_
\pard\lang2057\f1 This project is part of the DoES ADAPT 18 School Program.\par_x000D_
\par_x000D_
Primary school area = 1273m2\par_x000D_
Post Primary school area = 7471m2\par_x000D_
}_x000D_
</t>
  </si>
  <si>
    <t>P5000686</t>
  </si>
  <si>
    <t>Project Armada</t>
  </si>
  <si>
    <t>65000000</t>
  </si>
  <si>
    <t>Planning Submission End of July</t>
  </si>
  <si>
    <t>Planning Issue - End of July</t>
  </si>
  <si>
    <t>Docklands Galway</t>
  </si>
  <si>
    <t xml:space="preserve">{\rtf1\ansi\ansicpg1252\deff0\deflang2057{\fonttbl{\f0\fnil\fcharset0 Arial;}}_x000D_
\viewkind4\uc1\pard\fs20 Large Office, Hotel &amp; Retail Development in Galway Docklands.\par_x000D_
\par_x000D_
Appointed for Planning Submission\par_x000D_
}_x000D_
</t>
  </si>
  <si>
    <t xml:space="preserve">{\rtf1\ansi\ansicpg1252\deff0\deflang2057{\fonttbl{\f0\fnil\fcharset0 Microsoft Sans Serif;}}_x000D_
\viewkind4\uc1\pard\f0\fs17 Tight programme\par_x000D_
}_x000D_
</t>
  </si>
  <si>
    <t>J:\P5000168\Brief\Project Brief\12-08-30 Revised NUIG Services Generic Specifications\</t>
  </si>
  <si>
    <t>J:\P5000168\Brief\Project Brief\NUIG IT Cabling Brief 12-08-10\</t>
  </si>
  <si>
    <t>J:\P5000168\Brief\Project Brief\NUIG IT Cabling Brief 12-12-11\</t>
  </si>
  <si>
    <t>J:\P5000168\Minutes\Site Meeting Minutes\BDP Notes\</t>
  </si>
  <si>
    <t>J:\P5000168\Reports\Site Observation + Inspection Reports\</t>
  </si>
  <si>
    <t>Duplicate Files: 16-02-01 - Site Inspection Notes</t>
  </si>
  <si>
    <t>Mech Calcs: The calculation 'SBEM Calculation - See Calcs M folder -  BOS 2009' is indexed but could not be found. Refer to the CalculationsM index for more details.</t>
  </si>
  <si>
    <t>Document Issue Sheet</t>
  </si>
  <si>
    <t>Mech Calcs: There are 10 indexed calculations that haven't been checked. Refer to the CalculationsM index for more details.</t>
  </si>
  <si>
    <t>Mech Calcs: The calculation 'Radiator sizing chart' is indexed but could not be found. Refer to the CalculationsM index for more details.</t>
  </si>
  <si>
    <t>Responsibilities Matrix - BDP Team</t>
  </si>
  <si>
    <t>Stage 1 (Engineers) (G3)</t>
  </si>
  <si>
    <t>Mech Calcs: The calculation 'Daylight factor' is indexed but could not be found. Refer to the CalculationsM index for more details.</t>
  </si>
  <si>
    <t>Mech Calcs: The calculation 'DES Stage 3 Gas V Oil  Feasibility' is indexed but could not be found. Refer to the CalculationsM index for more details.</t>
  </si>
  <si>
    <t>Mech Calcs: The calculation 'Expansion Vessel Detailed' is indexed but could not be found. Refer to the CalculationsM index for more details.</t>
  </si>
  <si>
    <t>Mech Calcs: The calculation 'Gas meter sizing' is indexed but could not be found. Refer to the CalculationsM index for more details.</t>
  </si>
  <si>
    <t>Mech Calcs: The calculation 'Fuel Comparison DES' is indexed but could not be found. Refer to the CalculationsM index for more details.</t>
  </si>
  <si>
    <t>Mech Calcs: The calculation 'Water Tank Detailing' is indexed but could not be found. Refer to the CalculationsM index for more details.</t>
  </si>
  <si>
    <t>Mech Calcs: The calculation 'Water Tank Detailing - Stage 2a' is indexed but could not be found. Refer to the CalculationsM index for more details.</t>
  </si>
  <si>
    <t>Mech Calcs: The calculation 'Natural ventialtion checks' is indexed but could not be found. Refer to the CalculationsM index for more details.</t>
  </si>
  <si>
    <t>Mech Calcs: The calculation 'Water Services (Stage 2b)' is indexed but could not be found. Refer to the CalculationsM index for more details.</t>
  </si>
  <si>
    <t>Mech Calcs: The calculation 'Energy Form (Digital)' is indexed but could not be found. Refer to the CalculationsM index for more details.</t>
  </si>
  <si>
    <t>Mech Calcs: The calculation 'Pump Sizing ' is indexed but could not be found. Refer to the CalculationsM index for more details.</t>
  </si>
  <si>
    <t>Transmittal - 00001</t>
  </si>
  <si>
    <t>Transmittal - 00002</t>
  </si>
  <si>
    <t>Transmittal - 00003</t>
  </si>
  <si>
    <t>Transmittal - 00004</t>
  </si>
  <si>
    <t>Transmittal - 00005</t>
  </si>
  <si>
    <t>Transmittal - 00006</t>
  </si>
  <si>
    <t>Transmittal - 00007</t>
  </si>
  <si>
    <t>Transmittal - 00008</t>
  </si>
  <si>
    <t>Transmittal - 00009</t>
  </si>
  <si>
    <t>Transmittal - 00010</t>
  </si>
  <si>
    <t>Transmittal - 00011</t>
  </si>
  <si>
    <t>Transmittal - 00012</t>
  </si>
  <si>
    <t>Mech Calcs: The calculation 'Hot Water' is indexed but could not be found. Refer to the CalculationsM index for more details.</t>
  </si>
  <si>
    <t>Mech Calcs: There are 11 unindexed calculations in the CalcsM folder. Refer to the CalculationsM index for more details.</t>
  </si>
  <si>
    <t>Mech Calcs: The calculation 'Water Tanks Sizing' is indexed but could not be found. Refer to the CalculationsM index for more details.</t>
  </si>
  <si>
    <t>Ideas or thoughts</t>
  </si>
  <si>
    <t>Site Location Plan</t>
  </si>
  <si>
    <t>Mech Calcs: The calculation 'Water demand' is indexed but could not be found. Refer to the CalculationsM index for more details.</t>
  </si>
  <si>
    <t>Duplicate Files: P5000627 Parkhall College Lift Specification</t>
  </si>
  <si>
    <t>Mech Calcs: There are 16 unindexed calculations in the CalcsM folder. Refer to the CalculationsM index for more details.</t>
  </si>
  <si>
    <t>j:\p5000640\completion certs\electrical\holy family electrical o&amp;m manual\section 2\section 2.1 company contacts\</t>
  </si>
  <si>
    <t>Copied Files: Contractors Report 15</t>
  </si>
  <si>
    <t>Plant space requirements</t>
  </si>
  <si>
    <t>REP001- Rev 1</t>
  </si>
  <si>
    <t>Significant Hazard &amp; Risk Register Template</t>
  </si>
  <si>
    <t>Copied Files: REP001- Rev 1</t>
  </si>
  <si>
    <t>Mech Calcs: There are 5 indexed calculations that haven't been checked. Refer to the CalculationsM index for more details.</t>
  </si>
  <si>
    <t>Mech Calcs: The calculation 'Fan Size' is indexed but could not be found. Refer to the CalculationsM index for more details.</t>
  </si>
  <si>
    <t>Mech Calcs: There are 78 indexed calculations that haven't been checked. Refer to the CalculationsM index for more details.</t>
  </si>
  <si>
    <t>2 x 1 Tonne sbs 2</t>
  </si>
  <si>
    <t>2x1 Tonne e t e</t>
  </si>
  <si>
    <t>DT contacts additional numbers</t>
  </si>
  <si>
    <t>16-01-29 - Site Investigations Risk Assessment</t>
  </si>
  <si>
    <t>j:\p5000683\daa framework jobs\signature lounge\</t>
  </si>
  <si>
    <t>Copied Files: Albert-Quay-Specification-290714</t>
  </si>
  <si>
    <t>Copied Files: Masterplan Report_EDITED_FINAL</t>
  </si>
  <si>
    <t>Copied Files: Full BuchananQtr_Stage D+ ER Report</t>
  </si>
  <si>
    <t>Copied Files: Stage C Report 170314</t>
  </si>
  <si>
    <t>Copied Files: ESJ_Stage 3 Report_Section 4 Architecture chris</t>
  </si>
  <si>
    <t>Copied Files: Technical Specifications - Main Auditoria V4 (25102012)</t>
  </si>
  <si>
    <t>Copied Files: Galway Ceannt Station  Vol 2-  Brochure</t>
  </si>
  <si>
    <t>Copied Files: Galway Ceannt Station Vol 1- Brochure</t>
  </si>
  <si>
    <t>Duplicate Files: 160225_Ceannt Quater - T Site Study - Galway Highline Report</t>
  </si>
  <si>
    <t>Copied Files: Map prepared by Tobin Consulting Engineers dated 29 March 2016</t>
  </si>
  <si>
    <t>Copied Files: BCO Specification For Offices Single Pages</t>
  </si>
  <si>
    <t>16-01-15 ADAPT Schools Lot 3 RFI</t>
  </si>
  <si>
    <t>J:\P5000688\Appointment\</t>
  </si>
  <si>
    <t>Conditions of Engagement (BDP &amp; DoES)</t>
  </si>
  <si>
    <t>16-01-22 CoE Cover Ltr</t>
  </si>
  <si>
    <t>J:\P5000688\Appointment\CoE\</t>
  </si>
  <si>
    <t>16-01-22 CoE Ennistymon Post Primary School - signed by BDP</t>
  </si>
  <si>
    <t>16-01-22 CoE Ennistymon Primary School - signed by BDP</t>
  </si>
  <si>
    <t>16-04-08 CoE Ennistymon Primary School - signed by BDP &amp; client</t>
  </si>
  <si>
    <t>1-Letter of ITT Lot 3</t>
  </si>
  <si>
    <t>J:\P5000688\Appointment\Ennistymon Post Primary\</t>
  </si>
  <si>
    <t>15-11-24 Ennistymon Post Primary School - M&amp;E</t>
  </si>
  <si>
    <t>2 - Project Information Memorandum</t>
  </si>
  <si>
    <t>3.2 PEP Ennistymon Post Primary School</t>
  </si>
  <si>
    <t>Lot 3.2 ME Eng - Conditions of Engagement</t>
  </si>
  <si>
    <t>Lot 3.2 ME Eng - Letter of Acceptance</t>
  </si>
  <si>
    <t>J:\P5000688\Appointment\Ennistymon Primary\</t>
  </si>
  <si>
    <t>15-11-24 Ennistymon Primary School - M&amp;E</t>
  </si>
  <si>
    <t>3.1 PEP Ennistymon Primary School</t>
  </si>
  <si>
    <t>Lot 3.1 ME Eng - Conditions of Engagement</t>
  </si>
  <si>
    <t>Lot 3.1 ME Eng - Letter of Acceptance</t>
  </si>
  <si>
    <t>password for RR colaberation site</t>
  </si>
  <si>
    <t>J:\P5000688\Brief\</t>
  </si>
  <si>
    <t>J:\P5000688\Calculations\</t>
  </si>
  <si>
    <t>Energy Form (Digital) - Post Primary</t>
  </si>
  <si>
    <t>J:\P5000688\Calculations\CalcsM\</t>
  </si>
  <si>
    <t>Energy Form (Digital) - Primary</t>
  </si>
  <si>
    <t>Fuelcheck - Post Primary</t>
  </si>
  <si>
    <t>Fuelcheck - Primary</t>
  </si>
  <si>
    <t>16-02-09 - Draft Tanks Details</t>
  </si>
  <si>
    <t>J:\P5000688\Calculations\CalcsM\Stage 1\</t>
  </si>
  <si>
    <t>16-02-09 - Tanks details to Design Team</t>
  </si>
  <si>
    <t>16-02-18 - Est. Gas Load</t>
  </si>
  <si>
    <t>Water Tank Detailing - Post Primary School</t>
  </si>
  <si>
    <t>Water Tank Detailing - Primary School</t>
  </si>
  <si>
    <t>J:\P5000688\Health &amp; Safety\Risk Assessments\</t>
  </si>
  <si>
    <t>Post Primary School M&amp;E Risk assessment Stage 1</t>
  </si>
  <si>
    <t>Primary School M&amp;E Risk assessment Stage 1</t>
  </si>
  <si>
    <t>J:\P5000688\Ideas Scratch Pad\M&amp;E Services\</t>
  </si>
  <si>
    <t>16007MtClt.#1.160125</t>
  </si>
  <si>
    <t>J:\P5000688\Minutes\Client Meetings\</t>
  </si>
  <si>
    <t>16-04-06 - P.P. Presentation Meeting Notes</t>
  </si>
  <si>
    <t>J:\P5000688\Minutes\Client Meetings\BDP Notes\16-04-06 - Stage 1 Presentations to Client\</t>
  </si>
  <si>
    <t>16-04-06 - P.S. Presentation Meeting Notes</t>
  </si>
  <si>
    <t>16-03-16 RDGS markup of Ennistymon options</t>
  </si>
  <si>
    <t>J:\P5000688\Minutes\Design Reviews\</t>
  </si>
  <si>
    <t>J:\P5000688\Minutes\Design Reviews\Stage 1 Design Reviews\</t>
  </si>
  <si>
    <t>16-007MofM.DT#2.160125</t>
  </si>
  <si>
    <t>J:\P5000688\Minutes\Design Team Meetings\</t>
  </si>
  <si>
    <t>Initial PSDP Notes 13012016</t>
  </si>
  <si>
    <t>16-02-17 - Meeting Notes</t>
  </si>
  <si>
    <t>J:\P5000688\Minutes\Design Team Meetings\BDP Notes\</t>
  </si>
  <si>
    <t>16-03-23 - Meeting Notes</t>
  </si>
  <si>
    <t>16-04-14 - P.P.S. Meeting Notes</t>
  </si>
  <si>
    <t>J:\P5000688\Minutes\DoES Meetings\</t>
  </si>
  <si>
    <t>16-04-14 - P.S. Meeting Notes</t>
  </si>
  <si>
    <t>16-02-05 - DoES ADAPT Presentation Meeting</t>
  </si>
  <si>
    <t>J:\P5000688\Minutes\Team Stage Launch Meetings\</t>
  </si>
  <si>
    <t>Pre-Stage 1 Presentation - Post Primary School</t>
  </si>
  <si>
    <t>J:\P5000688\Presentations\SS\</t>
  </si>
  <si>
    <t>Pre-Stage 1 Presentation - Primary School</t>
  </si>
  <si>
    <t>16-03-04 - Ennistymon post primary GII location plan</t>
  </si>
  <si>
    <t>J:\P5000688\Programme\</t>
  </si>
  <si>
    <t>16-03-04 - Ennistymon post primary school Work Programme 04.03.16</t>
  </si>
  <si>
    <t>16-03-04 - Ennistymon primary GII  location plan</t>
  </si>
  <si>
    <t>16-03-04 - Ennistymon primary school work programme 04.03.16</t>
  </si>
  <si>
    <t>DoES Template Project Dates</t>
  </si>
  <si>
    <t>J:\P5000688\Programme\DoES Template Programme\</t>
  </si>
  <si>
    <t>DoES Template Project Programme</t>
  </si>
  <si>
    <t>J:\P5000688\QA\</t>
  </si>
  <si>
    <t>Responsibilities Matrix - Full Design Team</t>
  </si>
  <si>
    <t>J:\P5000688\QA\Project handbook records\</t>
  </si>
  <si>
    <t>J:\P5000688\QA\Tasklists\</t>
  </si>
  <si>
    <t>J:\P5000688\Reports\</t>
  </si>
  <si>
    <t>16-04-11 ADAPT18 Lot 3.1 REP001- Rev 1</t>
  </si>
  <si>
    <t>J:\P5000688\Reports\Pre- Stage 1\Lot 3.1 Primary School\</t>
  </si>
  <si>
    <t>16.04.11 ADAPT18 Lot 3.2 REP001- Rev 1</t>
  </si>
  <si>
    <t>J:\P5000688\Reports\Pre- Stage 1\Lot 3.2 Post Primary School\</t>
  </si>
  <si>
    <t>J:\P5000688\Reports\Stage 1 Report\Lot 3.1 Primary School\</t>
  </si>
  <si>
    <t>J:\P5000688\Reports\Stage 1 Report\Lot 3.2 Post Primary School\</t>
  </si>
  <si>
    <t>Ennistymon - Weekly Reports Log</t>
  </si>
  <si>
    <t>J:\P5000688\Reports\Weekly Reports\</t>
  </si>
  <si>
    <t>16-02-08 - Weekly Report No.002</t>
  </si>
  <si>
    <t>J:\P5000688\Reports\Weekly Reports\Superseded\</t>
  </si>
  <si>
    <t>16.02.01 Weekly Report to DT</t>
  </si>
  <si>
    <t>J:\P5000688\Specs\</t>
  </si>
  <si>
    <t>16-02-02 - Spec. for Site Services Survey</t>
  </si>
  <si>
    <t>J:\P5000688\Specs\Surveys\16-02-02 - Site Survey Spec\</t>
  </si>
  <si>
    <t>Post Primary School</t>
  </si>
  <si>
    <t>J:\P5000688\Specs\Surveys\16-02-02 - Site Survey Spec\Inclusions\</t>
  </si>
  <si>
    <t>J:\P5000688\SPSheet\Fees\</t>
  </si>
  <si>
    <t>J:\P5000688\Transmittals\</t>
  </si>
  <si>
    <t>eircom_Post Primary</t>
  </si>
  <si>
    <t>J:\P5000688\Utilities Information\EIR\</t>
  </si>
  <si>
    <t>eircom_Primary</t>
  </si>
  <si>
    <t>16.01.18 Memo of Telecon with ESB</t>
  </si>
  <si>
    <t>J:\P5000688\Utilities Information\ESB\</t>
  </si>
  <si>
    <t>16.01.28 Drawings from ESB</t>
  </si>
  <si>
    <t>16.02.29 ADAPT 2018 Lot 3 Proposed ESB Diversions</t>
  </si>
  <si>
    <t>16.03.15 ADAPT 2018 Lot 3 Proposed ESB Diversions</t>
  </si>
  <si>
    <t>J:\P5000688\Utilities Information\FLOGAS\</t>
  </si>
  <si>
    <t>2x4 Tonne</t>
  </si>
  <si>
    <t>Com 3x2 Tonne-A4</t>
  </si>
  <si>
    <t>LPG Tank Separation Distances</t>
  </si>
  <si>
    <t>EnnistymonRWSS</t>
  </si>
  <si>
    <t>J:\P5000688\Utilities Information\Water Authority\</t>
  </si>
  <si>
    <t>Ennistymont</t>
  </si>
  <si>
    <t>Lead content</t>
  </si>
  <si>
    <t>water-and-waste</t>
  </si>
  <si>
    <t>Duplicate Files: REP001- Rev 1</t>
  </si>
  <si>
    <t>Copied Files: 16-04-11 ADAPT18 Lot 3.1 REP001- Rev 1</t>
  </si>
  <si>
    <t>Copied Files: 16.04.11 ADAPT18 Lot 3.2 REP001- Rev 1</t>
  </si>
  <si>
    <t>Audit Complete. Successfully auditted 64 projects. (Skipped 386 projects.)</t>
  </si>
  <si>
    <t>\archive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</si>
</sst>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0"/>
      <color theme="1"/>
      <name val="Arial"/>
      <family val="2"/>
    </font>
    <font>
      <b/>
      <sz val="10"/>
      <color theme="1"/>
      <name val="Arial"/>
      <family val="2"/>
    </font>
    <font>
      <b/>
      <sz val="10"/>
      <color theme="7" tint="-0.499984740745262"/>
      <name val="Arial"/>
      <family val="2"/>
    </font>
    <font>
      <sz val="10"/>
      <color rgb="FF000000"/>
      <name val="Arial"/>
      <family val="2"/>
    </font>
    <font>
      <b/>
      <u/>
      <sz val="10"/>
      <color theme="1"/>
      <name val="Arial"/>
      <family val="2"/>
    </font>
    <font>
      <b/>
      <sz val="10"/>
      <name val="Arial"/>
      <family val="2"/>
    </font>
    <font>
      <sz val="10"/>
      <color theme="0"/>
      <name val="Arial"/>
      <family val="2"/>
    </font>
    <font>
      <sz val="10"/>
      <color rgb="FFC00000"/>
      <name val="Arial"/>
      <family val="2"/>
    </font>
    <font>
      <b/>
      <sz val="10"/>
      <color rgb="FFC00000"/>
      <name val="Arial"/>
      <family val="2"/>
    </font>
    <font>
      <u/>
      <sz val="10"/>
      <color theme="10"/>
      <name val="Arial"/>
      <family val="2"/>
    </font>
    <font>
      <b/>
      <sz val="10"/>
      <color rgb="FF00B050"/>
      <name val="Arial"/>
      <family val="2"/>
    </font>
    <font>
      <sz val="10"/>
      <color rgb="FF00B050"/>
      <name val="Arial"/>
      <family val="2"/>
    </font>
  </fonts>
  <fills count="6">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9" fillId="0" borderId="0" applyNumberFormat="0" applyFill="0" applyBorder="0" applyAlignment="0" applyProtection="0"/>
  </cellStyleXfs>
  <cellXfs count="78">
    <xf numFmtId="0" fontId="0" fillId="0" borderId="0" xfId="0"/>
    <xf numFmtId="14" fontId="0" fillId="0" borderId="0" xfId="0" applyNumberFormat="1"/>
    <xf numFmtId="0" fontId="1" fillId="0" borderId="0" xfId="0" applyFont="1"/>
    <xf numFmtId="0" fontId="2" fillId="0" borderId="0" xfId="0" applyFont="1"/>
    <xf numFmtId="0" fontId="0" fillId="2" borderId="1" xfId="0" applyFill="1" applyBorder="1"/>
    <xf numFmtId="0" fontId="0" fillId="0" borderId="1" xfId="0" applyBorder="1"/>
    <xf numFmtId="22" fontId="0" fillId="0" borderId="0" xfId="0" applyNumberFormat="1"/>
    <xf numFmtId="0" fontId="1" fillId="0" borderId="1" xfId="0" applyFont="1" applyBorder="1"/>
    <xf numFmtId="0" fontId="0" fillId="0" borderId="0" xfId="0" applyAlignment="1">
      <alignment horizontal="right"/>
    </xf>
    <xf numFmtId="0" fontId="0" fillId="0" borderId="0" xfId="0" quotePrefix="1" applyAlignment="1">
      <alignment horizontal="right"/>
    </xf>
    <xf numFmtId="11" fontId="0" fillId="0" borderId="0" xfId="0" applyNumberFormat="1"/>
    <xf numFmtId="0" fontId="0" fillId="0" borderId="0" xfId="0" applyAlignment="1">
      <alignment horizontal="left"/>
    </xf>
    <xf numFmtId="0" fontId="0" fillId="0" borderId="0" xfId="0" applyAlignment="1">
      <alignment wrapText="1"/>
    </xf>
    <xf numFmtId="0" fontId="1" fillId="0" borderId="0" xfId="0" applyFont="1" applyAlignment="1">
      <alignment wrapText="1"/>
    </xf>
    <xf numFmtId="0" fontId="1" fillId="0" borderId="0" xfId="0" applyFont="1" applyAlignment="1">
      <alignment horizontal="right" wrapText="1"/>
    </xf>
    <xf numFmtId="17" fontId="0" fillId="0" borderId="0" xfId="0" applyNumberFormat="1"/>
    <xf numFmtId="0" fontId="5" fillId="0" borderId="0" xfId="0" applyFont="1"/>
    <xf numFmtId="0" fontId="0" fillId="0" borderId="1" xfId="0" applyBorder="1" applyAlignment="1">
      <alignment horizontal="center" vertical="center"/>
    </xf>
    <xf numFmtId="0" fontId="0" fillId="0" borderId="2" xfId="0" applyBorder="1"/>
    <xf numFmtId="16" fontId="0" fillId="0" borderId="0" xfId="0" applyNumberFormat="1"/>
    <xf numFmtId="0" fontId="0" fillId="0" borderId="0" xfId="0" quotePrefix="1"/>
    <xf numFmtId="0" fontId="0" fillId="0" borderId="0" xfId="0" applyAlignment="1">
      <alignment vertical="center" wrapText="1"/>
    </xf>
    <xf numFmtId="0" fontId="0" fillId="0" borderId="0" xfId="0" applyFont="1" applyFill="1" applyBorder="1"/>
    <xf numFmtId="0" fontId="0" fillId="0" borderId="0" xfId="0" applyFill="1" applyBorder="1"/>
    <xf numFmtId="0" fontId="6" fillId="0" borderId="0" xfId="0" applyFont="1"/>
    <xf numFmtId="22" fontId="0" fillId="0" borderId="1" xfId="0" applyNumberFormat="1" applyBorder="1"/>
    <xf numFmtId="0" fontId="7" fillId="0" borderId="0" xfId="0" applyFont="1"/>
    <xf numFmtId="0" fontId="8" fillId="0" borderId="0" xfId="0" applyFont="1"/>
    <xf numFmtId="0" fontId="0" fillId="0" borderId="1" xfId="0" applyBorder="1" applyAlignment="1">
      <alignment horizontal="left"/>
    </xf>
    <xf numFmtId="0" fontId="0" fillId="0" borderId="1" xfId="0" applyFont="1" applyBorder="1" applyAlignment="1">
      <alignment horizontal="left"/>
    </xf>
    <xf numFmtId="0" fontId="0" fillId="0" borderId="1" xfId="0" applyBorder="1" applyAlignment="1">
      <alignment horizontal="center"/>
    </xf>
    <xf numFmtId="0" fontId="0" fillId="0" borderId="1" xfId="0" applyBorder="1" applyAlignment="1"/>
    <xf numFmtId="0" fontId="1" fillId="5" borderId="1" xfId="0" applyFont="1" applyFill="1" applyBorder="1"/>
    <xf numFmtId="0" fontId="1" fillId="5" borderId="2" xfId="0" applyFont="1" applyFill="1" applyBorder="1"/>
    <xf numFmtId="0" fontId="0" fillId="0" borderId="1" xfId="0" applyFont="1" applyBorder="1"/>
    <xf numFmtId="0" fontId="0" fillId="0" borderId="1" xfId="0" applyFill="1" applyBorder="1"/>
    <xf numFmtId="49" fontId="0" fillId="4" borderId="3" xfId="0" applyNumberFormat="1" applyFill="1" applyBorder="1"/>
    <xf numFmtId="49" fontId="0" fillId="4" borderId="1" xfId="0" applyNumberFormat="1" applyFill="1" applyBorder="1"/>
    <xf numFmtId="49" fontId="0" fillId="4" borderId="4" xfId="0" applyNumberFormat="1" applyFill="1" applyBorder="1"/>
    <xf numFmtId="49" fontId="0" fillId="3" borderId="3" xfId="0" applyNumberFormat="1" applyFill="1" applyBorder="1"/>
    <xf numFmtId="49" fontId="0" fillId="3" borderId="1" xfId="0" applyNumberFormat="1" applyFill="1" applyBorder="1"/>
    <xf numFmtId="49" fontId="0" fillId="3" borderId="4" xfId="0" applyNumberFormat="1" applyFill="1" applyBorder="1"/>
    <xf numFmtId="0" fontId="7" fillId="0" borderId="0" xfId="0" applyFont="1" applyFill="1" applyBorder="1"/>
    <xf numFmtId="0" fontId="0" fillId="0" borderId="5" xfId="0" applyBorder="1" applyAlignment="1">
      <alignment horizontal="center"/>
    </xf>
    <xf numFmtId="0" fontId="1" fillId="5" borderId="6" xfId="0" applyFont="1" applyFill="1" applyBorder="1"/>
    <xf numFmtId="0" fontId="1" fillId="0" borderId="0" xfId="0" applyFont="1" applyFill="1" applyBorder="1"/>
    <xf numFmtId="0" fontId="0" fillId="0" borderId="0" xfId="0" applyFill="1" applyBorder="1" applyAlignment="1">
      <alignment horizontal="center"/>
    </xf>
    <xf numFmtId="0" fontId="9" fillId="0" borderId="0" xfId="1"/>
    <xf numFmtId="0" fontId="10" fillId="0" borderId="0" xfId="0" applyFont="1"/>
    <xf numFmtId="0" fontId="11" fillId="0" borderId="0" xfId="0" applyFont="1"/>
    <xf numFmtId="22" fontId="0" fillId="0" borderId="0" xfId="0" applyNumberFormat="1" applyAlignment="1">
      <alignment horizontal="left"/>
    </xf>
    <xf numFmtId="0" fontId="0" fillId="0" borderId="7" xfId="0" applyBorder="1"/>
    <xf numFmtId="0" fontId="0" fillId="0" borderId="8" xfId="0" applyBorder="1"/>
    <xf numFmtId="0" fontId="0" fillId="0" borderId="3" xfId="0" applyBorder="1"/>
    <xf numFmtId="0" fontId="0" fillId="0" borderId="4" xfId="0" applyBorder="1"/>
    <xf numFmtId="0" fontId="0" fillId="0" borderId="9" xfId="0" applyBorder="1"/>
    <xf numFmtId="0" fontId="0" fillId="0" borderId="10" xfId="0" applyBorder="1"/>
    <xf numFmtId="0" fontId="0" fillId="0" borderId="11" xfId="0" applyBorder="1"/>
    <xf numFmtId="0" fontId="0" fillId="0" borderId="3" xfId="0" applyBorder="1" applyAlignment="1">
      <alignment horizontal="center"/>
    </xf>
    <xf numFmtId="22" fontId="0" fillId="0" borderId="4" xfId="0" applyNumberFormat="1" applyBorder="1" applyAlignment="1">
      <alignment horizontal="left"/>
    </xf>
    <xf numFmtId="0" fontId="0" fillId="0" borderId="9" xfId="0" applyBorder="1" applyAlignment="1">
      <alignment horizontal="center"/>
    </xf>
    <xf numFmtId="22" fontId="0" fillId="0" borderId="11" xfId="0" applyNumberFormat="1" applyBorder="1" applyAlignment="1">
      <alignment horizontal="left"/>
    </xf>
    <xf numFmtId="0" fontId="0" fillId="0" borderId="12" xfId="0" applyBorder="1" applyAlignment="1">
      <alignment horizontal="center"/>
    </xf>
    <xf numFmtId="22" fontId="0" fillId="0" borderId="13" xfId="0" applyNumberFormat="1" applyBorder="1" applyAlignment="1">
      <alignment horizontal="left"/>
    </xf>
    <xf numFmtId="0" fontId="0" fillId="0" borderId="14" xfId="0" applyBorder="1"/>
    <xf numFmtId="0" fontId="0" fillId="0" borderId="12" xfId="0" applyBorder="1"/>
    <xf numFmtId="0" fontId="0" fillId="0" borderId="15" xfId="0" applyBorder="1"/>
    <xf numFmtId="0" fontId="0" fillId="0" borderId="13" xfId="0" applyBorder="1"/>
    <xf numFmtId="0" fontId="1" fillId="5" borderId="16" xfId="0" applyFont="1" applyFill="1" applyBorder="1"/>
    <xf numFmtId="0" fontId="1" fillId="5" borderId="17" xfId="0" applyFont="1" applyFill="1" applyBorder="1"/>
    <xf numFmtId="0" fontId="1" fillId="5" borderId="5" xfId="0" applyFont="1" applyFill="1" applyBorder="1"/>
    <xf numFmtId="0" fontId="1" fillId="5" borderId="5" xfId="0" applyFont="1" applyFill="1" applyBorder="1" applyAlignment="1">
      <alignment horizontal="left"/>
    </xf>
    <xf numFmtId="0" fontId="0" fillId="0" borderId="21" xfId="0" applyFill="1" applyBorder="1"/>
    <xf numFmtId="0" fontId="1" fillId="0" borderId="0" xfId="0" applyFont="1" applyAlignment="1">
      <alignment horizontal="center" vertical="center"/>
    </xf>
    <xf numFmtId="0" fontId="0" fillId="0" borderId="0" xfId="0" applyAlignment="1">
      <alignment horizontal="center" vertical="center"/>
    </xf>
    <xf numFmtId="0" fontId="1" fillId="5" borderId="18" xfId="0" applyFont="1" applyFill="1" applyBorder="1" applyAlignment="1">
      <alignment horizontal="left"/>
    </xf>
    <xf numFmtId="0" fontId="1" fillId="5" borderId="19" xfId="0" applyFont="1" applyFill="1" applyBorder="1" applyAlignment="1">
      <alignment horizontal="left"/>
    </xf>
    <xf numFmtId="0" fontId="1" fillId="5" borderId="20" xfId="0" applyFont="1" applyFill="1" applyBorder="1" applyAlignment="1">
      <alignment horizontal="left"/>
    </xf>
  </cellXfs>
  <cellStyles count="2">
    <cellStyle name="Hyperlink" xfId="1" builtinId="8"/>
    <cellStyle name="Normal" xfId="0" builtinId="0"/>
  </cellStyles>
  <dxfs count="27">
    <dxf>
      <numFmt numFmtId="19" formatCode="dd/mm/yyyy"/>
    </dxf>
    <dxf>
      <numFmt numFmtId="19" formatCode="dd/mm/yyyy"/>
    </dxf>
    <dxf>
      <numFmt numFmtId="19" formatCode="dd/mm/yyyy"/>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EC5A5A"/>
      <color rgb="FFB51515"/>
      <color rgb="FFF79B4F"/>
      <color rgb="FFF49E9E"/>
      <color rgb="FFFABA86"/>
      <color rgb="FFFAB0B0"/>
      <color rgb="FFF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Ayla</a:t>
            </a:r>
            <a:r>
              <a:rPr lang="en-IE" baseline="0"/>
              <a:t> Issues   </a:t>
            </a:r>
            <a:endParaRPr lang="en-IE"/>
          </a:p>
        </c:rich>
      </c:tx>
      <c:layout/>
      <c:overlay val="0"/>
      <c:spPr>
        <a:noFill/>
        <a:ln>
          <a:noFill/>
        </a:ln>
        <a:effectLst/>
      </c:spPr>
    </c:title>
    <c:autoTitleDeleted val="0"/>
    <c:plotArea>
      <c:layout/>
      <c:barChart>
        <c:barDir val="col"/>
        <c:grouping val="clustered"/>
        <c:varyColors val="0"/>
        <c:ser>
          <c:idx val="0"/>
          <c:order val="0"/>
          <c:spPr>
            <a:solidFill>
              <a:srgbClr val="00B050"/>
            </a:solidFill>
            <a:ln>
              <a:noFill/>
            </a:ln>
            <a:effectLst/>
          </c:spPr>
          <c:invertIfNegative val="0"/>
          <c:dPt>
            <c:idx val="7"/>
            <c:invertIfNegative val="0"/>
            <c:bubble3D val="0"/>
          </c:dPt>
          <c:dPt>
            <c:idx val="8"/>
            <c:invertIfNegative val="0"/>
            <c:bubble3D val="0"/>
          </c:dPt>
          <c:dPt>
            <c:idx val="9"/>
            <c:invertIfNegative val="0"/>
            <c:bubble3D val="0"/>
          </c:dPt>
          <c:dPt>
            <c:idx val="10"/>
            <c:invertIfNegative val="0"/>
            <c:bubble3D val="0"/>
          </c:dPt>
          <c:cat>
            <c:strRef>
              <c:f>Sortbyname!$A$8:$A$19</c:f>
              <c:strCache>
                <c:ptCount val="11"/>
                <c:pt idx="0">
                  <c:v>Chris Croly</c:v>
                </c:pt>
                <c:pt idx="1">
                  <c:v>David Brennan</c:v>
                </c:pt>
                <c:pt idx="2">
                  <c:v>Rory Kenneally</c:v>
                </c:pt>
                <c:pt idx="3">
                  <c:v>Cillian McDonagh</c:v>
                </c:pt>
                <c:pt idx="4">
                  <c:v>Richard Seaman</c:v>
                </c:pt>
                <c:pt idx="5">
                  <c:v>Edel Donnelly</c:v>
                </c:pt>
                <c:pt idx="6">
                  <c:v>Brian West</c:v>
                </c:pt>
                <c:pt idx="7">
                  <c:v>Eóin White</c:v>
                </c:pt>
                <c:pt idx="8">
                  <c:v>Patrick Kavanagh</c:v>
                </c:pt>
                <c:pt idx="9">
                  <c:v>Stephan Slattery</c:v>
                </c:pt>
                <c:pt idx="10">
                  <c:v>David Regan</c:v>
                </c:pt>
              </c:strCache>
            </c:strRef>
          </c:cat>
          <c:val>
            <c:numRef>
              <c:f>Sortbyname!$B$8:$B$19</c:f>
              <c:numCache>
                <c:formatCode>General</c:formatCode>
                <c:ptCount val="12"/>
                <c:pt idx="0">
                  <c:v>2</c:v>
                </c:pt>
                <c:pt idx="1">
                  <c:v>4</c:v>
                </c:pt>
                <c:pt idx="2">
                  <c:v>6</c:v>
                </c:pt>
                <c:pt idx="3">
                  <c:v>8</c:v>
                </c:pt>
                <c:pt idx="4">
                  <c:v>8</c:v>
                </c:pt>
                <c:pt idx="5">
                  <c:v>10</c:v>
                </c:pt>
                <c:pt idx="6">
                  <c:v>13</c:v>
                </c:pt>
                <c:pt idx="7">
                  <c:v>17</c:v>
                </c:pt>
                <c:pt idx="8">
                  <c:v>20</c:v>
                </c:pt>
                <c:pt idx="9">
                  <c:v>21</c:v>
                </c:pt>
                <c:pt idx="10">
                  <c:v>49</c:v>
                </c:pt>
              </c:numCache>
            </c:numRef>
          </c:val>
        </c:ser>
        <c:dLbls>
          <c:showLegendKey val="0"/>
          <c:showVal val="0"/>
          <c:showCatName val="0"/>
          <c:showSerName val="0"/>
          <c:showPercent val="0"/>
          <c:showBubbleSize val="0"/>
        </c:dLbls>
        <c:gapWidth val="219"/>
        <c:overlap val="-27"/>
        <c:axId val="98639872"/>
        <c:axId val="98641408"/>
      </c:barChart>
      <c:catAx>
        <c:axId val="9863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41408"/>
        <c:crosses val="autoZero"/>
        <c:auto val="1"/>
        <c:lblAlgn val="ctr"/>
        <c:lblOffset val="100"/>
        <c:noMultiLvlLbl val="0"/>
      </c:catAx>
      <c:valAx>
        <c:axId val="98641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39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47626</xdr:colOff>
      <xdr:row>0</xdr:row>
      <xdr:rowOff>9525</xdr:rowOff>
    </xdr:from>
    <xdr:to>
      <xdr:col>1</xdr:col>
      <xdr:colOff>724232</xdr:colOff>
      <xdr:row>3</xdr:row>
      <xdr:rowOff>123825</xdr:rowOff>
    </xdr:to>
    <xdr:pic>
      <xdr:nvPicPr>
        <xdr:cNvPr id="1025" name="Picture 1" descr="http://noav.org/wp-content/uploads/BDP-logo.jpg"/>
        <xdr:cNvPicPr>
          <a:picLocks noChangeAspect="1" noChangeArrowheads="1"/>
        </xdr:cNvPicPr>
      </xdr:nvPicPr>
      <xdr:blipFill>
        <a:blip xmlns:r="http://schemas.openxmlformats.org/officeDocument/2006/relationships" r:embed="rId1" cstate="print"/>
        <a:srcRect t="28975" b="30389"/>
        <a:stretch>
          <a:fillRect/>
        </a:stretch>
      </xdr:blipFill>
      <xdr:spPr bwMode="auto">
        <a:xfrm>
          <a:off x="47626" y="9525"/>
          <a:ext cx="1476706" cy="60007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0</xdr:col>
          <xdr:colOff>47625</xdr:colOff>
          <xdr:row>6</xdr:row>
          <xdr:rowOff>9525</xdr:rowOff>
        </xdr:from>
        <xdr:to>
          <xdr:col>1</xdr:col>
          <xdr:colOff>904875</xdr:colOff>
          <xdr:row>8</xdr:row>
          <xdr:rowOff>47625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Check All Projects</a:t>
              </a:r>
            </a:p>
          </xdr:txBody>
        </xdr:sp>
        <xdr:clientData fPrintsWithSheet="0"/>
      </xdr:twoCellAnchor>
    </mc:Choice>
    <mc:Fallback/>
  </mc:AlternateContent>
  <xdr:twoCellAnchor editAs="oneCell">
    <xdr:from>
      <xdr:col>1</xdr:col>
      <xdr:colOff>1114425</xdr:colOff>
      <xdr:row>0</xdr:row>
      <xdr:rowOff>93640</xdr:rowOff>
    </xdr:from>
    <xdr:to>
      <xdr:col>1</xdr:col>
      <xdr:colOff>2362282</xdr:colOff>
      <xdr:row>12</xdr:row>
      <xdr:rowOff>123826</xdr:rowOff>
    </xdr:to>
    <xdr:pic>
      <xdr:nvPicPr>
        <xdr:cNvPr id="2"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14525" y="93640"/>
          <a:ext cx="1247857" cy="1973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47625</xdr:colOff>
          <xdr:row>9</xdr:row>
          <xdr:rowOff>9525</xdr:rowOff>
        </xdr:from>
        <xdr:to>
          <xdr:col>1</xdr:col>
          <xdr:colOff>904875</xdr:colOff>
          <xdr:row>11</xdr:row>
          <xdr:rowOff>47625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Export To Job Runners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3009900</xdr:colOff>
          <xdr:row>0</xdr:row>
          <xdr:rowOff>47625</xdr:rowOff>
        </xdr:from>
        <xdr:to>
          <xdr:col>3</xdr:col>
          <xdr:colOff>4667250</xdr:colOff>
          <xdr:row>2</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Check Specific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11</xdr:row>
          <xdr:rowOff>104775</xdr:rowOff>
        </xdr:from>
        <xdr:to>
          <xdr:col>1</xdr:col>
          <xdr:colOff>914400</xdr:colOff>
          <xdr:row>13</xdr:row>
          <xdr:rowOff>57150</xdr:rowOff>
        </xdr:to>
        <xdr:sp macro="" textlink="">
          <xdr:nvSpPr>
            <xdr:cNvPr id="1033" name="cmdsorttype"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2295525</xdr:colOff>
          <xdr:row>5</xdr:row>
          <xdr:rowOff>123825</xdr:rowOff>
        </xdr:from>
        <xdr:to>
          <xdr:col>1</xdr:col>
          <xdr:colOff>3181350</xdr:colOff>
          <xdr:row>8</xdr:row>
          <xdr:rowOff>47625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Sort By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142874</xdr:rowOff>
    </xdr:from>
    <xdr:to>
      <xdr:col>16</xdr:col>
      <xdr:colOff>19050</xdr:colOff>
      <xdr:row>36</xdr:row>
      <xdr:rowOff>152399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2838450</xdr:colOff>
      <xdr:row>0</xdr:row>
      <xdr:rowOff>38100</xdr:rowOff>
    </xdr:from>
    <xdr:to>
      <xdr:col>3</xdr:col>
      <xdr:colOff>4842891</xdr:colOff>
      <xdr:row>8</xdr:row>
      <xdr:rowOff>144708</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8191500" y="38100"/>
          <a:ext cx="2004441" cy="14115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2495550</xdr:colOff>
      <xdr:row>0</xdr:row>
      <xdr:rowOff>38100</xdr:rowOff>
    </xdr:from>
    <xdr:to>
      <xdr:col>9</xdr:col>
      <xdr:colOff>4499991</xdr:colOff>
      <xdr:row>8</xdr:row>
      <xdr:rowOff>144708</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15230475" y="38100"/>
          <a:ext cx="2004441" cy="14115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295275</xdr:colOff>
      <xdr:row>0</xdr:row>
      <xdr:rowOff>0</xdr:rowOff>
    </xdr:from>
    <xdr:to>
      <xdr:col>5</xdr:col>
      <xdr:colOff>2299716</xdr:colOff>
      <xdr:row>8</xdr:row>
      <xdr:rowOff>106608</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8524875" y="0"/>
          <a:ext cx="2004441" cy="14115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180975</xdr:colOff>
      <xdr:row>0</xdr:row>
      <xdr:rowOff>19050</xdr:rowOff>
    </xdr:from>
    <xdr:to>
      <xdr:col>3</xdr:col>
      <xdr:colOff>2185416</xdr:colOff>
      <xdr:row>8</xdr:row>
      <xdr:rowOff>125658</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6210300" y="19050"/>
          <a:ext cx="2004441" cy="141153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2228850</xdr:colOff>
      <xdr:row>0</xdr:row>
      <xdr:rowOff>0</xdr:rowOff>
    </xdr:from>
    <xdr:to>
      <xdr:col>4</xdr:col>
      <xdr:colOff>4233291</xdr:colOff>
      <xdr:row>8</xdr:row>
      <xdr:rowOff>106608</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9877425" y="0"/>
          <a:ext cx="2004441" cy="14115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295275</xdr:colOff>
      <xdr:row>0</xdr:row>
      <xdr:rowOff>0</xdr:rowOff>
    </xdr:from>
    <xdr:to>
      <xdr:col>9</xdr:col>
      <xdr:colOff>32766</xdr:colOff>
      <xdr:row>8</xdr:row>
      <xdr:rowOff>116133</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7524750" y="0"/>
          <a:ext cx="2004441" cy="142105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3076575</xdr:colOff>
      <xdr:row>0</xdr:row>
      <xdr:rowOff>0</xdr:rowOff>
    </xdr:from>
    <xdr:to>
      <xdr:col>2</xdr:col>
      <xdr:colOff>5081016</xdr:colOff>
      <xdr:row>8</xdr:row>
      <xdr:rowOff>116133</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5505450" y="0"/>
          <a:ext cx="2004441" cy="141153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9</xdr:row>
          <xdr:rowOff>85725</xdr:rowOff>
        </xdr:from>
        <xdr:to>
          <xdr:col>3</xdr:col>
          <xdr:colOff>609600</xdr:colOff>
          <xdr:row>11</xdr:row>
          <xdr:rowOff>47625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Import Ignore Requests from Job Runners</a:t>
              </a:r>
            </a:p>
          </xdr:txBody>
        </xdr:sp>
        <xdr:clientData fPrintsWithSheet="0"/>
      </xdr:twoCellAnchor>
    </mc:Choice>
    <mc:Fallback/>
  </mc:AlternateContent>
  <xdr:twoCellAnchor editAs="oneCell">
    <xdr:from>
      <xdr:col>3</xdr:col>
      <xdr:colOff>1323975</xdr:colOff>
      <xdr:row>5</xdr:row>
      <xdr:rowOff>19050</xdr:rowOff>
    </xdr:from>
    <xdr:to>
      <xdr:col>4</xdr:col>
      <xdr:colOff>1461516</xdr:colOff>
      <xdr:row>13</xdr:row>
      <xdr:rowOff>135183</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717"/>
        <a:stretch/>
      </xdr:blipFill>
      <xdr:spPr>
        <a:xfrm>
          <a:off x="5114925" y="828675"/>
          <a:ext cx="2004441" cy="1411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38100</xdr:colOff>
          <xdr:row>11</xdr:row>
          <xdr:rowOff>123825</xdr:rowOff>
        </xdr:from>
        <xdr:to>
          <xdr:col>3</xdr:col>
          <xdr:colOff>609600</xdr:colOff>
          <xdr:row>13</xdr:row>
          <xdr:rowOff>85725</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E" sz="1000" b="0" i="0" u="none" strike="noStrike" baseline="0">
                  <a:solidFill>
                    <a:srgbClr val="000000"/>
                  </a:solidFill>
                  <a:latin typeface="Arial"/>
                  <a:cs typeface="Arial"/>
                </a:rPr>
                <a:t>Remove Newly Approved Exceptions from Dashboard</a:t>
              </a:r>
            </a:p>
          </xdr:txBody>
        </xdr:sp>
        <xdr:clientData fPrintsWithSheet="0"/>
      </xdr:twoCellAnchor>
    </mc:Choice>
    <mc:Fallback/>
  </mc:AlternateContent>
</xdr:wsDr>
</file>

<file path=xl/queryTables/queryTable1.xml><?xml version="1.0" encoding="utf-8"?>
<queryTable xmlns="http://schemas.openxmlformats.org/spreadsheetml/2006/main" name="projectnames" backgroundRefresh="0" connectionId="1" autoFormatId="16" applyNumberFormats="0" applyBorderFormats="0" applyFontFormats="0" applyPatternFormats="0" applyAlignmentFormats="0" applyWidthHeightFormats="0">
  <queryTableRefresh nextId="55">
    <queryTableFields count="54">
      <queryTableField id="1" name="Field1" tableColumnId="1"/>
      <queryTableField id="2" name="Project Number" tableColumnId="2"/>
      <queryTableField id="3" name="Project Name" tableColumnId="3"/>
      <queryTableField id="4" name="Date of last cost update" tableColumnId="4"/>
      <queryTableField id="5" name="Area" tableColumnId="5"/>
      <queryTableField id="6" name="Value" tableColumnId="6"/>
      <queryTableField id="7" name="Fee" tableColumnId="7"/>
      <queryTableField id="8" name="Job Director" tableColumnId="8"/>
      <queryTableField id="9" name="Job Runner" tableColumnId="9"/>
      <queryTableField id="10" name="Elec" tableColumnId="10"/>
      <queryTableField id="11" name="Elec2" tableColumnId="11"/>
      <queryTableField id="12" name="Mech" tableColumnId="12"/>
      <queryTableField id="13" name="Mec2" tableColumnId="13"/>
      <queryTableField id="14" name="Start Date" tableColumnId="14"/>
      <queryTableField id="15" name="Stage 3 Issued" tableColumnId="15"/>
      <queryTableField id="16" name="Stage 4 Issued" tableColumnId="16"/>
      <queryTableField id="17" name="Practical Completion" tableColumnId="17"/>
      <queryTableField id="18" name="Start On Site" tableColumnId="18"/>
      <queryTableField id="19" name="Stage" tableColumnId="19"/>
      <queryTableField id="20" name="Deadline date" tableColumnId="20"/>
      <queryTableField id="21" name="Deadline Description" tableColumnId="21"/>
      <queryTableField id="22" name="Key Date 1" tableColumnId="22"/>
      <queryTableField id="23" name="Key Date 2" tableColumnId="23"/>
      <queryTableField id="24" name="Key Date 3" tableColumnId="24"/>
      <queryTableField id="25" name="Key Date 4" tableColumnId="25"/>
      <queryTableField id="26" name="Key Date 5" tableColumnId="26"/>
      <queryTableField id="27" name="Key Date 6" tableColumnId="27"/>
      <queryTableField id="28" name="Key Date 7" tableColumnId="28"/>
      <queryTableField id="29" name="Completion year" tableColumnId="29"/>
      <queryTableField id="30" name="Completion date" tableColumnId="30"/>
      <queryTableField id="31" name="Location address" tableColumnId="31"/>
      <queryTableField id="32" name="Location county" tableColumnId="32"/>
      <queryTableField id="33" name="Proj description" tableColumnId="33"/>
      <queryTableField id="34" name="Proj type" tableColumnId="34"/>
      <queryTableField id="35" name="Proj new" tableColumnId="35"/>
      <queryTableField id="36" name="Proj image" tableColumnId="36"/>
      <queryTableField id="37" name="Occupacy" tableColumnId="37"/>
      <queryTableField id="38" name="Article 2" tableColumnId="38"/>
      <queryTableField id="39" name="Article 1" tableColumnId="39"/>
      <queryTableField id="40" name="Risks" tableColumnId="40"/>
      <queryTableField id="41" name="Cost descript" tableColumnId="41"/>
      <queryTableField id="42" name="Significant" tableColumnId="42"/>
      <queryTableField id="43" name="Professions" tableColumnId="43"/>
      <queryTableField id="44" name="References" tableColumnId="44"/>
      <queryTableField id="45" name="fee update date" tableColumnId="45"/>
      <queryTableField id="46" name="Team profit" tableColumnId="46"/>
      <queryTableField id="47" name="Specialacts" tableColumnId="47"/>
      <queryTableField id="48" name="Deviationsfromprocess" tableColumnId="48"/>
      <queryTableField id="49" name="Breifpath" tableColumnId="49"/>
      <queryTableField id="50" name="Programpath" tableColumnId="50"/>
      <queryTableField id="51" name="Emailprocedure" tableColumnId="51"/>
      <queryTableField id="52" name="Changectlpath" tableColumnId="52"/>
      <queryTableField id="53" name="Feeagreementonfile" tableColumnId="53"/>
      <queryTableField id="54" name="desroll" tableColumnId="5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projectnames" displayName="Table_projectnames" ref="A1:BB451" tableType="queryTable" totalsRowShown="0">
  <autoFilter ref="A1:BB451"/>
  <sortState ref="A2:BB451">
    <sortCondition ref="B1:B444"/>
  </sortState>
  <tableColumns count="54">
    <tableColumn id="1" uniqueName="1" name="Field1" queryTableFieldId="1"/>
    <tableColumn id="2" uniqueName="2" name="Project Number" queryTableFieldId="2"/>
    <tableColumn id="3" uniqueName="3" name="Project Name" queryTableFieldId="3"/>
    <tableColumn id="4" uniqueName="4" name="Date of last cost update" queryTableFieldId="4"/>
    <tableColumn id="5" uniqueName="5" name="Area" queryTableFieldId="5"/>
    <tableColumn id="6" uniqueName="6" name="Value" queryTableFieldId="6"/>
    <tableColumn id="7" uniqueName="7" name="Fee" queryTableFieldId="7"/>
    <tableColumn id="8" uniqueName="8" name="Job Director" queryTableFieldId="8"/>
    <tableColumn id="9" uniqueName="9" name="Job Runner" queryTableFieldId="9"/>
    <tableColumn id="10" uniqueName="10" name="Elec" queryTableFieldId="10"/>
    <tableColumn id="11" uniqueName="11" name="Elec2" queryTableFieldId="11"/>
    <tableColumn id="12" uniqueName="12" name="Mech" queryTableFieldId="12"/>
    <tableColumn id="13" uniqueName="13" name="Mec2" queryTableFieldId="13"/>
    <tableColumn id="14" uniqueName="14" name="Start Date" queryTableFieldId="14" dataDxfId="2"/>
    <tableColumn id="15" uniqueName="15" name="Stage 3 Issued" queryTableFieldId="15"/>
    <tableColumn id="16" uniqueName="16" name="Stage 4 Issued" queryTableFieldId="16"/>
    <tableColumn id="17" uniqueName="17" name="Practical Completion" queryTableFieldId="17"/>
    <tableColumn id="18" uniqueName="18" name="Start On Site" queryTableFieldId="18"/>
    <tableColumn id="19" uniqueName="19" name="Stage" queryTableFieldId="19"/>
    <tableColumn id="20" uniqueName="20" name="Deadline date" queryTableFieldId="20" dataDxfId="1"/>
    <tableColumn id="21" uniqueName="21" name="Deadline Description" queryTableFieldId="21"/>
    <tableColumn id="22" uniqueName="22" name="Key Date 1" queryTableFieldId="22"/>
    <tableColumn id="23" uniqueName="23" name="Key Date 2" queryTableFieldId="23"/>
    <tableColumn id="24" uniqueName="24" name="Key Date 3" queryTableFieldId="24"/>
    <tableColumn id="25" uniqueName="25" name="Key Date 4" queryTableFieldId="25"/>
    <tableColumn id="26" uniqueName="26" name="Key Date 5" queryTableFieldId="26"/>
    <tableColumn id="27" uniqueName="27" name="Key Date 6" queryTableFieldId="27"/>
    <tableColumn id="28" uniqueName="28" name="Key Date 7" queryTableFieldId="28"/>
    <tableColumn id="29" uniqueName="29" name="Completion year" queryTableFieldId="29"/>
    <tableColumn id="30" uniqueName="30" name="Completion date" queryTableFieldId="30" dataDxfId="0"/>
    <tableColumn id="31" uniqueName="31" name="Location address" queryTableFieldId="31"/>
    <tableColumn id="32" uniqueName="32" name="Location county" queryTableFieldId="32"/>
    <tableColumn id="33" uniqueName="33" name="Proj description" queryTableFieldId="33"/>
    <tableColumn id="34" uniqueName="34" name="Proj type" queryTableFieldId="34"/>
    <tableColumn id="35" uniqueName="35" name="Proj new" queryTableFieldId="35"/>
    <tableColumn id="36" uniqueName="36" name="Proj image" queryTableFieldId="36"/>
    <tableColumn id="37" uniqueName="37" name="Occupacy" queryTableFieldId="37"/>
    <tableColumn id="38" uniqueName="38" name="Article 2" queryTableFieldId="38"/>
    <tableColumn id="39" uniqueName="39" name="Article 1" queryTableFieldId="39"/>
    <tableColumn id="40" uniqueName="40" name="Risks" queryTableFieldId="40"/>
    <tableColumn id="41" uniqueName="41" name="Cost descript" queryTableFieldId="41"/>
    <tableColumn id="42" uniqueName="42" name="Significant" queryTableFieldId="42"/>
    <tableColumn id="43" uniqueName="43" name="Professions" queryTableFieldId="43"/>
    <tableColumn id="44" uniqueName="44" name="References" queryTableFieldId="44"/>
    <tableColumn id="45" uniqueName="45" name="fee update date" queryTableFieldId="45"/>
    <tableColumn id="46" uniqueName="46" name="Team profit" queryTableFieldId="46"/>
    <tableColumn id="47" uniqueName="47" name="Specialacts" queryTableFieldId="47"/>
    <tableColumn id="48" uniqueName="48" name="Deviationsfromprocess" queryTableFieldId="48"/>
    <tableColumn id="49" uniqueName="49" name="Breifpath" queryTableFieldId="49"/>
    <tableColumn id="50" uniqueName="50" name="Programpath" queryTableFieldId="50"/>
    <tableColumn id="51" uniqueName="51" name="Emailprocedure" queryTableFieldId="51"/>
    <tableColumn id="52" uniqueName="52" name="Changectlpath" queryTableFieldId="52"/>
    <tableColumn id="53" uniqueName="53" name="Feeagreementonfile" queryTableFieldId="53"/>
    <tableColumn id="54" uniqueName="54" name="desroll" queryTableFieldId="5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174"/>
  <sheetViews>
    <sheetView showGridLines="0" tabSelected="1" workbookViewId="0">
      <pane ySplit="15" topLeftCell="A16" activePane="bottomLeft" state="frozen"/>
      <selection pane="bottomLeft"/>
    </sheetView>
  </sheetViews>
  <sheetFormatPr defaultRowHeight="12.75" x14ac:dyDescent="0.2"/>
  <cols>
    <col min="1" max="1" width="12" customWidth="1"/>
    <col min="2" max="2" width="49.140625" bestFit="1" customWidth="1"/>
    <col min="3" max="3" width="19.5703125" customWidth="1"/>
    <col min="4" max="4" width="82" customWidth="1"/>
    <col min="5" max="5" width="30.42578125" customWidth="1"/>
    <col min="6" max="6" width="33.28515625" customWidth="1"/>
    <col min="7" max="7" width="41" customWidth="1"/>
  </cols>
  <sheetData>
    <row r="2" spans="1:15" x14ac:dyDescent="0.2">
      <c r="C2" s="26" t="s">
        <v>3455</v>
      </c>
    </row>
    <row r="3" spans="1:15" x14ac:dyDescent="0.2">
      <c r="C3" s="26"/>
      <c r="N3" s="24">
        <v>2</v>
      </c>
      <c r="O3" s="24"/>
    </row>
    <row r="4" spans="1:15" x14ac:dyDescent="0.2">
      <c r="C4" s="26" t="s">
        <v>3456</v>
      </c>
      <c r="D4" s="29" t="s">
        <v>1502</v>
      </c>
      <c r="N4" s="24">
        <v>1000</v>
      </c>
    </row>
    <row r="5" spans="1:15" x14ac:dyDescent="0.2">
      <c r="A5" t="s">
        <v>3079</v>
      </c>
      <c r="C5" s="26"/>
      <c r="D5" s="11"/>
      <c r="E5" s="26" t="s">
        <v>3126</v>
      </c>
      <c r="H5" s="24"/>
    </row>
    <row r="6" spans="1:15" x14ac:dyDescent="0.2">
      <c r="C6" s="27"/>
      <c r="E6" s="25">
        <v>42493.336597222224</v>
      </c>
    </row>
    <row r="7" spans="1:15" x14ac:dyDescent="0.2">
      <c r="C7" s="26" t="s">
        <v>3468</v>
      </c>
      <c r="D7" s="5"/>
    </row>
    <row r="8" spans="1:15" x14ac:dyDescent="0.2">
      <c r="C8" s="26" t="s">
        <v>2974</v>
      </c>
      <c r="D8" s="5"/>
      <c r="E8" s="26" t="s">
        <v>3212</v>
      </c>
    </row>
    <row r="9" spans="1:15" x14ac:dyDescent="0.2">
      <c r="C9" s="26" t="s">
        <v>2975</v>
      </c>
      <c r="D9" s="5"/>
      <c r="E9" s="25">
        <v>42493.453229166669</v>
      </c>
    </row>
    <row r="10" spans="1:15" x14ac:dyDescent="0.2">
      <c r="A10" t="s">
        <v>2664</v>
      </c>
      <c r="C10" s="26"/>
    </row>
    <row r="11" spans="1:15" x14ac:dyDescent="0.2">
      <c r="C11" s="26" t="s">
        <v>2976</v>
      </c>
      <c r="D11" s="5" t="s">
        <v>4546</v>
      </c>
      <c r="E11" s="6"/>
    </row>
    <row r="12" spans="1:15" x14ac:dyDescent="0.2">
      <c r="C12" s="26"/>
    </row>
    <row r="13" spans="1:15" x14ac:dyDescent="0.2">
      <c r="A13" s="2" t="s">
        <v>2816</v>
      </c>
      <c r="C13" s="26" t="s">
        <v>3222</v>
      </c>
      <c r="D13" s="28">
        <v>161</v>
      </c>
      <c r="F13" s="2" t="s">
        <v>3459</v>
      </c>
    </row>
    <row r="14" spans="1:15" x14ac:dyDescent="0.2">
      <c r="C14" s="42" t="s">
        <v>4340</v>
      </c>
      <c r="D14" s="28">
        <v>83</v>
      </c>
    </row>
    <row r="15" spans="1:15" x14ac:dyDescent="0.2">
      <c r="A15" s="4" t="s">
        <v>2817</v>
      </c>
      <c r="B15" s="4" t="s">
        <v>2</v>
      </c>
      <c r="C15" s="4" t="s">
        <v>8</v>
      </c>
      <c r="D15" s="4" t="s">
        <v>2818</v>
      </c>
      <c r="E15" s="4" t="s">
        <v>2819</v>
      </c>
      <c r="F15" s="4" t="s">
        <v>2900</v>
      </c>
      <c r="G15" s="4" t="s">
        <v>2825</v>
      </c>
    </row>
    <row r="16" spans="1:15" x14ac:dyDescent="0.2">
      <c r="A16" t="s">
        <v>2461</v>
      </c>
      <c r="B16" t="s">
        <v>2462</v>
      </c>
      <c r="C16" t="s">
        <v>492</v>
      </c>
      <c r="D16" t="s">
        <v>4334</v>
      </c>
      <c r="E16" s="47" t="str">
        <f>HYPERLINK("J:\P5000566\Letters\Client\","J:\P5000566\Letters\Client\")</f>
        <v>J:\P5000566\Letters\Client\</v>
      </c>
      <c r="F16" s="47" t="str">
        <f>HYPERLINK("J:\P5000566\Reports\Stage 1\","J:\P5000566\Reports\Stage 1\")</f>
        <v>J:\P5000566\Reports\Stage 1\</v>
      </c>
    </row>
    <row r="17" spans="1:6" x14ac:dyDescent="0.2">
      <c r="A17" t="s">
        <v>2461</v>
      </c>
      <c r="B17" t="s">
        <v>2462</v>
      </c>
      <c r="C17" t="s">
        <v>492</v>
      </c>
      <c r="D17" t="s">
        <v>3800</v>
      </c>
      <c r="E17" s="47" t="str">
        <f>HYPERLINK("J:\P5000566\Reports\Stage 1\St. Annes REP001 Stage 1.doc","J:\P5000566\Reports\Stage 1\St. Annes REP001 Stage 1.doc")</f>
        <v>J:\P5000566\Reports\Stage 1\St. Annes REP001 Stage 1.doc</v>
      </c>
    </row>
    <row r="18" spans="1:6" x14ac:dyDescent="0.2">
      <c r="A18" t="s">
        <v>2461</v>
      </c>
      <c r="B18" t="s">
        <v>2462</v>
      </c>
      <c r="C18" t="s">
        <v>492</v>
      </c>
      <c r="D18" t="s">
        <v>3801</v>
      </c>
      <c r="E18" s="47" t="str">
        <f>HYPERLINK("J:\P5000566\Reports\Stage 1\St. Annes REP001 Stage 1.doc","J:\P5000566\Reports\Stage 1\St. Annes REP001 Stage 1.doc")</f>
        <v>J:\P5000566\Reports\Stage 1\St. Annes REP001 Stage 1.doc</v>
      </c>
    </row>
    <row r="19" spans="1:6" x14ac:dyDescent="0.2">
      <c r="A19" t="s">
        <v>2461</v>
      </c>
      <c r="B19" t="s">
        <v>2462</v>
      </c>
      <c r="C19" t="s">
        <v>492</v>
      </c>
      <c r="D19" t="s">
        <v>4295</v>
      </c>
    </row>
    <row r="20" spans="1:6" x14ac:dyDescent="0.2">
      <c r="A20" t="s">
        <v>2461</v>
      </c>
      <c r="B20" t="s">
        <v>2462</v>
      </c>
      <c r="C20" t="s">
        <v>492</v>
      </c>
      <c r="D20" t="s">
        <v>4402</v>
      </c>
    </row>
    <row r="21" spans="1:6" x14ac:dyDescent="0.2">
      <c r="A21" t="s">
        <v>2675</v>
      </c>
      <c r="B21" t="s">
        <v>2676</v>
      </c>
      <c r="C21" t="s">
        <v>492</v>
      </c>
      <c r="D21" t="s">
        <v>4324</v>
      </c>
    </row>
    <row r="22" spans="1:6" x14ac:dyDescent="0.2">
      <c r="A22" t="s">
        <v>2675</v>
      </c>
      <c r="B22" t="s">
        <v>2676</v>
      </c>
      <c r="C22" t="s">
        <v>492</v>
      </c>
      <c r="D22" t="s">
        <v>4407</v>
      </c>
    </row>
    <row r="23" spans="1:6" x14ac:dyDescent="0.2">
      <c r="A23" t="s">
        <v>2675</v>
      </c>
      <c r="B23" t="s">
        <v>2676</v>
      </c>
      <c r="C23" t="s">
        <v>492</v>
      </c>
      <c r="D23" t="s">
        <v>3352</v>
      </c>
    </row>
    <row r="24" spans="1:6" x14ac:dyDescent="0.2">
      <c r="A24" t="s">
        <v>2675</v>
      </c>
      <c r="B24" t="s">
        <v>2676</v>
      </c>
      <c r="C24" t="s">
        <v>492</v>
      </c>
      <c r="D24" t="s">
        <v>3325</v>
      </c>
    </row>
    <row r="25" spans="1:6" x14ac:dyDescent="0.2">
      <c r="A25" t="s">
        <v>2743</v>
      </c>
      <c r="B25" t="s">
        <v>2744</v>
      </c>
      <c r="C25" t="s">
        <v>492</v>
      </c>
      <c r="D25" t="s">
        <v>2984</v>
      </c>
      <c r="E25" s="47" t="str">
        <f>HYPERLINK("J:\P5000645\Specs\Electrical\Coosan National School Electrical Specification - Volume One.doc","J:\P5000645\Specs\Electrical\Coosan National School Electrical Specification - Volume One.doc")</f>
        <v>J:\P5000645\Specs\Electrical\Coosan National School Electrical Specification - Volume One.doc</v>
      </c>
    </row>
    <row r="26" spans="1:6" x14ac:dyDescent="0.2">
      <c r="A26" t="s">
        <v>2743</v>
      </c>
      <c r="B26" t="s">
        <v>2744</v>
      </c>
      <c r="C26" t="s">
        <v>492</v>
      </c>
      <c r="D26" t="s">
        <v>3845</v>
      </c>
    </row>
    <row r="27" spans="1:6" x14ac:dyDescent="0.2">
      <c r="A27" t="s">
        <v>2743</v>
      </c>
      <c r="B27" t="s">
        <v>2744</v>
      </c>
      <c r="C27" t="s">
        <v>492</v>
      </c>
      <c r="D27" t="s">
        <v>3323</v>
      </c>
    </row>
    <row r="28" spans="1:6" x14ac:dyDescent="0.2">
      <c r="A28" t="s">
        <v>3457</v>
      </c>
      <c r="B28" t="s">
        <v>3458</v>
      </c>
      <c r="C28" t="s">
        <v>492</v>
      </c>
      <c r="D28" t="s">
        <v>3357</v>
      </c>
    </row>
    <row r="29" spans="1:6" x14ac:dyDescent="0.2">
      <c r="A29" t="s">
        <v>1502</v>
      </c>
      <c r="B29" t="s">
        <v>1503</v>
      </c>
      <c r="C29" t="s">
        <v>60</v>
      </c>
      <c r="D29" t="s">
        <v>4319</v>
      </c>
      <c r="E29" s="47"/>
      <c r="F29" s="47"/>
    </row>
    <row r="30" spans="1:6" x14ac:dyDescent="0.2">
      <c r="A30" t="s">
        <v>1839</v>
      </c>
      <c r="B30" t="s">
        <v>1840</v>
      </c>
      <c r="C30" t="s">
        <v>60</v>
      </c>
      <c r="D30" t="s">
        <v>4375</v>
      </c>
    </row>
    <row r="31" spans="1:6" x14ac:dyDescent="0.2">
      <c r="A31" t="s">
        <v>2156</v>
      </c>
      <c r="B31" t="s">
        <v>2157</v>
      </c>
      <c r="C31" t="s">
        <v>2160</v>
      </c>
      <c r="D31" t="s">
        <v>4376</v>
      </c>
    </row>
    <row r="32" spans="1:6" x14ac:dyDescent="0.2">
      <c r="A32" t="s">
        <v>2433</v>
      </c>
      <c r="B32" t="s">
        <v>2434</v>
      </c>
      <c r="C32" t="s">
        <v>2160</v>
      </c>
      <c r="D32" t="s">
        <v>4293</v>
      </c>
      <c r="E32" s="47" t="str">
        <f>HYPERLINK("J:\P5000563\Reports\","J:\P5000563\Reports\")</f>
        <v>J:\P5000563\Reports\</v>
      </c>
      <c r="F32" s="47" t="str">
        <f>HYPERLINK("J:\P5000563\Reports\Tender Report and Matrix\","J:\P5000563\Reports\Tender Report and Matrix\")</f>
        <v>J:\P5000563\Reports\Tender Report and Matrix\</v>
      </c>
    </row>
    <row r="33" spans="1:6" x14ac:dyDescent="0.2">
      <c r="A33" t="s">
        <v>2433</v>
      </c>
      <c r="B33" t="s">
        <v>2434</v>
      </c>
      <c r="C33" t="s">
        <v>2160</v>
      </c>
      <c r="D33" t="s">
        <v>4333</v>
      </c>
    </row>
    <row r="34" spans="1:6" x14ac:dyDescent="0.2">
      <c r="A34" t="s">
        <v>2433</v>
      </c>
      <c r="B34" t="s">
        <v>2434</v>
      </c>
      <c r="C34" t="s">
        <v>2160</v>
      </c>
      <c r="D34" t="s">
        <v>3880</v>
      </c>
    </row>
    <row r="35" spans="1:6" x14ac:dyDescent="0.2">
      <c r="A35" t="s">
        <v>2433</v>
      </c>
      <c r="B35" t="s">
        <v>2434</v>
      </c>
      <c r="C35" t="s">
        <v>2160</v>
      </c>
      <c r="D35" t="s">
        <v>4388</v>
      </c>
    </row>
    <row r="36" spans="1:6" x14ac:dyDescent="0.2">
      <c r="A36" t="s">
        <v>2418</v>
      </c>
      <c r="B36" t="s">
        <v>2419</v>
      </c>
      <c r="C36" t="s">
        <v>2160</v>
      </c>
      <c r="D36" t="s">
        <v>4292</v>
      </c>
    </row>
    <row r="37" spans="1:6" x14ac:dyDescent="0.2">
      <c r="A37" t="s">
        <v>2418</v>
      </c>
      <c r="B37" t="s">
        <v>2419</v>
      </c>
      <c r="C37" t="s">
        <v>2160</v>
      </c>
      <c r="D37" t="s">
        <v>4388</v>
      </c>
    </row>
    <row r="38" spans="1:6" x14ac:dyDescent="0.2">
      <c r="A38" t="s">
        <v>2418</v>
      </c>
      <c r="B38" t="s">
        <v>2419</v>
      </c>
      <c r="C38" t="s">
        <v>2160</v>
      </c>
      <c r="D38" t="s">
        <v>4389</v>
      </c>
    </row>
    <row r="39" spans="1:6" x14ac:dyDescent="0.2">
      <c r="A39" t="s">
        <v>1531</v>
      </c>
      <c r="B39" t="s">
        <v>1532</v>
      </c>
      <c r="C39" t="s">
        <v>88</v>
      </c>
      <c r="D39" t="s">
        <v>4321</v>
      </c>
      <c r="E39" s="47" t="str">
        <f>HYPERLINK("J:\P5000176\Snag Lists\","J:\P5000176\Snag Lists\")</f>
        <v>J:\P5000176\Snag Lists\</v>
      </c>
      <c r="F39" s="47" t="str">
        <f>HYPERLINK("J:\P5000176\Snag Lists\JPC Void Closure Schedule\","J:\P5000176\Snag Lists\JPC Void Closure Schedule\")</f>
        <v>J:\P5000176\Snag Lists\JPC Void Closure Schedule\</v>
      </c>
    </row>
    <row r="40" spans="1:6" x14ac:dyDescent="0.2">
      <c r="A40" t="s">
        <v>1531</v>
      </c>
      <c r="B40" t="s">
        <v>1532</v>
      </c>
      <c r="C40" t="s">
        <v>88</v>
      </c>
      <c r="D40" t="s">
        <v>4322</v>
      </c>
      <c r="E40" s="47" t="str">
        <f>HYPERLINK("J:\P5000176\Snag Lists\JPC Void Closure Schedule\","J:\P5000176\Snag Lists\JPC Void Closure Schedule\")</f>
        <v>J:\P5000176\Snag Lists\JPC Void Closure Schedule\</v>
      </c>
      <c r="F40" s="47" t="str">
        <f>HYPERLINK("J:\P5000176\Snag Lists\pdf version of snag list\","J:\P5000176\Snag Lists\pdf version of snag list\")</f>
        <v>J:\P5000176\Snag Lists\pdf version of snag list\</v>
      </c>
    </row>
    <row r="41" spans="1:6" x14ac:dyDescent="0.2">
      <c r="A41" t="s">
        <v>1531</v>
      </c>
      <c r="B41" t="s">
        <v>1532</v>
      </c>
      <c r="C41" t="s">
        <v>88</v>
      </c>
      <c r="D41" t="s">
        <v>4373</v>
      </c>
    </row>
    <row r="42" spans="1:6" x14ac:dyDescent="0.2">
      <c r="A42" t="s">
        <v>2510</v>
      </c>
      <c r="B42" t="s">
        <v>2511</v>
      </c>
      <c r="C42" t="s">
        <v>88</v>
      </c>
      <c r="D42" t="s">
        <v>4294</v>
      </c>
    </row>
    <row r="43" spans="1:6" x14ac:dyDescent="0.2">
      <c r="A43" t="s">
        <v>1944</v>
      </c>
      <c r="B43" t="s">
        <v>1945</v>
      </c>
      <c r="C43" t="s">
        <v>244</v>
      </c>
      <c r="D43" t="s">
        <v>4325</v>
      </c>
      <c r="E43" s="47" t="str">
        <f>HYPERLINK("J:\P5000448\Cost Control\Tender Report\First Contractor\","J:\P5000448\Cost Control\Tender Report\First Contractor\")</f>
        <v>J:\P5000448\Cost Control\Tender Report\First Contractor\</v>
      </c>
      <c r="F43" s="47" t="str">
        <f>HYPERLINK("J:\P5000448\Reports\","J:\P5000448\Reports\")</f>
        <v>J:\P5000448\Reports\</v>
      </c>
    </row>
    <row r="44" spans="1:6" x14ac:dyDescent="0.2">
      <c r="A44" t="s">
        <v>1944</v>
      </c>
      <c r="B44" t="s">
        <v>1945</v>
      </c>
      <c r="C44" t="s">
        <v>244</v>
      </c>
      <c r="D44" t="s">
        <v>4326</v>
      </c>
      <c r="E44" s="47" t="str">
        <f>HYPERLINK("J:\P5000448\Pre Appointment\","J:\P5000448\Pre Appointment\")</f>
        <v>J:\P5000448\Pre Appointment\</v>
      </c>
      <c r="F44" s="47" t="str">
        <f>HYPERLINK("J:\P5000448\Reports\","J:\P5000448\Reports\")</f>
        <v>J:\P5000448\Reports\</v>
      </c>
    </row>
    <row r="45" spans="1:6" x14ac:dyDescent="0.2">
      <c r="A45" t="s">
        <v>1944</v>
      </c>
      <c r="B45" t="s">
        <v>1945</v>
      </c>
      <c r="C45" t="s">
        <v>244</v>
      </c>
      <c r="D45" t="s">
        <v>4327</v>
      </c>
      <c r="E45" s="47" t="str">
        <f>HYPERLINK("J:\P5000448\Pre Appointment\","J:\P5000448\Pre Appointment\")</f>
        <v>J:\P5000448\Pre Appointment\</v>
      </c>
      <c r="F45" s="47" t="str">
        <f>HYPERLINK("J:\P5000448\Reports\","J:\P5000448\Reports\")</f>
        <v>J:\P5000448\Reports\</v>
      </c>
    </row>
    <row r="46" spans="1:6" x14ac:dyDescent="0.2">
      <c r="A46" t="s">
        <v>1944</v>
      </c>
      <c r="B46" t="s">
        <v>1945</v>
      </c>
      <c r="C46" t="s">
        <v>244</v>
      </c>
      <c r="D46" t="s">
        <v>4328</v>
      </c>
      <c r="E46" s="47" t="str">
        <f>HYPERLINK("J:\P5000448\Reports\","J:\P5000448\Reports\")</f>
        <v>J:\P5000448\Reports\</v>
      </c>
      <c r="F46" s="47" t="str">
        <f>HYPERLINK("J:\P5000448\Reports\Site Investigations\","J:\P5000448\Reports\Site Investigations\")</f>
        <v>J:\P5000448\Reports\Site Investigations\</v>
      </c>
    </row>
    <row r="47" spans="1:6" x14ac:dyDescent="0.2">
      <c r="A47" t="s">
        <v>1944</v>
      </c>
      <c r="B47" t="s">
        <v>1945</v>
      </c>
      <c r="C47" t="s">
        <v>244</v>
      </c>
      <c r="D47" t="s">
        <v>4329</v>
      </c>
      <c r="E47" s="47" t="str">
        <f>HYPERLINK("J:\P5000448\Reports\","J:\P5000448\Reports\")</f>
        <v>J:\P5000448\Reports\</v>
      </c>
      <c r="F47" s="47" t="str">
        <f>HYPERLINK("J:\P5000448\Reports\Site Investigations\","J:\P5000448\Reports\Site Investigations\")</f>
        <v>J:\P5000448\Reports\Site Investigations\</v>
      </c>
    </row>
    <row r="48" spans="1:6" x14ac:dyDescent="0.2">
      <c r="A48" t="s">
        <v>1944</v>
      </c>
      <c r="B48" t="s">
        <v>1945</v>
      </c>
      <c r="C48" t="s">
        <v>244</v>
      </c>
      <c r="D48" t="s">
        <v>4330</v>
      </c>
      <c r="E48" s="47" t="str">
        <f>HYPERLINK("J:\P5000448\Reports\","J:\P5000448\Reports\")</f>
        <v>J:\P5000448\Reports\</v>
      </c>
      <c r="F48" s="47" t="str">
        <f>HYPERLINK("J:\P5000448\Reports\Site Investigations\","J:\P5000448\Reports\Site Investigations\")</f>
        <v>J:\P5000448\Reports\Site Investigations\</v>
      </c>
    </row>
    <row r="49" spans="1:6" x14ac:dyDescent="0.2">
      <c r="A49" t="s">
        <v>1944</v>
      </c>
      <c r="B49" t="s">
        <v>1945</v>
      </c>
      <c r="C49" t="s">
        <v>244</v>
      </c>
      <c r="D49" t="s">
        <v>4331</v>
      </c>
      <c r="E49" s="47" t="str">
        <f>HYPERLINK("J:\P5000448\Reports\Site Investigations\","J:\P5000448\Reports\Site Investigations\")</f>
        <v>J:\P5000448\Reports\Site Investigations\</v>
      </c>
      <c r="F49" s="47" t="str">
        <f>HYPERLINK("J:\P5000448\Specs\Architectural\","J:\P5000448\Specs\Architectural\")</f>
        <v>J:\P5000448\Specs\Architectural\</v>
      </c>
    </row>
    <row r="50" spans="1:6" x14ac:dyDescent="0.2">
      <c r="A50" t="s">
        <v>1944</v>
      </c>
      <c r="B50" t="s">
        <v>1945</v>
      </c>
      <c r="C50" t="s">
        <v>244</v>
      </c>
      <c r="D50" t="s">
        <v>4280</v>
      </c>
    </row>
    <row r="51" spans="1:6" x14ac:dyDescent="0.2">
      <c r="A51" t="s">
        <v>1944</v>
      </c>
      <c r="B51" t="s">
        <v>1945</v>
      </c>
      <c r="C51" t="s">
        <v>244</v>
      </c>
      <c r="D51" t="s">
        <v>3881</v>
      </c>
    </row>
    <row r="52" spans="1:6" x14ac:dyDescent="0.2">
      <c r="A52" t="s">
        <v>2249</v>
      </c>
      <c r="B52" t="s">
        <v>2250</v>
      </c>
      <c r="C52" t="s">
        <v>244</v>
      </c>
      <c r="D52" t="s">
        <v>3569</v>
      </c>
      <c r="E52" s="47" t="str">
        <f>HYPERLINK("J:\P5000509\Reports\Stage 1 Report\REP001 - Stage 1 Report (Rev-0).docx","J:\P5000509\Reports\Stage 1 Report\REP001 - Stage 1 Report (Rev-0).docx")</f>
        <v>J:\P5000509\Reports\Stage 1 Report\REP001 - Stage 1 Report (Rev-0).docx</v>
      </c>
    </row>
    <row r="53" spans="1:6" x14ac:dyDescent="0.2">
      <c r="A53" t="s">
        <v>2249</v>
      </c>
      <c r="B53" t="s">
        <v>2250</v>
      </c>
      <c r="C53" t="s">
        <v>244</v>
      </c>
      <c r="D53" t="s">
        <v>3835</v>
      </c>
    </row>
    <row r="54" spans="1:6" x14ac:dyDescent="0.2">
      <c r="A54" t="s">
        <v>2249</v>
      </c>
      <c r="B54" t="s">
        <v>2250</v>
      </c>
      <c r="C54" t="s">
        <v>244</v>
      </c>
      <c r="D54" t="s">
        <v>4282</v>
      </c>
    </row>
    <row r="55" spans="1:6" x14ac:dyDescent="0.2">
      <c r="A55" t="s">
        <v>2367</v>
      </c>
      <c r="B55" t="s">
        <v>2368</v>
      </c>
      <c r="C55" t="s">
        <v>244</v>
      </c>
      <c r="D55" t="s">
        <v>4283</v>
      </c>
      <c r="E55" s="47" t="str">
        <f>HYPERLINK("J:\P5000547\Specs\Electrical\","J:\P5000547\Specs\Electrical\")</f>
        <v>J:\P5000547\Specs\Electrical\</v>
      </c>
      <c r="F55" s="47" t="str">
        <f>HYPERLINK("J:\P5000547\Utilities Information\Public Lighting\","J:\P5000547\Utilities Information\Public Lighting\")</f>
        <v>J:\P5000547\Utilities Information\Public Lighting\</v>
      </c>
    </row>
    <row r="56" spans="1:6" x14ac:dyDescent="0.2">
      <c r="A56" t="s">
        <v>2367</v>
      </c>
      <c r="B56" t="s">
        <v>2368</v>
      </c>
      <c r="C56" t="s">
        <v>244</v>
      </c>
      <c r="D56" t="s">
        <v>4284</v>
      </c>
      <c r="E56" s="47" t="str">
        <f>HYPERLINK("J:\P5000547\Manufacturers information\Plant Submittals\Mechanical\Holy Trinity O&amp;M Manual (2)\Holy Trinity O&amp;M Manual\14 Technical Literature\Gas Detection\Gas Detection Panel\","J:\P5000547\Manufacturers information\Plant Submittals\Mechanical\Holy Trinity O&amp;M Manual (2)\Holy Trinity O&amp;M Manual\14 Technical Literature\Gas Detection\Gas Detection Panel\")</f>
        <v>J:\P5000547\Manufacturers information\Plant Submittals\Mechanical\Holy Trinity O&amp;M Manual (2)\Holy Trinity O&amp;M Manual\14 Technical Literature\Gas Detection\Gas Detection Panel\</v>
      </c>
      <c r="F56" t="s">
        <v>4285</v>
      </c>
    </row>
    <row r="57" spans="1:6" x14ac:dyDescent="0.2">
      <c r="A57" t="s">
        <v>2367</v>
      </c>
      <c r="B57" t="s">
        <v>2368</v>
      </c>
      <c r="C57" t="s">
        <v>244</v>
      </c>
      <c r="D57" t="s">
        <v>4286</v>
      </c>
    </row>
    <row r="58" spans="1:6" x14ac:dyDescent="0.2">
      <c r="A58" t="s">
        <v>2367</v>
      </c>
      <c r="B58" t="s">
        <v>2368</v>
      </c>
      <c r="C58" t="s">
        <v>244</v>
      </c>
      <c r="D58" t="s">
        <v>4383</v>
      </c>
    </row>
    <row r="59" spans="1:6" x14ac:dyDescent="0.2">
      <c r="A59" t="s">
        <v>2367</v>
      </c>
      <c r="B59" t="s">
        <v>2368</v>
      </c>
      <c r="C59" t="s">
        <v>244</v>
      </c>
      <c r="D59" t="s">
        <v>4384</v>
      </c>
    </row>
    <row r="60" spans="1:6" x14ac:dyDescent="0.2">
      <c r="A60" t="s">
        <v>2367</v>
      </c>
      <c r="B60" t="s">
        <v>2368</v>
      </c>
      <c r="C60" t="s">
        <v>244</v>
      </c>
      <c r="D60" t="s">
        <v>4385</v>
      </c>
    </row>
    <row r="61" spans="1:6" x14ac:dyDescent="0.2">
      <c r="A61" t="s">
        <v>2367</v>
      </c>
      <c r="B61" t="s">
        <v>2368</v>
      </c>
      <c r="C61" t="s">
        <v>244</v>
      </c>
      <c r="D61" t="s">
        <v>4386</v>
      </c>
    </row>
    <row r="62" spans="1:6" x14ac:dyDescent="0.2">
      <c r="A62" t="s">
        <v>2367</v>
      </c>
      <c r="B62" t="s">
        <v>2368</v>
      </c>
      <c r="C62" t="s">
        <v>244</v>
      </c>
      <c r="D62" t="s">
        <v>4387</v>
      </c>
    </row>
    <row r="63" spans="1:6" x14ac:dyDescent="0.2">
      <c r="A63" t="s">
        <v>2400</v>
      </c>
      <c r="B63" t="s">
        <v>2401</v>
      </c>
      <c r="C63" t="s">
        <v>244</v>
      </c>
      <c r="D63" t="s">
        <v>4332</v>
      </c>
      <c r="E63" s="47" t="str">
        <f>HYPERLINK("J:\P5000560\Reports\S&amp;C REPORT\Stage 1 report\","J:\P5000560\Reports\S&amp;C REPORT\Stage 1 report\")</f>
        <v>J:\P5000560\Reports\S&amp;C REPORT\Stage 1 report\</v>
      </c>
      <c r="F63" s="47" t="str">
        <f>HYPERLINK("J:\P5000560\Reports\Stage 2a\","J:\P5000560\Reports\Stage 2a\")</f>
        <v>J:\P5000560\Reports\Stage 2a\</v>
      </c>
    </row>
    <row r="64" spans="1:6" x14ac:dyDescent="0.2">
      <c r="A64" t="s">
        <v>2400</v>
      </c>
      <c r="B64" t="s">
        <v>2401</v>
      </c>
      <c r="C64" t="s">
        <v>244</v>
      </c>
      <c r="D64" t="s">
        <v>4287</v>
      </c>
    </row>
    <row r="65" spans="1:6" x14ac:dyDescent="0.2">
      <c r="A65" t="s">
        <v>2400</v>
      </c>
      <c r="B65" t="s">
        <v>2401</v>
      </c>
      <c r="C65" t="s">
        <v>244</v>
      </c>
      <c r="D65" t="s">
        <v>3881</v>
      </c>
    </row>
    <row r="66" spans="1:6" x14ac:dyDescent="0.2">
      <c r="A66" t="s">
        <v>2544</v>
      </c>
      <c r="B66" t="s">
        <v>2545</v>
      </c>
      <c r="C66" t="s">
        <v>244</v>
      </c>
      <c r="D66" t="s">
        <v>4335</v>
      </c>
      <c r="E66" s="47" t="str">
        <f>HYPERLINK("J:\P5000581\Specs\Electrical\","J:\P5000581\Specs\Electrical\")</f>
        <v>J:\P5000581\Specs\Electrical\</v>
      </c>
      <c r="F66" s="47" t="str">
        <f>HYPERLINK("J:\P5000581\Specs\Oxygen Compound\","J:\P5000581\Specs\Oxygen Compound\")</f>
        <v>J:\P5000581\Specs\Oxygen Compound\</v>
      </c>
    </row>
    <row r="67" spans="1:6" x14ac:dyDescent="0.2">
      <c r="A67" t="s">
        <v>2544</v>
      </c>
      <c r="B67" t="s">
        <v>2545</v>
      </c>
      <c r="C67" t="s">
        <v>244</v>
      </c>
      <c r="D67" t="s">
        <v>3570</v>
      </c>
      <c r="E67" s="47" t="str">
        <f>HYPERLINK("J:\P5000581\Specs\Oxygen Compound\M&amp;E Volume One.doc","J:\P5000581\Specs\Oxygen Compound\M&amp;E Volume One.doc")</f>
        <v>J:\P5000581\Specs\Oxygen Compound\M&amp;E Volume One.doc</v>
      </c>
    </row>
    <row r="68" spans="1:6" x14ac:dyDescent="0.2">
      <c r="A68" t="s">
        <v>2544</v>
      </c>
      <c r="B68" t="s">
        <v>2545</v>
      </c>
      <c r="C68" t="s">
        <v>244</v>
      </c>
      <c r="D68" t="s">
        <v>4403</v>
      </c>
    </row>
    <row r="69" spans="1:6" x14ac:dyDescent="0.2">
      <c r="A69" t="s">
        <v>2544</v>
      </c>
      <c r="B69" t="s">
        <v>2545</v>
      </c>
      <c r="C69" t="s">
        <v>244</v>
      </c>
      <c r="D69" t="s">
        <v>4294</v>
      </c>
    </row>
    <row r="70" spans="1:6" x14ac:dyDescent="0.2">
      <c r="A70" t="s">
        <v>2544</v>
      </c>
      <c r="B70" t="s">
        <v>2545</v>
      </c>
      <c r="C70" t="s">
        <v>244</v>
      </c>
      <c r="D70" t="s">
        <v>4404</v>
      </c>
    </row>
    <row r="71" spans="1:6" x14ac:dyDescent="0.2">
      <c r="A71" t="s">
        <v>2564</v>
      </c>
      <c r="B71" t="s">
        <v>2565</v>
      </c>
      <c r="C71" t="s">
        <v>244</v>
      </c>
      <c r="D71" t="s">
        <v>4336</v>
      </c>
      <c r="E71" s="47" t="str">
        <f>HYPERLINK("J:\P5000587\Specs\Electrical\","J:\P5000587\Specs\Electrical\")</f>
        <v>J:\P5000587\Specs\Electrical\</v>
      </c>
      <c r="F71" s="47" t="str">
        <f>HYPERLINK("J:\P5000587\Temp RJS holiday folder\Limerick Labs 2\SPEC\","J:\P5000587\Temp RJS holiday folder\Limerick Labs 2\SPEC\")</f>
        <v>J:\P5000587\Temp RJS holiday folder\Limerick Labs 2\SPEC\</v>
      </c>
    </row>
    <row r="72" spans="1:6" x14ac:dyDescent="0.2">
      <c r="A72" t="s">
        <v>2706</v>
      </c>
      <c r="B72" t="s">
        <v>2707</v>
      </c>
      <c r="C72" t="s">
        <v>244</v>
      </c>
      <c r="D72" t="s">
        <v>4408</v>
      </c>
      <c r="E72" s="47" t="str">
        <f>HYPERLINK("J:\P5000627\Specs\Covers Etc\","J:\P5000627\Specs\Covers Etc\")</f>
        <v>J:\P5000627\Specs\Covers Etc\</v>
      </c>
      <c r="F72" s="47" t="str">
        <f>HYPERLINK("J:\P5000627\Specs\Electrical\","J:\P5000627\Specs\Electrical\")</f>
        <v>J:\P5000627\Specs\Electrical\</v>
      </c>
    </row>
    <row r="73" spans="1:6" x14ac:dyDescent="0.2">
      <c r="A73" t="s">
        <v>2706</v>
      </c>
      <c r="B73" t="s">
        <v>2707</v>
      </c>
      <c r="C73" t="s">
        <v>244</v>
      </c>
      <c r="D73" t="s">
        <v>4408</v>
      </c>
      <c r="E73" s="47" t="str">
        <f>HYPERLINK("J:\P5000627\Specs\Covers Etc\","J:\P5000627\Specs\Covers Etc\")</f>
        <v>J:\P5000627\Specs\Covers Etc\</v>
      </c>
      <c r="F73" s="47" t="str">
        <f>HYPERLINK("J:\P5000627\Specs\Lift\","J:\P5000627\Specs\Lift\")</f>
        <v>J:\P5000627\Specs\Lift\</v>
      </c>
    </row>
    <row r="74" spans="1:6" x14ac:dyDescent="0.2">
      <c r="A74" t="s">
        <v>2804</v>
      </c>
      <c r="B74" t="s">
        <v>2805</v>
      </c>
      <c r="C74" t="s">
        <v>244</v>
      </c>
      <c r="D74" t="s">
        <v>3536</v>
      </c>
      <c r="E74" s="47" t="str">
        <f>HYPERLINK("J:\P5000657\SPC012-IFIL\Ideas Scratch Pad\Architectural\graphics\report\","J:\P5000657\SPC012-IFIL\Ideas Scratch Pad\Architectural\graphics\report\")</f>
        <v>J:\P5000657\SPC012-IFIL\Ideas Scratch Pad\Architectural\graphics\report\</v>
      </c>
      <c r="F74" s="47" t="str">
        <f>HYPERLINK("J:\P5000657\SPC012-IFIL\Images\signage outdoor\graphics\report\","J:\P5000657\SPC012-IFIL\Images\signage outdoor\graphics\report\")</f>
        <v>J:\P5000657\SPC012-IFIL\Images\signage outdoor\graphics\report\</v>
      </c>
    </row>
    <row r="75" spans="1:6" x14ac:dyDescent="0.2">
      <c r="A75" t="s">
        <v>2804</v>
      </c>
      <c r="B75" t="s">
        <v>2805</v>
      </c>
      <c r="C75" t="s">
        <v>244</v>
      </c>
      <c r="D75" t="s">
        <v>3537</v>
      </c>
      <c r="E75" s="47" t="str">
        <f>HYPERLINK("J:\P5000657\SPC012-IFIL\Ideas Scratch Pad\Architectural\graphics\report\","J:\P5000657\SPC012-IFIL\Ideas Scratch Pad\Architectural\graphics\report\")</f>
        <v>J:\P5000657\SPC012-IFIL\Ideas Scratch Pad\Architectural\graphics\report\</v>
      </c>
      <c r="F75" s="47" t="str">
        <f>HYPERLINK("J:\P5000657\SPC012-IFIL\Images\signage outdoor\graphics\report\","J:\P5000657\SPC012-IFIL\Images\signage outdoor\graphics\report\")</f>
        <v>J:\P5000657\SPC012-IFIL\Images\signage outdoor\graphics\report\</v>
      </c>
    </row>
    <row r="76" spans="1:6" x14ac:dyDescent="0.2">
      <c r="A76" t="s">
        <v>3046</v>
      </c>
      <c r="B76" t="s">
        <v>3047</v>
      </c>
      <c r="C76" t="s">
        <v>244</v>
      </c>
      <c r="D76" t="s">
        <v>3392</v>
      </c>
      <c r="E76" s="47" t="str">
        <f>HYPERLINK("J:\P5000663\Brief\","J:\P5000663\Brief\")</f>
        <v>J:\P5000663\Brief\</v>
      </c>
      <c r="F76" s="47" t="str">
        <f>HYPERLINK("J:\P5000663\QA\","J:\P5000663\QA\")</f>
        <v>J:\P5000663\QA\</v>
      </c>
    </row>
    <row r="77" spans="1:6" x14ac:dyDescent="0.2">
      <c r="A77" t="s">
        <v>3046</v>
      </c>
      <c r="B77" t="s">
        <v>3047</v>
      </c>
      <c r="C77" t="s">
        <v>244</v>
      </c>
      <c r="D77" t="s">
        <v>3909</v>
      </c>
      <c r="E77" s="47" t="str">
        <f>HYPERLINK("J:\P5000663\Reports\Due Diligence\15-03-13 Due Diligence\","J:\P5000663\Reports\Due Diligence\15-03-13 Due Diligence\")</f>
        <v>J:\P5000663\Reports\Due Diligence\15-03-13 Due Diligence\</v>
      </c>
      <c r="F77" s="47" t="str">
        <f>HYPERLINK("J:\P5000663\Reports\Stage 2A\M&amp;E\16-02-15\","J:\P5000663\Reports\Stage 2A\M&amp;E\16-02-15\")</f>
        <v>J:\P5000663\Reports\Stage 2A\M&amp;E\16-02-15\</v>
      </c>
    </row>
    <row r="78" spans="1:6" x14ac:dyDescent="0.2">
      <c r="A78" t="s">
        <v>3046</v>
      </c>
      <c r="B78" t="s">
        <v>3047</v>
      </c>
      <c r="C78" t="s">
        <v>244</v>
      </c>
      <c r="D78" t="s">
        <v>2984</v>
      </c>
      <c r="E78" s="47" t="str">
        <f>HYPERLINK("J:\P5000663\Civil Structural\SI information\Existing\Structural_Specs_P1.docx","J:\P5000663\Civil Structural\SI information\Existing\Structural_Specs_P1.docx")</f>
        <v>J:\P5000663\Civil Structural\SI information\Existing\Structural_Specs_P1.docx</v>
      </c>
    </row>
    <row r="79" spans="1:6" x14ac:dyDescent="0.2">
      <c r="A79" t="s">
        <v>3046</v>
      </c>
      <c r="B79" t="s">
        <v>3047</v>
      </c>
      <c r="C79" t="s">
        <v>244</v>
      </c>
      <c r="D79" t="s">
        <v>3843</v>
      </c>
    </row>
    <row r="80" spans="1:6" x14ac:dyDescent="0.2">
      <c r="A80" t="s">
        <v>3081</v>
      </c>
      <c r="B80" t="s">
        <v>3082</v>
      </c>
      <c r="C80" t="s">
        <v>244</v>
      </c>
      <c r="D80" t="s">
        <v>3162</v>
      </c>
      <c r="E80" t="s">
        <v>4423</v>
      </c>
      <c r="F80" t="s">
        <v>4421</v>
      </c>
    </row>
    <row r="81" spans="1:6" x14ac:dyDescent="0.2">
      <c r="A81" t="s">
        <v>3081</v>
      </c>
      <c r="B81" t="s">
        <v>3082</v>
      </c>
      <c r="C81" t="s">
        <v>244</v>
      </c>
      <c r="D81" t="s">
        <v>2901</v>
      </c>
    </row>
    <row r="82" spans="1:6" x14ac:dyDescent="0.2">
      <c r="A82" t="s">
        <v>3081</v>
      </c>
      <c r="B82" t="s">
        <v>3082</v>
      </c>
      <c r="C82" t="s">
        <v>244</v>
      </c>
      <c r="D82" t="s">
        <v>3534</v>
      </c>
      <c r="E82" s="47" t="str">
        <f>HYPERLINK("J:\P5000683\Cost Control\Cost Reports\","J:\P5000683\Cost Control\Cost Reports\")</f>
        <v>J:\P5000683\Cost Control\Cost Reports\</v>
      </c>
      <c r="F82" s="47" t="str">
        <f>HYPERLINK("J:\P5000683\SPC006 GA Handlers Signature Lounge\Cost Control\Cost Reports\","J:\P5000683\SPC006 GA Handlers Signature Lounge\Cost Control\Cost Reports\")</f>
        <v>J:\P5000683\SPC006 GA Handlers Signature Lounge\Cost Control\Cost Reports\</v>
      </c>
    </row>
    <row r="83" spans="1:6" x14ac:dyDescent="0.2">
      <c r="A83" t="s">
        <v>3081</v>
      </c>
      <c r="B83" t="s">
        <v>3082</v>
      </c>
      <c r="C83" t="s">
        <v>244</v>
      </c>
      <c r="D83" t="s">
        <v>4284</v>
      </c>
      <c r="E83" s="47" t="str">
        <f>HYPERLINK("J:\P5000683\Minutes\DAA FRAMEWORK JOBS\SPC003 - Sim Building\Design Team Minutes by DAA\Phase II - SimTech Demolition Minutes\160226_DAA SIM TECH Phase 2 Demolition No. 4\","J:\P5000683\Minutes\DAA FRAMEWORK JOBS\SPC003 - Sim Building\Design Team Minutes by DAA\Phase II - SimTech Demolition Minutes\160226_DAA SIM TECH Phase 2 Demolition No. 4\")</f>
        <v>J:\P5000683\Minutes\DAA FRAMEWORK JOBS\SPC003 - Sim Building\Design Team Minutes by DAA\Phase II - SimTech Demolition Minutes\160226_DAA SIM TECH Phase 2 Demolition No. 4\</v>
      </c>
      <c r="F83" t="s">
        <v>4285</v>
      </c>
    </row>
    <row r="84" spans="1:6" x14ac:dyDescent="0.2">
      <c r="A84" t="s">
        <v>3787</v>
      </c>
      <c r="B84" t="s">
        <v>3788</v>
      </c>
      <c r="C84" t="s">
        <v>244</v>
      </c>
      <c r="D84" t="s">
        <v>4543</v>
      </c>
      <c r="E84" s="47" t="str">
        <f>HYPERLINK("J:\P5000688\Minutes\Design Reviews\Stage 1 Design Reviews\","J:\P5000688\Minutes\Design Reviews\Stage 1 Design Reviews\")</f>
        <v>J:\P5000688\Minutes\Design Reviews\Stage 1 Design Reviews\</v>
      </c>
      <c r="F84" s="47" t="str">
        <f>HYPERLINK("J:\P5000688\Reports\Stage 1 Report\Lot 3.1 Primary School\","J:\P5000688\Reports\Stage 1 Report\Lot 3.1 Primary School\")</f>
        <v>J:\P5000688\Reports\Stage 1 Report\Lot 3.1 Primary School\</v>
      </c>
    </row>
    <row r="85" spans="1:6" x14ac:dyDescent="0.2">
      <c r="A85" t="s">
        <v>3787</v>
      </c>
      <c r="B85" t="s">
        <v>3788</v>
      </c>
      <c r="C85" t="s">
        <v>244</v>
      </c>
      <c r="D85" t="s">
        <v>4543</v>
      </c>
      <c r="E85" s="47" t="str">
        <f>HYPERLINK("J:\P5000688\Minutes\Design Reviews\Stage 1 Design Reviews\","J:\P5000688\Minutes\Design Reviews\Stage 1 Design Reviews\")</f>
        <v>J:\P5000688\Minutes\Design Reviews\Stage 1 Design Reviews\</v>
      </c>
      <c r="F85" s="47" t="str">
        <f>HYPERLINK("J:\P5000688\Reports\Stage 1 Report\Lot 3.2 Post Primary School\","J:\P5000688\Reports\Stage 1 Report\Lot 3.2 Post Primary School\")</f>
        <v>J:\P5000688\Reports\Stage 1 Report\Lot 3.2 Post Primary School\</v>
      </c>
    </row>
    <row r="86" spans="1:6" x14ac:dyDescent="0.2">
      <c r="A86" t="s">
        <v>3787</v>
      </c>
      <c r="B86" t="s">
        <v>3788</v>
      </c>
      <c r="C86" t="s">
        <v>244</v>
      </c>
      <c r="D86" t="s">
        <v>4544</v>
      </c>
      <c r="E86" s="47" t="str">
        <f>HYPERLINK("J:\P5000688\Reports\Pre- Stage 1\Lot 3.1 Primary School\","J:\P5000688\Reports\Pre- Stage 1\Lot 3.1 Primary School\")</f>
        <v>J:\P5000688\Reports\Pre- Stage 1\Lot 3.1 Primary School\</v>
      </c>
      <c r="F86" s="47" t="str">
        <f>HYPERLINK("J:\P5000688\Reports\Stage 1 Report\Lot 3.1 Primary School\","J:\P5000688\Reports\Stage 1 Report\Lot 3.1 Primary School\")</f>
        <v>J:\P5000688\Reports\Stage 1 Report\Lot 3.1 Primary School\</v>
      </c>
    </row>
    <row r="87" spans="1:6" x14ac:dyDescent="0.2">
      <c r="A87" t="s">
        <v>3787</v>
      </c>
      <c r="B87" t="s">
        <v>3788</v>
      </c>
      <c r="C87" t="s">
        <v>244</v>
      </c>
      <c r="D87" t="s">
        <v>4545</v>
      </c>
      <c r="E87" s="47" t="str">
        <f>HYPERLINK("J:\P5000688\Reports\Pre- Stage 1\Lot 3.2 Post Primary School\","J:\P5000688\Reports\Pre- Stage 1\Lot 3.2 Post Primary School\")</f>
        <v>J:\P5000688\Reports\Pre- Stage 1\Lot 3.2 Post Primary School\</v>
      </c>
      <c r="F87" s="47" t="str">
        <f>HYPERLINK("J:\P5000688\Reports\Stage 1 Report\Lot 3.2 Post Primary School\","J:\P5000688\Reports\Stage 1 Report\Lot 3.2 Post Primary School\")</f>
        <v>J:\P5000688\Reports\Stage 1 Report\Lot 3.2 Post Primary School\</v>
      </c>
    </row>
    <row r="88" spans="1:6" x14ac:dyDescent="0.2">
      <c r="A88" t="s">
        <v>3787</v>
      </c>
      <c r="B88" t="s">
        <v>3788</v>
      </c>
      <c r="C88" t="s">
        <v>244</v>
      </c>
      <c r="D88" t="s">
        <v>3845</v>
      </c>
    </row>
    <row r="89" spans="1:6" x14ac:dyDescent="0.2">
      <c r="A89" t="s">
        <v>3787</v>
      </c>
      <c r="B89" t="s">
        <v>3788</v>
      </c>
      <c r="C89" t="s">
        <v>244</v>
      </c>
      <c r="D89" t="s">
        <v>3888</v>
      </c>
    </row>
    <row r="90" spans="1:6" x14ac:dyDescent="0.2">
      <c r="A90" t="s">
        <v>3787</v>
      </c>
      <c r="B90" t="s">
        <v>3788</v>
      </c>
      <c r="C90" t="s">
        <v>244</v>
      </c>
      <c r="D90" t="s">
        <v>3321</v>
      </c>
    </row>
    <row r="91" spans="1:6" x14ac:dyDescent="0.2">
      <c r="A91" t="s">
        <v>3787</v>
      </c>
      <c r="B91" t="s">
        <v>3788</v>
      </c>
      <c r="C91" t="s">
        <v>244</v>
      </c>
      <c r="D91" t="s">
        <v>3326</v>
      </c>
    </row>
    <row r="92" spans="1:6" x14ac:dyDescent="0.2">
      <c r="A92" t="s">
        <v>2380</v>
      </c>
      <c r="B92" t="s">
        <v>2381</v>
      </c>
      <c r="C92" t="s">
        <v>219</v>
      </c>
      <c r="D92" t="s">
        <v>3570</v>
      </c>
      <c r="E92" s="47" t="str">
        <f>HYPERLINK("J:\P5000548\Specs\Electrical\Electrical Specification - Volume One.doc","J:\P5000548\Specs\Electrical\Electrical Specification - Volume One.doc")</f>
        <v>J:\P5000548\Specs\Electrical\Electrical Specification - Volume One.doc</v>
      </c>
    </row>
    <row r="93" spans="1:6" x14ac:dyDescent="0.2">
      <c r="A93" t="s">
        <v>2380</v>
      </c>
      <c r="B93" t="s">
        <v>2381</v>
      </c>
      <c r="C93" t="s">
        <v>219</v>
      </c>
      <c r="D93" t="s">
        <v>4282</v>
      </c>
    </row>
    <row r="94" spans="1:6" x14ac:dyDescent="0.2">
      <c r="A94" t="s">
        <v>2606</v>
      </c>
      <c r="B94" t="s">
        <v>2607</v>
      </c>
      <c r="C94" t="s">
        <v>219</v>
      </c>
      <c r="D94" t="s">
        <v>4337</v>
      </c>
      <c r="E94" s="47" t="str">
        <f>HYPERLINK("J:\P5000604\Brief\","J:\P5000604\Brief\")</f>
        <v>J:\P5000604\Brief\</v>
      </c>
      <c r="F94" s="47" t="str">
        <f>HYPERLINK("J:\P5000604\Specs\Mechanical\","J:\P5000604\Specs\Mechanical\")</f>
        <v>J:\P5000604\Specs\Mechanical\</v>
      </c>
    </row>
    <row r="95" spans="1:6" x14ac:dyDescent="0.2">
      <c r="A95" t="s">
        <v>2606</v>
      </c>
      <c r="B95" t="s">
        <v>2607</v>
      </c>
      <c r="C95" t="s">
        <v>219</v>
      </c>
      <c r="D95" t="s">
        <v>4338</v>
      </c>
    </row>
    <row r="96" spans="1:6" x14ac:dyDescent="0.2">
      <c r="A96" t="s">
        <v>2606</v>
      </c>
      <c r="B96" t="s">
        <v>2607</v>
      </c>
      <c r="C96" t="s">
        <v>219</v>
      </c>
      <c r="D96" t="s">
        <v>4339</v>
      </c>
    </row>
    <row r="97" spans="1:6" x14ac:dyDescent="0.2">
      <c r="A97" t="s">
        <v>2606</v>
      </c>
      <c r="B97" t="s">
        <v>2607</v>
      </c>
      <c r="C97" t="s">
        <v>219</v>
      </c>
      <c r="D97" t="s">
        <v>3352</v>
      </c>
    </row>
    <row r="98" spans="1:6" x14ac:dyDescent="0.2">
      <c r="A98" t="s">
        <v>2871</v>
      </c>
      <c r="B98" t="s">
        <v>2872</v>
      </c>
      <c r="C98" t="s">
        <v>219</v>
      </c>
      <c r="D98" t="s">
        <v>4415</v>
      </c>
      <c r="E98" s="47" t="str">
        <f>HYPERLINK("J:\P5000661\Reports\Architect\Stage 1 Report\Links\","J:\P5000661\Reports\Architect\Stage 1 Report\Links\")</f>
        <v>J:\P5000661\Reports\Architect\Stage 1 Report\Links\</v>
      </c>
      <c r="F98" s="47" t="str">
        <f>HYPERLINK("J:\P5000661\Reports\M&amp;E\stage 1\","J:\P5000661\Reports\M&amp;E\stage 1\")</f>
        <v>J:\P5000661\Reports\M&amp;E\stage 1\</v>
      </c>
    </row>
    <row r="99" spans="1:6" x14ac:dyDescent="0.2">
      <c r="A99" t="s">
        <v>2871</v>
      </c>
      <c r="B99" t="s">
        <v>2872</v>
      </c>
      <c r="C99" t="s">
        <v>219</v>
      </c>
      <c r="D99" t="s">
        <v>4416</v>
      </c>
    </row>
    <row r="100" spans="1:6" x14ac:dyDescent="0.2">
      <c r="A100" t="s">
        <v>2791</v>
      </c>
      <c r="B100" t="s">
        <v>2792</v>
      </c>
      <c r="C100" t="s">
        <v>219</v>
      </c>
      <c r="D100" t="s">
        <v>3228</v>
      </c>
      <c r="F100" t="s">
        <v>3229</v>
      </c>
    </row>
    <row r="101" spans="1:6" x14ac:dyDescent="0.2">
      <c r="A101" t="s">
        <v>2791</v>
      </c>
      <c r="B101" t="s">
        <v>2792</v>
      </c>
      <c r="C101" t="s">
        <v>219</v>
      </c>
      <c r="D101" t="s">
        <v>4417</v>
      </c>
    </row>
    <row r="102" spans="1:6" x14ac:dyDescent="0.2">
      <c r="A102" t="s">
        <v>2418</v>
      </c>
      <c r="B102" t="s">
        <v>2419</v>
      </c>
      <c r="C102" t="s">
        <v>366</v>
      </c>
      <c r="D102" t="s">
        <v>3162</v>
      </c>
      <c r="E102" t="s">
        <v>4290</v>
      </c>
      <c r="F102" t="s">
        <v>4288</v>
      </c>
    </row>
    <row r="103" spans="1:6" x14ac:dyDescent="0.2">
      <c r="A103" t="s">
        <v>2418</v>
      </c>
      <c r="B103" t="s">
        <v>2419</v>
      </c>
      <c r="C103" t="s">
        <v>366</v>
      </c>
      <c r="D103" t="s">
        <v>3290</v>
      </c>
      <c r="E103" t="s">
        <v>4291</v>
      </c>
      <c r="F103" t="s">
        <v>4289</v>
      </c>
    </row>
    <row r="104" spans="1:6" x14ac:dyDescent="0.2">
      <c r="A104" t="s">
        <v>2727</v>
      </c>
      <c r="B104" t="s">
        <v>2728</v>
      </c>
      <c r="C104" t="s">
        <v>366</v>
      </c>
      <c r="D104" t="s">
        <v>3162</v>
      </c>
      <c r="E104" t="s">
        <v>4410</v>
      </c>
      <c r="F104" t="s">
        <v>2890</v>
      </c>
    </row>
    <row r="105" spans="1:6" x14ac:dyDescent="0.2">
      <c r="A105" t="s">
        <v>2727</v>
      </c>
      <c r="B105" t="s">
        <v>2728</v>
      </c>
      <c r="C105" t="s">
        <v>366</v>
      </c>
      <c r="D105" t="s">
        <v>4411</v>
      </c>
      <c r="E105" s="47" t="str">
        <f>HYPERLINK("J:\P5000640\Minutes\Contractors Progress Report\","J:\P5000640\Minutes\Contractors Progress Report\")</f>
        <v>J:\P5000640\Minutes\Contractors Progress Report\</v>
      </c>
      <c r="F105" s="47" t="str">
        <f>HYPERLINK("J:\P5000640\Reports\Contractor Site Progress Reports\","J:\P5000640\Reports\Contractor Site Progress Reports\")</f>
        <v>J:\P5000640\Reports\Contractor Site Progress Reports\</v>
      </c>
    </row>
    <row r="106" spans="1:6" x14ac:dyDescent="0.2">
      <c r="A106" t="s">
        <v>2727</v>
      </c>
      <c r="B106" t="s">
        <v>2728</v>
      </c>
      <c r="C106" t="s">
        <v>366</v>
      </c>
      <c r="D106" t="s">
        <v>2984</v>
      </c>
      <c r="E106" s="47" t="str">
        <f>HYPERLINK("J:\P5000640\Specs\Electrical\olm SS\Electrical Specification Section B.doc","J:\P5000640\Specs\Electrical\olm SS\Electrical Specification Section B.doc")</f>
        <v>J:\P5000640\Specs\Electrical\olm SS\Electrical Specification Section B.doc</v>
      </c>
    </row>
    <row r="107" spans="1:6" x14ac:dyDescent="0.2">
      <c r="A107" t="s">
        <v>2727</v>
      </c>
      <c r="B107" t="s">
        <v>2728</v>
      </c>
      <c r="C107" t="s">
        <v>366</v>
      </c>
      <c r="D107" t="s">
        <v>3570</v>
      </c>
      <c r="E107" s="47" t="str">
        <f>HYPERLINK("J:\P5000640\Specs\Electrical\olm SS\Electrical Specification Section B.doc","J:\P5000640\Specs\Electrical\olm SS\Electrical Specification Section B.doc")</f>
        <v>J:\P5000640\Specs\Electrical\olm SS\Electrical Specification Section B.doc</v>
      </c>
    </row>
    <row r="108" spans="1:6" x14ac:dyDescent="0.2">
      <c r="A108" t="s">
        <v>2727</v>
      </c>
      <c r="B108" t="s">
        <v>2728</v>
      </c>
      <c r="C108" t="s">
        <v>366</v>
      </c>
      <c r="D108" t="s">
        <v>4295</v>
      </c>
    </row>
    <row r="109" spans="1:6" x14ac:dyDescent="0.2">
      <c r="A109" t="s">
        <v>2727</v>
      </c>
      <c r="B109" t="s">
        <v>2728</v>
      </c>
      <c r="C109" t="s">
        <v>366</v>
      </c>
      <c r="D109" t="s">
        <v>4282</v>
      </c>
    </row>
    <row r="110" spans="1:6" x14ac:dyDescent="0.2">
      <c r="A110" t="s">
        <v>2758</v>
      </c>
      <c r="B110" t="s">
        <v>2759</v>
      </c>
      <c r="C110" t="s">
        <v>366</v>
      </c>
      <c r="D110" t="s">
        <v>3570</v>
      </c>
      <c r="E110" s="47" t="str">
        <f>HYPERLINK("J:\P5000648\Specs\Electrical\Rush N.S Electrical Specification - Volume One.doc","J:\P5000648\Specs\Electrical\Rush N.S Electrical Specification - Volume One.doc")</f>
        <v>J:\P5000648\Specs\Electrical\Rush N.S Electrical Specification - Volume One.doc</v>
      </c>
    </row>
    <row r="111" spans="1:6" x14ac:dyDescent="0.2">
      <c r="A111" t="s">
        <v>2785</v>
      </c>
      <c r="B111" t="s">
        <v>2786</v>
      </c>
      <c r="C111" t="s">
        <v>366</v>
      </c>
      <c r="D111" t="s">
        <v>3088</v>
      </c>
      <c r="F111" t="s">
        <v>3223</v>
      </c>
    </row>
    <row r="112" spans="1:6" x14ac:dyDescent="0.2">
      <c r="A112" t="s">
        <v>2785</v>
      </c>
      <c r="B112" t="s">
        <v>2786</v>
      </c>
      <c r="C112" t="s">
        <v>366</v>
      </c>
      <c r="D112" t="s">
        <v>3089</v>
      </c>
      <c r="F112" t="s">
        <v>3224</v>
      </c>
    </row>
    <row r="113" spans="1:6" x14ac:dyDescent="0.2">
      <c r="A113" t="s">
        <v>2785</v>
      </c>
      <c r="B113" t="s">
        <v>2786</v>
      </c>
      <c r="C113" t="s">
        <v>366</v>
      </c>
      <c r="D113" t="s">
        <v>3090</v>
      </c>
      <c r="F113" t="s">
        <v>3225</v>
      </c>
    </row>
    <row r="114" spans="1:6" x14ac:dyDescent="0.2">
      <c r="A114" t="s">
        <v>2785</v>
      </c>
      <c r="B114" t="s">
        <v>2786</v>
      </c>
      <c r="C114" t="s">
        <v>366</v>
      </c>
      <c r="D114" t="s">
        <v>3570</v>
      </c>
      <c r="E114" s="47" t="str">
        <f>HYPERLINK("J:\P5000662\Specs\Electrical\Volume One\Electrical Specification - Volume One.docx","J:\P5000662\Specs\Electrical\Volume One\Electrical Specification - Volume One.docx")</f>
        <v>J:\P5000662\Specs\Electrical\Volume One\Electrical Specification - Volume One.docx</v>
      </c>
    </row>
    <row r="115" spans="1:6" x14ac:dyDescent="0.2">
      <c r="A115" t="s">
        <v>2785</v>
      </c>
      <c r="B115" t="s">
        <v>2786</v>
      </c>
      <c r="C115" t="s">
        <v>366</v>
      </c>
      <c r="D115" t="s">
        <v>3125</v>
      </c>
    </row>
    <row r="116" spans="1:6" x14ac:dyDescent="0.2">
      <c r="A116" t="s">
        <v>2785</v>
      </c>
      <c r="B116" t="s">
        <v>2786</v>
      </c>
      <c r="C116" t="s">
        <v>366</v>
      </c>
      <c r="D116" t="s">
        <v>3322</v>
      </c>
    </row>
    <row r="117" spans="1:6" x14ac:dyDescent="0.2">
      <c r="A117" t="s">
        <v>2785</v>
      </c>
      <c r="B117" t="s">
        <v>2786</v>
      </c>
      <c r="C117" t="s">
        <v>366</v>
      </c>
      <c r="D117" t="s">
        <v>3326</v>
      </c>
    </row>
    <row r="118" spans="1:6" x14ac:dyDescent="0.2">
      <c r="A118" t="s">
        <v>3054</v>
      </c>
      <c r="B118" t="s">
        <v>3055</v>
      </c>
      <c r="C118" t="s">
        <v>366</v>
      </c>
      <c r="D118" t="s">
        <v>2984</v>
      </c>
      <c r="E118" s="47" t="str">
        <f>HYPERLINK("J:\P5000682\Specs\Electrical\Domestic Electrical Specification - Volume One.doc","J:\P5000682\Specs\Electrical\Domestic Electrical Specification - Volume One.doc")</f>
        <v>J:\P5000682\Specs\Electrical\Domestic Electrical Specification - Volume One.doc</v>
      </c>
    </row>
    <row r="119" spans="1:6" x14ac:dyDescent="0.2">
      <c r="A119" t="s">
        <v>2613</v>
      </c>
      <c r="B119" t="s">
        <v>2614</v>
      </c>
      <c r="C119" t="s">
        <v>1968</v>
      </c>
      <c r="D119" t="s">
        <v>3843</v>
      </c>
    </row>
    <row r="120" spans="1:6" x14ac:dyDescent="0.2">
      <c r="A120" t="s">
        <v>2718</v>
      </c>
      <c r="B120" t="s">
        <v>2719</v>
      </c>
      <c r="C120" t="s">
        <v>1968</v>
      </c>
      <c r="D120" t="s">
        <v>4409</v>
      </c>
    </row>
    <row r="121" spans="1:6" x14ac:dyDescent="0.2">
      <c r="A121" t="s">
        <v>2718</v>
      </c>
      <c r="B121" t="s">
        <v>2719</v>
      </c>
      <c r="C121" t="s">
        <v>1968</v>
      </c>
      <c r="D121" t="s">
        <v>3881</v>
      </c>
    </row>
    <row r="122" spans="1:6" x14ac:dyDescent="0.2">
      <c r="A122" t="s">
        <v>2796</v>
      </c>
      <c r="B122" t="s">
        <v>2859</v>
      </c>
      <c r="C122" t="s">
        <v>1968</v>
      </c>
      <c r="D122" t="s">
        <v>2901</v>
      </c>
    </row>
    <row r="123" spans="1:6" x14ac:dyDescent="0.2">
      <c r="A123" t="s">
        <v>2860</v>
      </c>
      <c r="B123" t="s">
        <v>2861</v>
      </c>
      <c r="C123" t="s">
        <v>1968</v>
      </c>
      <c r="D123" t="s">
        <v>4418</v>
      </c>
    </row>
    <row r="124" spans="1:6" x14ac:dyDescent="0.2">
      <c r="A124" t="s">
        <v>4359</v>
      </c>
      <c r="B124" t="s">
        <v>4360</v>
      </c>
      <c r="C124" t="s">
        <v>1968</v>
      </c>
      <c r="D124" t="s">
        <v>3109</v>
      </c>
      <c r="F124" t="s">
        <v>3236</v>
      </c>
    </row>
    <row r="125" spans="1:6" x14ac:dyDescent="0.2">
      <c r="A125" t="s">
        <v>4359</v>
      </c>
      <c r="B125" t="s">
        <v>4360</v>
      </c>
      <c r="C125" t="s">
        <v>1968</v>
      </c>
      <c r="D125" t="s">
        <v>2901</v>
      </c>
    </row>
    <row r="126" spans="1:6" x14ac:dyDescent="0.2">
      <c r="A126" t="s">
        <v>4359</v>
      </c>
      <c r="B126" t="s">
        <v>4360</v>
      </c>
      <c r="C126" t="s">
        <v>1968</v>
      </c>
      <c r="D126" t="s">
        <v>4424</v>
      </c>
      <c r="E126" s="47" t="str">
        <f>HYPERLINK("J:\P5000686\Images\Office Planning Applications\One Albert Quay - Cork\","J:\P5000686\Images\Office Planning Applications\One Albert Quay - Cork\")</f>
        <v>J:\P5000686\Images\Office Planning Applications\One Albert Quay - Cork\</v>
      </c>
      <c r="F126" s="47" t="str">
        <f>HYPERLINK("J:\P5000686\Images\Precedents\0 - Office Precedents Ireland\One Albert Quay -  Cork\","J:\P5000686\Images\Precedents\0 - Office Precedents Ireland\One Albert Quay -  Cork\")</f>
        <v>J:\P5000686\Images\Precedents\0 - Office Precedents Ireland\One Albert Quay -  Cork\</v>
      </c>
    </row>
    <row r="127" spans="1:6" x14ac:dyDescent="0.2">
      <c r="A127" t="s">
        <v>4359</v>
      </c>
      <c r="B127" t="s">
        <v>4360</v>
      </c>
      <c r="C127" t="s">
        <v>1968</v>
      </c>
      <c r="D127" t="s">
        <v>4424</v>
      </c>
      <c r="E127" s="47" t="str">
        <f>HYPERLINK("J:\P5000686\Images\Office Planning Applications\One Albert Quay - Cork\","J:\P5000686\Images\Office Planning Applications\One Albert Quay - Cork\")</f>
        <v>J:\P5000686\Images\Office Planning Applications\One Albert Quay - Cork\</v>
      </c>
      <c r="F127" s="47" t="str">
        <f>HYPERLINK("J:\P5000686\Studies\Precedents\0 - Office Precedents Ireland\One Albert Quay -  Cork\","J:\P5000686\Studies\Precedents\0 - Office Precedents Ireland\One Albert Quay -  Cork\")</f>
        <v>J:\P5000686\Studies\Precedents\0 - Office Precedents Ireland\One Albert Quay -  Cork\</v>
      </c>
    </row>
    <row r="128" spans="1:6" x14ac:dyDescent="0.2">
      <c r="A128" t="s">
        <v>4359</v>
      </c>
      <c r="B128" t="s">
        <v>4360</v>
      </c>
      <c r="C128" t="s">
        <v>1968</v>
      </c>
      <c r="D128" t="s">
        <v>4425</v>
      </c>
      <c r="E128" s="47" t="str">
        <f>HYPERLINK("J:\P5000686\Images\Precedents\0 - Aberdeen\","J:\P5000686\Images\Precedents\0 - Aberdeen\")</f>
        <v>J:\P5000686\Images\Precedents\0 - Aberdeen\</v>
      </c>
      <c r="F128" s="47" t="str">
        <f>HYPERLINK("J:\P5000686\Studies\Precedents\0 - Aberdeen\","J:\P5000686\Studies\Precedents\0 - Aberdeen\")</f>
        <v>J:\P5000686\Studies\Precedents\0 - Aberdeen\</v>
      </c>
    </row>
    <row r="129" spans="1:6" x14ac:dyDescent="0.2">
      <c r="A129" t="s">
        <v>4359</v>
      </c>
      <c r="B129" t="s">
        <v>4360</v>
      </c>
      <c r="C129" t="s">
        <v>1968</v>
      </c>
      <c r="D129" t="s">
        <v>4426</v>
      </c>
      <c r="E129" s="47" t="str">
        <f>HYPERLINK("J:\P5000686\Images\Precedents\BDP Projects\Buchanan Galleries\","J:\P5000686\Images\Precedents\BDP Projects\Buchanan Galleries\")</f>
        <v>J:\P5000686\Images\Precedents\BDP Projects\Buchanan Galleries\</v>
      </c>
      <c r="F129" s="47" t="str">
        <f>HYPERLINK("J:\P5000686\Studies\Precedents\BDP Projects\Buchanan Galleries\","J:\P5000686\Studies\Precedents\BDP Projects\Buchanan Galleries\")</f>
        <v>J:\P5000686\Studies\Precedents\BDP Projects\Buchanan Galleries\</v>
      </c>
    </row>
    <row r="130" spans="1:6" x14ac:dyDescent="0.2">
      <c r="A130" t="s">
        <v>4359</v>
      </c>
      <c r="B130" t="s">
        <v>4360</v>
      </c>
      <c r="C130" t="s">
        <v>1968</v>
      </c>
      <c r="D130" t="s">
        <v>4427</v>
      </c>
      <c r="E130" s="47" t="str">
        <f>HYPERLINK("J:\P5000686\Images\Precedents\BDP Projects\Buchanan Galleries\","J:\P5000686\Images\Precedents\BDP Projects\Buchanan Galleries\")</f>
        <v>J:\P5000686\Images\Precedents\BDP Projects\Buchanan Galleries\</v>
      </c>
      <c r="F130" s="47" t="str">
        <f>HYPERLINK("J:\P5000686\Studies\Precedents\BDP Projects\Buchanan Galleries\","J:\P5000686\Studies\Precedents\BDP Projects\Buchanan Galleries\")</f>
        <v>J:\P5000686\Studies\Precedents\BDP Projects\Buchanan Galleries\</v>
      </c>
    </row>
    <row r="131" spans="1:6" x14ac:dyDescent="0.2">
      <c r="A131" t="s">
        <v>4359</v>
      </c>
      <c r="B131" t="s">
        <v>4360</v>
      </c>
      <c r="C131" t="s">
        <v>1968</v>
      </c>
      <c r="D131" t="s">
        <v>4428</v>
      </c>
      <c r="E131" s="47" t="str">
        <f>HYPERLINK("J:\P5000686\Images\Precedents\BDP Projects\Edinburgh St James\","J:\P5000686\Images\Precedents\BDP Projects\Edinburgh St James\")</f>
        <v>J:\P5000686\Images\Precedents\BDP Projects\Edinburgh St James\</v>
      </c>
      <c r="F131" s="47" t="str">
        <f>HYPERLINK("J:\P5000686\Studies\Precedents\BDP Projects\Edinburgh St James\","J:\P5000686\Studies\Precedents\BDP Projects\Edinburgh St James\")</f>
        <v>J:\P5000686\Studies\Precedents\BDP Projects\Edinburgh St James\</v>
      </c>
    </row>
    <row r="132" spans="1:6" x14ac:dyDescent="0.2">
      <c r="A132" t="s">
        <v>4359</v>
      </c>
      <c r="B132" t="s">
        <v>4360</v>
      </c>
      <c r="C132" t="s">
        <v>1968</v>
      </c>
      <c r="D132" t="s">
        <v>4429</v>
      </c>
      <c r="E132" s="47" t="str">
        <f>HYPERLINK("J:\P5000686\Images\Precedents\O'Donnell-Tuomey\","J:\P5000686\Images\Precedents\O'Donnell-Tuomey\")</f>
        <v>J:\P5000686\Images\Precedents\O'Donnell-Tuomey\</v>
      </c>
      <c r="F132" s="47" t="str">
        <f>HYPERLINK("J:\P5000686\Studies\Precedents\O'Donnell-Tuomey\","J:\P5000686\Studies\Precedents\O'Donnell-Tuomey\")</f>
        <v>J:\P5000686\Studies\Precedents\O'Donnell-Tuomey\</v>
      </c>
    </row>
    <row r="133" spans="1:6" x14ac:dyDescent="0.2">
      <c r="A133" t="s">
        <v>4359</v>
      </c>
      <c r="B133" t="s">
        <v>4360</v>
      </c>
      <c r="C133" t="s">
        <v>1968</v>
      </c>
      <c r="D133" t="s">
        <v>4430</v>
      </c>
      <c r="E133" s="47" t="str">
        <f>HYPERLINK("J:\P5000686\Reports\Design Reports\090300 - CIE\","J:\P5000686\Reports\Design Reports\090300 - CIE\")</f>
        <v>J:\P5000686\Reports\Design Reports\090300 - CIE\</v>
      </c>
      <c r="F133" s="47" t="str">
        <f>HYPERLINK("J:\P5000686\Reports\Design Reports\101101 - EH_CIE presentation\images\","J:\P5000686\Reports\Design Reports\101101 - EH_CIE presentation\images\")</f>
        <v>J:\P5000686\Reports\Design Reports\101101 - EH_CIE presentation\images\</v>
      </c>
    </row>
    <row r="134" spans="1:6" x14ac:dyDescent="0.2">
      <c r="A134" t="s">
        <v>4359</v>
      </c>
      <c r="B134" t="s">
        <v>4360</v>
      </c>
      <c r="C134" t="s">
        <v>1968</v>
      </c>
      <c r="D134" t="s">
        <v>4431</v>
      </c>
      <c r="E134" s="47" t="str">
        <f>HYPERLINK("J:\P5000686\Reports\Design Reports\090300 - CIE\","J:\P5000686\Reports\Design Reports\090300 - CIE\")</f>
        <v>J:\P5000686\Reports\Design Reports\090300 - CIE\</v>
      </c>
      <c r="F134" s="47" t="str">
        <f>HYPERLINK("J:\P5000686\Reports\Design Reports\101101 - EH_CIE presentation\images\","J:\P5000686\Reports\Design Reports\101101 - EH_CIE presentation\images\")</f>
        <v>J:\P5000686\Reports\Design Reports\101101 - EH_CIE presentation\images\</v>
      </c>
    </row>
    <row r="135" spans="1:6" x14ac:dyDescent="0.2">
      <c r="A135" t="s">
        <v>4359</v>
      </c>
      <c r="B135" t="s">
        <v>4360</v>
      </c>
      <c r="C135" t="s">
        <v>1968</v>
      </c>
      <c r="D135" t="s">
        <v>4432</v>
      </c>
      <c r="E135" s="47" t="str">
        <f>HYPERLINK("J:\P5000686\Reports\Design Reports\160223 - T Site Report\","J:\P5000686\Reports\Design Reports\160223 - T Site Report\")</f>
        <v>J:\P5000686\Reports\Design Reports\160223 - T Site Report\</v>
      </c>
      <c r="F135" s="47" t="str">
        <f>HYPERLINK("J:\P5000686\Reports\Design Reports\160308 - T Site Report\","J:\P5000686\Reports\Design Reports\160308 - T Site Report\")</f>
        <v>J:\P5000686\Reports\Design Reports\160308 - T Site Report\</v>
      </c>
    </row>
    <row r="136" spans="1:6" x14ac:dyDescent="0.2">
      <c r="A136" t="s">
        <v>4359</v>
      </c>
      <c r="B136" t="s">
        <v>4360</v>
      </c>
      <c r="C136" t="s">
        <v>1968</v>
      </c>
      <c r="D136" t="s">
        <v>4433</v>
      </c>
      <c r="E136" s="47" t="str">
        <f>HYPERLINK("J:\P5000686\Studies\160404- Site Boundary\","J:\P5000686\Studies\160404- Site Boundary\")</f>
        <v>J:\P5000686\Studies\160404- Site Boundary\</v>
      </c>
      <c r="F136" s="47" t="str">
        <f>HYPERLINK("J:\P5000686\Studies\160414 - Site Boundary and Flood Maps\","J:\P5000686\Studies\160414 - Site Boundary and Flood Maps\")</f>
        <v>J:\P5000686\Studies\160414 - Site Boundary and Flood Maps\</v>
      </c>
    </row>
    <row r="137" spans="1:6" x14ac:dyDescent="0.2">
      <c r="A137" t="s">
        <v>4359</v>
      </c>
      <c r="B137" t="s">
        <v>4360</v>
      </c>
      <c r="C137" t="s">
        <v>1968</v>
      </c>
      <c r="D137" t="s">
        <v>4434</v>
      </c>
      <c r="E137" s="47" t="str">
        <f>HYPERLINK("J:\P5000686\Studies\160426 - BDP Project Launch Material\A4\","J:\P5000686\Studies\160426 - BDP Project Launch Material\A4\")</f>
        <v>J:\P5000686\Studies\160426 - BDP Project Launch Material\A4\</v>
      </c>
      <c r="F137" s="47" t="str">
        <f>HYPERLINK("J:\P5000686\Studies\Building Guidelines and Dev Plans\Office Design\","J:\P5000686\Studies\Building Guidelines and Dev Plans\Office Design\")</f>
        <v>J:\P5000686\Studies\Building Guidelines and Dev Plans\Office Design\</v>
      </c>
    </row>
    <row r="138" spans="1:6" x14ac:dyDescent="0.2">
      <c r="A138" t="s">
        <v>4359</v>
      </c>
      <c r="B138" t="s">
        <v>4360</v>
      </c>
      <c r="C138" t="s">
        <v>1968</v>
      </c>
      <c r="D138" t="s">
        <v>3323</v>
      </c>
    </row>
    <row r="139" spans="1:6" x14ac:dyDescent="0.2">
      <c r="A139" t="s">
        <v>2289</v>
      </c>
      <c r="B139" t="s">
        <v>2290</v>
      </c>
      <c r="C139" t="s">
        <v>2276</v>
      </c>
      <c r="D139" t="s">
        <v>3884</v>
      </c>
    </row>
    <row r="140" spans="1:6" x14ac:dyDescent="0.2">
      <c r="A140" t="s">
        <v>3054</v>
      </c>
      <c r="B140" t="s">
        <v>3055</v>
      </c>
      <c r="C140" t="s">
        <v>2276</v>
      </c>
      <c r="D140" t="s">
        <v>4282</v>
      </c>
    </row>
    <row r="141" spans="1:6" x14ac:dyDescent="0.2">
      <c r="A141" t="s">
        <v>2131</v>
      </c>
      <c r="B141" t="s">
        <v>2132</v>
      </c>
      <c r="C141" t="s">
        <v>2276</v>
      </c>
      <c r="D141" t="s">
        <v>2901</v>
      </c>
    </row>
    <row r="142" spans="1:6" x14ac:dyDescent="0.2">
      <c r="A142" t="s">
        <v>2312</v>
      </c>
      <c r="B142" t="s">
        <v>2313</v>
      </c>
      <c r="C142" t="s">
        <v>2276</v>
      </c>
      <c r="D142" t="s">
        <v>4379</v>
      </c>
    </row>
    <row r="143" spans="1:6" x14ac:dyDescent="0.2">
      <c r="A143" t="s">
        <v>2312</v>
      </c>
      <c r="B143" t="s">
        <v>2313</v>
      </c>
      <c r="C143" t="s">
        <v>2276</v>
      </c>
      <c r="D143" t="s">
        <v>4380</v>
      </c>
    </row>
    <row r="144" spans="1:6" x14ac:dyDescent="0.2">
      <c r="A144" t="s">
        <v>2312</v>
      </c>
      <c r="B144" t="s">
        <v>2313</v>
      </c>
      <c r="C144" t="s">
        <v>2276</v>
      </c>
      <c r="D144" t="s">
        <v>4381</v>
      </c>
    </row>
    <row r="145" spans="1:6" x14ac:dyDescent="0.2">
      <c r="A145" t="s">
        <v>2312</v>
      </c>
      <c r="B145" t="s">
        <v>2313</v>
      </c>
      <c r="C145" t="s">
        <v>2276</v>
      </c>
      <c r="D145" t="s">
        <v>4382</v>
      </c>
    </row>
    <row r="146" spans="1:6" x14ac:dyDescent="0.2">
      <c r="A146" t="s">
        <v>2797</v>
      </c>
      <c r="B146" t="s">
        <v>2798</v>
      </c>
      <c r="C146" t="s">
        <v>2276</v>
      </c>
      <c r="D146" t="s">
        <v>4282</v>
      </c>
    </row>
    <row r="147" spans="1:6" x14ac:dyDescent="0.2">
      <c r="A147" t="s">
        <v>2273</v>
      </c>
      <c r="B147" t="s">
        <v>2274</v>
      </c>
      <c r="C147" t="s">
        <v>2251</v>
      </c>
      <c r="D147" t="s">
        <v>2901</v>
      </c>
    </row>
    <row r="148" spans="1:6" x14ac:dyDescent="0.2">
      <c r="A148" t="s">
        <v>2273</v>
      </c>
      <c r="B148" t="s">
        <v>2274</v>
      </c>
      <c r="C148" t="s">
        <v>2251</v>
      </c>
      <c r="D148" t="s">
        <v>2984</v>
      </c>
      <c r="E148" s="47" t="str">
        <f>HYPERLINK("J:\P5000522\Specs\Electrical\St. Dympnas  - Electrical Specification - Volume One.docx","J:\P5000522\Specs\Electrical\St. Dympnas  - Electrical Specification - Volume One.docx")</f>
        <v>J:\P5000522\Specs\Electrical\St. Dympnas  - Electrical Specification - Volume One.docx</v>
      </c>
    </row>
    <row r="149" spans="1:6" x14ac:dyDescent="0.2">
      <c r="A149" t="s">
        <v>2517</v>
      </c>
      <c r="B149" t="s">
        <v>2518</v>
      </c>
      <c r="C149" t="s">
        <v>2251</v>
      </c>
      <c r="D149" t="s">
        <v>3843</v>
      </c>
    </row>
    <row r="150" spans="1:6" x14ac:dyDescent="0.2">
      <c r="A150" t="s">
        <v>2517</v>
      </c>
      <c r="B150" t="s">
        <v>2518</v>
      </c>
      <c r="C150" t="s">
        <v>2251</v>
      </c>
      <c r="D150" t="s">
        <v>4282</v>
      </c>
    </row>
    <row r="151" spans="1:6" x14ac:dyDescent="0.2">
      <c r="A151" t="s">
        <v>2517</v>
      </c>
      <c r="B151" t="s">
        <v>2518</v>
      </c>
      <c r="C151" t="s">
        <v>2251</v>
      </c>
      <c r="D151" t="s">
        <v>3352</v>
      </c>
    </row>
    <row r="152" spans="1:6" x14ac:dyDescent="0.2">
      <c r="A152" t="s">
        <v>2517</v>
      </c>
      <c r="B152" t="s">
        <v>2518</v>
      </c>
      <c r="C152" t="s">
        <v>2251</v>
      </c>
      <c r="D152" t="s">
        <v>3326</v>
      </c>
    </row>
    <row r="153" spans="1:6" x14ac:dyDescent="0.2">
      <c r="A153" t="s">
        <v>2862</v>
      </c>
      <c r="B153" t="s">
        <v>2863</v>
      </c>
      <c r="C153" t="s">
        <v>2865</v>
      </c>
      <c r="D153" t="s">
        <v>2901</v>
      </c>
    </row>
    <row r="154" spans="1:6" x14ac:dyDescent="0.2">
      <c r="A154" t="s">
        <v>2735</v>
      </c>
      <c r="B154" t="s">
        <v>2736</v>
      </c>
      <c r="C154" t="s">
        <v>2865</v>
      </c>
      <c r="D154" t="s">
        <v>3109</v>
      </c>
      <c r="F154" t="s">
        <v>3236</v>
      </c>
    </row>
    <row r="155" spans="1:6" x14ac:dyDescent="0.2">
      <c r="A155" t="s">
        <v>2735</v>
      </c>
      <c r="B155" t="s">
        <v>2736</v>
      </c>
      <c r="C155" t="s">
        <v>2865</v>
      </c>
      <c r="D155" t="s">
        <v>3088</v>
      </c>
      <c r="F155" t="s">
        <v>3223</v>
      </c>
    </row>
    <row r="156" spans="1:6" x14ac:dyDescent="0.2">
      <c r="A156" t="s">
        <v>2735</v>
      </c>
      <c r="B156" t="s">
        <v>2736</v>
      </c>
      <c r="C156" t="s">
        <v>2865</v>
      </c>
      <c r="D156" t="s">
        <v>3089</v>
      </c>
      <c r="F156" t="s">
        <v>3224</v>
      </c>
    </row>
    <row r="157" spans="1:6" x14ac:dyDescent="0.2">
      <c r="A157" t="s">
        <v>2735</v>
      </c>
      <c r="B157" t="s">
        <v>2736</v>
      </c>
      <c r="C157" t="s">
        <v>2865</v>
      </c>
      <c r="D157" t="s">
        <v>3090</v>
      </c>
      <c r="F157" t="s">
        <v>3225</v>
      </c>
    </row>
    <row r="158" spans="1:6" x14ac:dyDescent="0.2">
      <c r="A158" t="s">
        <v>2735</v>
      </c>
      <c r="B158" t="s">
        <v>2736</v>
      </c>
      <c r="C158" t="s">
        <v>2865</v>
      </c>
      <c r="D158" t="s">
        <v>2901</v>
      </c>
    </row>
    <row r="159" spans="1:6" x14ac:dyDescent="0.2">
      <c r="A159" t="s">
        <v>2735</v>
      </c>
      <c r="B159" t="s">
        <v>2736</v>
      </c>
      <c r="C159" t="s">
        <v>2865</v>
      </c>
      <c r="D159" t="s">
        <v>3570</v>
      </c>
      <c r="E159" s="47" t="str">
        <f>HYPERLINK("J:\P5000642\Bid Submission\Building Services Reports\Lot 21.1 Mallow\Lot 21.1_Mallow_Educate Together_Building Services Report.docx","J:\P5000642\Bid Submission\Building Services Reports\Lot 21.1 Mallow\Lot 21.1_Mallow_Educate Together_Building Services Report.docx")</f>
        <v>J:\P5000642\Bid Submission\Building Services Reports\Lot 21.1 Mallow\Lot 21.1_Mallow_Educate Together_Building Services Report.docx</v>
      </c>
    </row>
    <row r="160" spans="1:6" x14ac:dyDescent="0.2">
      <c r="A160" t="s">
        <v>2735</v>
      </c>
      <c r="B160" t="s">
        <v>2736</v>
      </c>
      <c r="C160" t="s">
        <v>2865</v>
      </c>
      <c r="D160" t="s">
        <v>3570</v>
      </c>
      <c r="E160" s="47" t="str">
        <f>HYPERLINK("J:\P5000642\Bid Submission\Building Services Reports\Lot 22.1 Tuam\Lot 22.1_Tuam_Gaelscoil Iarfhlatha_Building Services Report.docx","J:\P5000642\Bid Submission\Building Services Reports\Lot 22.1 Tuam\Lot 22.1_Tuam_Gaelscoil Iarfhlatha_Building Services Report.docx")</f>
        <v>J:\P5000642\Bid Submission\Building Services Reports\Lot 22.1 Tuam\Lot 22.1_Tuam_Gaelscoil Iarfhlatha_Building Services Report.docx</v>
      </c>
    </row>
    <row r="161" spans="1:5" x14ac:dyDescent="0.2">
      <c r="A161" t="s">
        <v>2735</v>
      </c>
      <c r="B161" t="s">
        <v>2736</v>
      </c>
      <c r="C161" t="s">
        <v>2865</v>
      </c>
      <c r="D161" t="s">
        <v>3570</v>
      </c>
      <c r="E161" s="47" t="str">
        <f>HYPERLINK("J:\P5000642\Bid Submission\Building Services Reports\Lot 22.2 Tullamore\Lot 22.2_Tullamore_ Educate Together_Building Services Report.docx","J:\P5000642\Bid Submission\Building Services Reports\Lot 22.2 Tullamore\Lot 22.2_Tullamore_ Educate Together_Building Services Report.docx")</f>
        <v>J:\P5000642\Bid Submission\Building Services Reports\Lot 22.2 Tullamore\Lot 22.2_Tullamore_ Educate Together_Building Services Report.docx</v>
      </c>
    </row>
    <row r="162" spans="1:5" x14ac:dyDescent="0.2">
      <c r="A162" t="s">
        <v>2735</v>
      </c>
      <c r="B162" t="s">
        <v>2736</v>
      </c>
      <c r="C162" t="s">
        <v>2865</v>
      </c>
      <c r="D162" t="s">
        <v>3570</v>
      </c>
      <c r="E162" s="47" t="str">
        <f>HYPERLINK("J:\P5000642\Bid Submission\Building Services Reports\Lot 23.1 Wicklow\Lot 23.1_Wicklow_Educate Together_Building Services Report.docx","J:\P5000642\Bid Submission\Building Services Reports\Lot 23.1 Wicklow\Lot 23.1_Wicklow_Educate Together_Building Services Report.docx")</f>
        <v>J:\P5000642\Bid Submission\Building Services Reports\Lot 23.1 Wicklow\Lot 23.1_Wicklow_Educate Together_Building Services Report.docx</v>
      </c>
    </row>
    <row r="163" spans="1:5" x14ac:dyDescent="0.2">
      <c r="A163" t="s">
        <v>2735</v>
      </c>
      <c r="B163" t="s">
        <v>2736</v>
      </c>
      <c r="C163" t="s">
        <v>2865</v>
      </c>
      <c r="D163" t="s">
        <v>3570</v>
      </c>
      <c r="E163" s="47" t="str">
        <f>HYPERLINK("J:\P5000642\Bid Submission\Electrical Specifications\Lot 21.1 Mallow\Lot 21.1_Mallow_ Educate Together_ Electrical Specification.doc","J:\P5000642\Bid Submission\Electrical Specifications\Lot 21.1 Mallow\Lot 21.1_Mallow_ Educate Together_ Electrical Specification.doc")</f>
        <v>J:\P5000642\Bid Submission\Electrical Specifications\Lot 21.1 Mallow\Lot 21.1_Mallow_ Educate Together_ Electrical Specification.doc</v>
      </c>
    </row>
    <row r="164" spans="1:5" x14ac:dyDescent="0.2">
      <c r="A164" t="s">
        <v>2735</v>
      </c>
      <c r="B164" t="s">
        <v>2736</v>
      </c>
      <c r="C164" t="s">
        <v>2865</v>
      </c>
      <c r="D164" t="s">
        <v>3570</v>
      </c>
      <c r="E164" s="47" t="str">
        <f>HYPERLINK("J:\P5000642\Bid Submission\Electrical Specifications\Lot 22.1 Tuam\Lot 22.1_Tuam_ Gaelscoil Iarfhlatha_ Electrical Specification.doc","J:\P5000642\Bid Submission\Electrical Specifications\Lot 22.1 Tuam\Lot 22.1_Tuam_ Gaelscoil Iarfhlatha_ Electrical Specification.doc")</f>
        <v>J:\P5000642\Bid Submission\Electrical Specifications\Lot 22.1 Tuam\Lot 22.1_Tuam_ Gaelscoil Iarfhlatha_ Electrical Specification.doc</v>
      </c>
    </row>
    <row r="165" spans="1:5" x14ac:dyDescent="0.2">
      <c r="A165" t="s">
        <v>2735</v>
      </c>
      <c r="B165" t="s">
        <v>2736</v>
      </c>
      <c r="C165" t="s">
        <v>2865</v>
      </c>
      <c r="D165" t="s">
        <v>3570</v>
      </c>
      <c r="E165" s="47" t="str">
        <f>HYPERLINK("J:\P5000642\Bid Submission\Electrical Specifications\Lot 22.2 Tullamore\Lot 22.2_Tullamore_Educate Together_Electrical Specification.doc","J:\P5000642\Bid Submission\Electrical Specifications\Lot 22.2 Tullamore\Lot 22.2_Tullamore_Educate Together_Electrical Specification.doc")</f>
        <v>J:\P5000642\Bid Submission\Electrical Specifications\Lot 22.2 Tullamore\Lot 22.2_Tullamore_Educate Together_Electrical Specification.doc</v>
      </c>
    </row>
    <row r="166" spans="1:5" x14ac:dyDescent="0.2">
      <c r="A166" t="s">
        <v>2735</v>
      </c>
      <c r="B166" t="s">
        <v>2736</v>
      </c>
      <c r="C166" t="s">
        <v>2865</v>
      </c>
      <c r="D166" t="s">
        <v>3570</v>
      </c>
      <c r="E166" s="47" t="str">
        <f>HYPERLINK("J:\P5000642\Bid Submission\Electrical Specifications\Lot 23.1 Wicklow\Lot 23.1_Wicklow_Educate Together_ Electrical Specification.doc","J:\P5000642\Bid Submission\Electrical Specifications\Lot 23.1 Wicklow\Lot 23.1_Wicklow_Educate Together_ Electrical Specification.doc")</f>
        <v>J:\P5000642\Bid Submission\Electrical Specifications\Lot 23.1 Wicklow\Lot 23.1_Wicklow_Educate Together_ Electrical Specification.doc</v>
      </c>
    </row>
    <row r="167" spans="1:5" x14ac:dyDescent="0.2">
      <c r="A167" t="s">
        <v>2735</v>
      </c>
      <c r="B167" t="s">
        <v>2736</v>
      </c>
      <c r="C167" t="s">
        <v>2865</v>
      </c>
      <c r="D167" t="s">
        <v>3570</v>
      </c>
      <c r="E167" s="47" t="str">
        <f>HYPERLINK("J:\P5000642\Specs\Electrical\Gaelscoil Iarfhlatha_Electrical Specification - Volume One.doc","J:\P5000642\Specs\Electrical\Gaelscoil Iarfhlatha_Electrical Specification - Volume One.doc")</f>
        <v>J:\P5000642\Specs\Electrical\Gaelscoil Iarfhlatha_Electrical Specification - Volume One.doc</v>
      </c>
    </row>
    <row r="168" spans="1:5" x14ac:dyDescent="0.2">
      <c r="A168" t="s">
        <v>2735</v>
      </c>
      <c r="B168" t="s">
        <v>2736</v>
      </c>
      <c r="C168" t="s">
        <v>2865</v>
      </c>
      <c r="D168" t="s">
        <v>3321</v>
      </c>
    </row>
    <row r="169" spans="1:5" x14ac:dyDescent="0.2">
      <c r="A169" t="s">
        <v>2735</v>
      </c>
      <c r="B169" t="s">
        <v>2736</v>
      </c>
      <c r="C169" t="s">
        <v>2865</v>
      </c>
      <c r="D169" t="s">
        <v>3322</v>
      </c>
    </row>
    <row r="170" spans="1:5" x14ac:dyDescent="0.2">
      <c r="A170" t="s">
        <v>2735</v>
      </c>
      <c r="B170" t="s">
        <v>2736</v>
      </c>
      <c r="C170" t="s">
        <v>2865</v>
      </c>
      <c r="D170" t="s">
        <v>3323</v>
      </c>
    </row>
    <row r="171" spans="1:5" x14ac:dyDescent="0.2">
      <c r="A171" t="s">
        <v>2735</v>
      </c>
      <c r="B171" t="s">
        <v>2736</v>
      </c>
      <c r="C171" t="s">
        <v>2865</v>
      </c>
      <c r="D171" t="s">
        <v>3324</v>
      </c>
    </row>
    <row r="172" spans="1:5" x14ac:dyDescent="0.2">
      <c r="A172" t="s">
        <v>2735</v>
      </c>
      <c r="B172" t="s">
        <v>2736</v>
      </c>
      <c r="C172" t="s">
        <v>2865</v>
      </c>
      <c r="D172" t="s">
        <v>3325</v>
      </c>
    </row>
    <row r="173" spans="1:5" x14ac:dyDescent="0.2">
      <c r="A173" t="s">
        <v>2735</v>
      </c>
      <c r="B173" t="s">
        <v>2736</v>
      </c>
      <c r="C173" t="s">
        <v>2865</v>
      </c>
      <c r="D173" t="s">
        <v>3326</v>
      </c>
    </row>
    <row r="174" spans="1:5" x14ac:dyDescent="0.2">
      <c r="A174" t="s">
        <v>2542</v>
      </c>
      <c r="B174" t="s">
        <v>2543</v>
      </c>
      <c r="D174" t="s">
        <v>3357</v>
      </c>
    </row>
  </sheetData>
  <sortState ref="A16:G969">
    <sortCondition ref="C17:C969"/>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033" r:id="rId4" name="cmdsorttype">
          <controlPr defaultSize="0" autoLine="0" r:id="rId5">
            <anchor moveWithCells="1">
              <from>
                <xdr:col>0</xdr:col>
                <xdr:colOff>600075</xdr:colOff>
                <xdr:row>11</xdr:row>
                <xdr:rowOff>104775</xdr:rowOff>
              </from>
              <to>
                <xdr:col>1</xdr:col>
                <xdr:colOff>914400</xdr:colOff>
                <xdr:row>13</xdr:row>
                <xdr:rowOff>57150</xdr:rowOff>
              </to>
            </anchor>
          </controlPr>
        </control>
      </mc:Choice>
      <mc:Fallback>
        <control shapeId="1033" r:id="rId4" name="cmdsorttype"/>
      </mc:Fallback>
    </mc:AlternateContent>
    <mc:AlternateContent xmlns:mc="http://schemas.openxmlformats.org/markup-compatibility/2006">
      <mc:Choice Requires="x14">
        <control shapeId="1026" r:id="rId6" name="Button 2">
          <controlPr defaultSize="0" print="0" autoFill="0" autoPict="0" macro="[0]!checkAllProjects">
            <anchor moveWithCells="1" sizeWithCells="1">
              <from>
                <xdr:col>0</xdr:col>
                <xdr:colOff>47625</xdr:colOff>
                <xdr:row>6</xdr:row>
                <xdr:rowOff>9525</xdr:rowOff>
              </from>
              <to>
                <xdr:col>1</xdr:col>
                <xdr:colOff>904875</xdr:colOff>
                <xdr:row>8</xdr:row>
                <xdr:rowOff>47625</xdr:rowOff>
              </to>
            </anchor>
          </controlPr>
        </control>
      </mc:Choice>
    </mc:AlternateContent>
    <mc:AlternateContent xmlns:mc="http://schemas.openxmlformats.org/markup-compatibility/2006">
      <mc:Choice Requires="x14">
        <control shapeId="1027" r:id="rId7" name="Button 3">
          <controlPr defaultSize="0" print="0" autoFill="0" autoPict="0" macro="[0]!Export.export">
            <anchor moveWithCells="1" sizeWithCells="1">
              <from>
                <xdr:col>0</xdr:col>
                <xdr:colOff>47625</xdr:colOff>
                <xdr:row>9</xdr:row>
                <xdr:rowOff>9525</xdr:rowOff>
              </from>
              <to>
                <xdr:col>1</xdr:col>
                <xdr:colOff>904875</xdr:colOff>
                <xdr:row>11</xdr:row>
                <xdr:rowOff>47625</xdr:rowOff>
              </to>
            </anchor>
          </controlPr>
        </control>
      </mc:Choice>
    </mc:AlternateContent>
    <mc:AlternateContent xmlns:mc="http://schemas.openxmlformats.org/markup-compatibility/2006">
      <mc:Choice Requires="x14">
        <control shapeId="1028" r:id="rId8" name="Button 4">
          <controlPr defaultSize="0" print="0" autoFill="0" autoPict="0" macro="[0]!checkSpecificProject">
            <anchor moveWithCells="1" sizeWithCells="1">
              <from>
                <xdr:col>3</xdr:col>
                <xdr:colOff>3009900</xdr:colOff>
                <xdr:row>0</xdr:row>
                <xdr:rowOff>47625</xdr:rowOff>
              </from>
              <to>
                <xdr:col>3</xdr:col>
                <xdr:colOff>4667250</xdr:colOff>
                <xdr:row>2</xdr:row>
                <xdr:rowOff>9525</xdr:rowOff>
              </to>
            </anchor>
          </controlPr>
        </control>
      </mc:Choice>
    </mc:AlternateContent>
    <mc:AlternateContent xmlns:mc="http://schemas.openxmlformats.org/markup-compatibility/2006">
      <mc:Choice Requires="x14">
        <control shapeId="1034" r:id="rId9" name="Button 10">
          <controlPr defaultSize="0" print="0" autoFill="0" autoPict="0" macro="[0]!sortbyname">
            <anchor moveWithCells="1" sizeWithCells="1">
              <from>
                <xdr:col>1</xdr:col>
                <xdr:colOff>2295525</xdr:colOff>
                <xdr:row>5</xdr:row>
                <xdr:rowOff>123825</xdr:rowOff>
              </from>
              <to>
                <xdr:col>1</xdr:col>
                <xdr:colOff>3181350</xdr:colOff>
                <xdr:row>8</xdr:row>
                <xdr:rowOff>47625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6:B37"/>
  <sheetViews>
    <sheetView showGridLines="0" topLeftCell="A4" workbookViewId="0">
      <selection activeCell="A4" sqref="A4"/>
    </sheetView>
  </sheetViews>
  <sheetFormatPr defaultRowHeight="12.75" x14ac:dyDescent="0.2"/>
  <cols>
    <col min="1" max="1" width="39.42578125" customWidth="1"/>
  </cols>
  <sheetData>
    <row r="6" spans="1:2" x14ac:dyDescent="0.2">
      <c r="A6" s="2" t="s">
        <v>3719</v>
      </c>
      <c r="B6" s="2" t="s">
        <v>3726</v>
      </c>
    </row>
    <row r="8" spans="1:2" x14ac:dyDescent="0.2">
      <c r="A8" s="5" t="s">
        <v>60</v>
      </c>
      <c r="B8" s="5">
        <v>2</v>
      </c>
    </row>
    <row r="9" spans="1:2" x14ac:dyDescent="0.2">
      <c r="A9" s="5" t="s">
        <v>88</v>
      </c>
      <c r="B9" s="5">
        <v>4</v>
      </c>
    </row>
    <row r="10" spans="1:2" x14ac:dyDescent="0.2">
      <c r="A10" s="5" t="s">
        <v>2251</v>
      </c>
      <c r="B10" s="5">
        <v>6</v>
      </c>
    </row>
    <row r="11" spans="1:2" x14ac:dyDescent="0.2">
      <c r="A11" s="5" t="s">
        <v>2160</v>
      </c>
      <c r="B11" s="5">
        <v>8</v>
      </c>
    </row>
    <row r="12" spans="1:2" x14ac:dyDescent="0.2">
      <c r="A12" s="5" t="s">
        <v>2276</v>
      </c>
      <c r="B12" s="5">
        <v>8</v>
      </c>
    </row>
    <row r="13" spans="1:2" x14ac:dyDescent="0.2">
      <c r="A13" s="5" t="s">
        <v>219</v>
      </c>
      <c r="B13" s="5">
        <v>10</v>
      </c>
    </row>
    <row r="14" spans="1:2" x14ac:dyDescent="0.2">
      <c r="A14" s="5" t="s">
        <v>492</v>
      </c>
      <c r="B14" s="5">
        <v>13</v>
      </c>
    </row>
    <row r="15" spans="1:2" x14ac:dyDescent="0.2">
      <c r="A15" s="5" t="s">
        <v>366</v>
      </c>
      <c r="B15" s="5">
        <v>17</v>
      </c>
    </row>
    <row r="16" spans="1:2" x14ac:dyDescent="0.2">
      <c r="A16" s="5" t="s">
        <v>1968</v>
      </c>
      <c r="B16" s="5">
        <v>20</v>
      </c>
    </row>
    <row r="17" spans="1:2" x14ac:dyDescent="0.2">
      <c r="A17" s="5" t="s">
        <v>2865</v>
      </c>
      <c r="B17" s="5">
        <v>21</v>
      </c>
    </row>
    <row r="18" spans="1:2" x14ac:dyDescent="0.2">
      <c r="A18" s="5" t="s">
        <v>244</v>
      </c>
      <c r="B18" s="5">
        <v>49</v>
      </c>
    </row>
    <row r="19" spans="1:2" x14ac:dyDescent="0.2">
      <c r="A19" s="5"/>
      <c r="B19" s="5"/>
    </row>
    <row r="20" spans="1:2" x14ac:dyDescent="0.2">
      <c r="A20" s="5"/>
      <c r="B20" s="5"/>
    </row>
    <row r="21" spans="1:2" x14ac:dyDescent="0.2">
      <c r="A21" s="5"/>
      <c r="B21" s="5"/>
    </row>
    <row r="22" spans="1:2" x14ac:dyDescent="0.2">
      <c r="A22" s="5"/>
      <c r="B22" s="5"/>
    </row>
    <row r="23" spans="1:2" x14ac:dyDescent="0.2">
      <c r="A23" s="5"/>
      <c r="B23" s="5"/>
    </row>
    <row r="24" spans="1:2" x14ac:dyDescent="0.2">
      <c r="A24" s="5"/>
      <c r="B24" s="5"/>
    </row>
    <row r="25" spans="1:2" x14ac:dyDescent="0.2">
      <c r="A25" s="5"/>
      <c r="B25" s="5"/>
    </row>
    <row r="26" spans="1:2" x14ac:dyDescent="0.2">
      <c r="A26" s="5"/>
      <c r="B26" s="5"/>
    </row>
    <row r="27" spans="1:2" x14ac:dyDescent="0.2">
      <c r="A27" s="5"/>
      <c r="B27" s="5"/>
    </row>
    <row r="28" spans="1:2" x14ac:dyDescent="0.2">
      <c r="A28" s="5"/>
      <c r="B28" s="5"/>
    </row>
    <row r="29" spans="1:2" x14ac:dyDescent="0.2">
      <c r="A29" s="5"/>
      <c r="B29" s="5"/>
    </row>
    <row r="30" spans="1:2" x14ac:dyDescent="0.2">
      <c r="A30" s="5"/>
      <c r="B30" s="5"/>
    </row>
    <row r="31" spans="1:2" x14ac:dyDescent="0.2">
      <c r="A31" s="5"/>
      <c r="B31" s="5"/>
    </row>
    <row r="32" spans="1:2" x14ac:dyDescent="0.2">
      <c r="A32" s="5"/>
      <c r="B32" s="5"/>
    </row>
    <row r="33" spans="1:2" x14ac:dyDescent="0.2">
      <c r="A33" s="5"/>
      <c r="B33" s="5"/>
    </row>
    <row r="34" spans="1:2" x14ac:dyDescent="0.2">
      <c r="A34" s="5"/>
      <c r="B34" s="5"/>
    </row>
    <row r="35" spans="1:2" x14ac:dyDescent="0.2">
      <c r="A35" s="5"/>
      <c r="B35" s="5"/>
    </row>
    <row r="36" spans="1:2" x14ac:dyDescent="0.2">
      <c r="A36" s="5"/>
      <c r="B36" s="5"/>
    </row>
    <row r="37" spans="1:2" x14ac:dyDescent="0.2">
      <c r="A37" s="5"/>
      <c r="B37" s="5"/>
    </row>
  </sheetData>
  <sortState ref="A8:B37">
    <sortCondition ref="B8:B37"/>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47"/>
  <sheetViews>
    <sheetView showGridLines="0" workbookViewId="0">
      <selection activeCell="C2" sqref="C2"/>
    </sheetView>
  </sheetViews>
  <sheetFormatPr defaultRowHeight="12.75" x14ac:dyDescent="0.2"/>
  <cols>
    <col min="1" max="1" width="19.85546875" customWidth="1"/>
    <col min="2" max="2" width="11.85546875" customWidth="1"/>
    <col min="3" max="3" width="55.5703125" customWidth="1"/>
    <col min="4" max="4" width="76.28515625" customWidth="1"/>
    <col min="5" max="5" width="12.85546875" customWidth="1"/>
    <col min="6" max="6" width="17.85546875" customWidth="1"/>
  </cols>
  <sheetData>
    <row r="1" spans="1:13" ht="13.5" thickBot="1" x14ac:dyDescent="0.25">
      <c r="A1" s="43">
        <v>1</v>
      </c>
      <c r="B1" s="2" t="s">
        <v>3861</v>
      </c>
    </row>
    <row r="2" spans="1:13" x14ac:dyDescent="0.2">
      <c r="E2" s="2" t="s">
        <v>3059</v>
      </c>
    </row>
    <row r="3" spans="1:13" x14ac:dyDescent="0.2">
      <c r="A3" s="16" t="s">
        <v>2925</v>
      </c>
      <c r="E3" s="5" t="s">
        <v>3060</v>
      </c>
    </row>
    <row r="4" spans="1:13" x14ac:dyDescent="0.2">
      <c r="A4" s="3"/>
    </row>
    <row r="5" spans="1:13" x14ac:dyDescent="0.2">
      <c r="A5" t="s">
        <v>2926</v>
      </c>
    </row>
    <row r="6" spans="1:13" x14ac:dyDescent="0.2">
      <c r="A6" t="s">
        <v>2927</v>
      </c>
    </row>
    <row r="10" spans="1:13" x14ac:dyDescent="0.2">
      <c r="A10" s="32" t="s">
        <v>2806</v>
      </c>
      <c r="B10" s="32" t="s">
        <v>2905</v>
      </c>
      <c r="C10" s="32" t="s">
        <v>2962</v>
      </c>
      <c r="D10" s="32" t="s">
        <v>2963</v>
      </c>
      <c r="E10" s="32" t="s">
        <v>2951</v>
      </c>
      <c r="F10" s="32" t="s">
        <v>2964</v>
      </c>
      <c r="G10" s="2"/>
      <c r="H10" s="2"/>
      <c r="I10" s="2"/>
      <c r="J10" s="2"/>
      <c r="K10" s="2"/>
      <c r="L10" s="2"/>
      <c r="M10" s="2"/>
    </row>
    <row r="12" spans="1:13" x14ac:dyDescent="0.2">
      <c r="A12" s="5" t="s">
        <v>2807</v>
      </c>
      <c r="B12" s="30">
        <v>1</v>
      </c>
      <c r="C12" s="5" t="s">
        <v>2928</v>
      </c>
      <c r="D12" s="5" t="s">
        <v>2929</v>
      </c>
      <c r="E12" s="5"/>
      <c r="F12" s="5">
        <v>1</v>
      </c>
    </row>
    <row r="13" spans="1:13" x14ac:dyDescent="0.2">
      <c r="A13" s="5" t="s">
        <v>2807</v>
      </c>
      <c r="B13" s="30">
        <v>1</v>
      </c>
      <c r="C13" s="5" t="s">
        <v>2930</v>
      </c>
      <c r="D13" s="5" t="s">
        <v>2931</v>
      </c>
      <c r="E13" s="5"/>
      <c r="F13" s="5">
        <f>F12+1</f>
        <v>2</v>
      </c>
    </row>
    <row r="14" spans="1:13" x14ac:dyDescent="0.2">
      <c r="A14" s="5" t="s">
        <v>2807</v>
      </c>
      <c r="B14" s="30">
        <v>1</v>
      </c>
      <c r="C14" s="5" t="s">
        <v>2932</v>
      </c>
      <c r="D14" s="5" t="s">
        <v>2933</v>
      </c>
      <c r="E14" s="5"/>
      <c r="F14" s="5">
        <f t="shared" ref="F14:F31" si="0">F13+1</f>
        <v>3</v>
      </c>
    </row>
    <row r="15" spans="1:13" x14ac:dyDescent="0.2">
      <c r="A15" s="5" t="s">
        <v>2807</v>
      </c>
      <c r="B15" s="30">
        <v>1</v>
      </c>
      <c r="C15" s="5" t="s">
        <v>2934</v>
      </c>
      <c r="D15" s="5" t="s">
        <v>2935</v>
      </c>
      <c r="E15" s="5"/>
      <c r="F15" s="5">
        <f t="shared" si="0"/>
        <v>4</v>
      </c>
    </row>
    <row r="16" spans="1:13" x14ac:dyDescent="0.2">
      <c r="A16" s="5" t="s">
        <v>2807</v>
      </c>
      <c r="B16" s="30">
        <v>1</v>
      </c>
      <c r="C16" s="5" t="s">
        <v>2936</v>
      </c>
      <c r="D16" s="5" t="s">
        <v>2937</v>
      </c>
      <c r="E16" s="5"/>
      <c r="F16" s="5">
        <f t="shared" si="0"/>
        <v>5</v>
      </c>
    </row>
    <row r="17" spans="1:8" x14ac:dyDescent="0.2">
      <c r="A17" s="5" t="s">
        <v>2807</v>
      </c>
      <c r="B17" s="30">
        <v>1</v>
      </c>
      <c r="C17" s="5" t="s">
        <v>2938</v>
      </c>
      <c r="D17" s="5" t="s">
        <v>2940</v>
      </c>
      <c r="E17" s="5"/>
      <c r="F17" s="5">
        <f t="shared" si="0"/>
        <v>6</v>
      </c>
    </row>
    <row r="18" spans="1:8" x14ac:dyDescent="0.2">
      <c r="A18" s="5" t="s">
        <v>2807</v>
      </c>
      <c r="B18" s="30">
        <v>1</v>
      </c>
      <c r="C18" s="5" t="s">
        <v>2939</v>
      </c>
      <c r="D18" s="5" t="s">
        <v>2942</v>
      </c>
      <c r="E18" s="5"/>
      <c r="F18" s="5">
        <f t="shared" si="0"/>
        <v>7</v>
      </c>
    </row>
    <row r="19" spans="1:8" x14ac:dyDescent="0.2">
      <c r="A19" s="5" t="s">
        <v>2807</v>
      </c>
      <c r="B19" s="30">
        <v>1</v>
      </c>
      <c r="C19" s="5" t="s">
        <v>2947</v>
      </c>
      <c r="D19" s="5" t="s">
        <v>2941</v>
      </c>
      <c r="E19" s="5"/>
      <c r="F19" s="5">
        <f t="shared" si="0"/>
        <v>8</v>
      </c>
    </row>
    <row r="20" spans="1:8" x14ac:dyDescent="0.2">
      <c r="A20" s="5" t="s">
        <v>2807</v>
      </c>
      <c r="B20" s="30">
        <v>1</v>
      </c>
      <c r="C20" s="5" t="s">
        <v>2946</v>
      </c>
      <c r="D20" s="5" t="s">
        <v>2943</v>
      </c>
      <c r="E20" s="5"/>
      <c r="F20" s="5">
        <f t="shared" si="0"/>
        <v>9</v>
      </c>
    </row>
    <row r="21" spans="1:8" x14ac:dyDescent="0.2">
      <c r="A21" s="5" t="s">
        <v>2807</v>
      </c>
      <c r="B21" s="30">
        <v>1</v>
      </c>
      <c r="C21" s="5" t="s">
        <v>2945</v>
      </c>
      <c r="D21" s="5" t="s">
        <v>2944</v>
      </c>
      <c r="E21" s="5"/>
      <c r="F21" s="5">
        <f t="shared" si="0"/>
        <v>10</v>
      </c>
    </row>
    <row r="22" spans="1:8" x14ac:dyDescent="0.2">
      <c r="A22" s="5" t="s">
        <v>1699</v>
      </c>
      <c r="B22" s="30">
        <v>1</v>
      </c>
      <c r="C22" s="5" t="str">
        <f t="shared" ref="C22:C27" si="1">"Checks there's at least " &amp; E22 &amp; " key dates (change # in 'other' column)"</f>
        <v>Checks there's at least 1 key dates (change # in 'other' column)</v>
      </c>
      <c r="D22" s="5" t="s">
        <v>3254</v>
      </c>
      <c r="E22" s="5">
        <v>1</v>
      </c>
      <c r="F22" s="5">
        <f t="shared" si="0"/>
        <v>11</v>
      </c>
      <c r="H22" s="2" t="s">
        <v>2955</v>
      </c>
    </row>
    <row r="23" spans="1:8" x14ac:dyDescent="0.2">
      <c r="A23" s="5" t="s">
        <v>1737</v>
      </c>
      <c r="B23" s="30">
        <v>1</v>
      </c>
      <c r="C23" s="5" t="str">
        <f t="shared" si="1"/>
        <v>Checks there's at least 1 key dates (change # in 'other' column)</v>
      </c>
      <c r="D23" s="5" t="s">
        <v>3254</v>
      </c>
      <c r="E23" s="5">
        <v>1</v>
      </c>
      <c r="F23" s="5">
        <f t="shared" si="0"/>
        <v>12</v>
      </c>
      <c r="H23" t="s">
        <v>2952</v>
      </c>
    </row>
    <row r="24" spans="1:8" x14ac:dyDescent="0.2">
      <c r="A24" s="5" t="s">
        <v>2716</v>
      </c>
      <c r="B24" s="30">
        <v>1</v>
      </c>
      <c r="C24" s="5" t="str">
        <f t="shared" si="1"/>
        <v>Checks there's at least 2 key dates (change # in 'other' column)</v>
      </c>
      <c r="D24" s="5" t="s">
        <v>3254</v>
      </c>
      <c r="E24" s="5">
        <v>2</v>
      </c>
      <c r="F24" s="5">
        <f t="shared" si="0"/>
        <v>13</v>
      </c>
      <c r="H24" t="s">
        <v>2954</v>
      </c>
    </row>
    <row r="25" spans="1:8" x14ac:dyDescent="0.2">
      <c r="A25" s="5" t="s">
        <v>367</v>
      </c>
      <c r="B25" s="30">
        <v>1</v>
      </c>
      <c r="C25" s="5" t="str">
        <f t="shared" si="1"/>
        <v>Checks there's at least 3 key dates (change # in 'other' column)</v>
      </c>
      <c r="D25" s="5" t="s">
        <v>3254</v>
      </c>
      <c r="E25" s="5">
        <v>3</v>
      </c>
      <c r="F25" s="5">
        <f t="shared" si="0"/>
        <v>14</v>
      </c>
      <c r="H25" t="s">
        <v>2953</v>
      </c>
    </row>
    <row r="26" spans="1:8" x14ac:dyDescent="0.2">
      <c r="A26" s="5" t="s">
        <v>2026</v>
      </c>
      <c r="B26" s="30">
        <v>1</v>
      </c>
      <c r="C26" s="5" t="str">
        <f t="shared" si="1"/>
        <v>Checks there's at least 4 key dates (change # in 'other' column)</v>
      </c>
      <c r="D26" s="5" t="s">
        <v>3254</v>
      </c>
      <c r="E26" s="5">
        <v>4</v>
      </c>
      <c r="F26" s="5">
        <f t="shared" si="0"/>
        <v>15</v>
      </c>
      <c r="H26" t="s">
        <v>2956</v>
      </c>
    </row>
    <row r="27" spans="1:8" x14ac:dyDescent="0.2">
      <c r="A27" s="5" t="s">
        <v>1898</v>
      </c>
      <c r="B27" s="30">
        <v>1</v>
      </c>
      <c r="C27" s="5" t="str">
        <f t="shared" si="1"/>
        <v>Checks there's at least 5 key dates (change # in 'other' column)</v>
      </c>
      <c r="D27" s="5" t="s">
        <v>3254</v>
      </c>
      <c r="E27" s="5">
        <v>5</v>
      </c>
      <c r="F27" s="5">
        <f t="shared" si="0"/>
        <v>16</v>
      </c>
      <c r="H27" t="s">
        <v>2957</v>
      </c>
    </row>
    <row r="28" spans="1:8" x14ac:dyDescent="0.2">
      <c r="A28" s="5" t="s">
        <v>2807</v>
      </c>
      <c r="B28" s="30">
        <v>1</v>
      </c>
      <c r="C28" s="5" t="s">
        <v>2958</v>
      </c>
      <c r="D28" s="5" t="s">
        <v>2959</v>
      </c>
      <c r="E28" s="5"/>
      <c r="F28" s="5">
        <f t="shared" si="0"/>
        <v>17</v>
      </c>
    </row>
    <row r="29" spans="1:8" x14ac:dyDescent="0.2">
      <c r="A29" s="5" t="s">
        <v>2807</v>
      </c>
      <c r="B29" s="30">
        <v>1</v>
      </c>
      <c r="C29" s="5" t="s">
        <v>2960</v>
      </c>
      <c r="D29" s="5" t="s">
        <v>2961</v>
      </c>
      <c r="E29" s="5" t="s">
        <v>2568</v>
      </c>
      <c r="F29" s="5">
        <f t="shared" si="0"/>
        <v>18</v>
      </c>
      <c r="H29" t="s">
        <v>2967</v>
      </c>
    </row>
    <row r="30" spans="1:8" x14ac:dyDescent="0.2">
      <c r="A30" s="5" t="s">
        <v>2807</v>
      </c>
      <c r="B30" s="30">
        <v>1</v>
      </c>
      <c r="C30" s="5" t="s">
        <v>2965</v>
      </c>
      <c r="D30" s="5" t="s">
        <v>2966</v>
      </c>
      <c r="E30" s="31" t="s">
        <v>78</v>
      </c>
      <c r="F30" s="5">
        <f t="shared" si="0"/>
        <v>19</v>
      </c>
      <c r="H30" t="s">
        <v>2968</v>
      </c>
    </row>
    <row r="31" spans="1:8" x14ac:dyDescent="0.2">
      <c r="A31" s="5" t="s">
        <v>2807</v>
      </c>
      <c r="B31" s="30">
        <v>1</v>
      </c>
      <c r="C31" s="5" t="s">
        <v>2969</v>
      </c>
      <c r="D31" s="5" t="s">
        <v>2970</v>
      </c>
      <c r="E31" s="5"/>
      <c r="F31" s="5">
        <f t="shared" si="0"/>
        <v>20</v>
      </c>
    </row>
    <row r="32" spans="1:8" x14ac:dyDescent="0.2">
      <c r="A32" s="5"/>
      <c r="B32" s="5"/>
      <c r="C32" s="5"/>
      <c r="D32" s="5"/>
      <c r="E32" s="5"/>
      <c r="F32" s="5"/>
    </row>
    <row r="33" spans="1:6" x14ac:dyDescent="0.2">
      <c r="A33" s="5"/>
      <c r="B33" s="30"/>
      <c r="C33" s="5"/>
      <c r="D33" s="5"/>
      <c r="E33" s="5"/>
      <c r="F33" s="5"/>
    </row>
    <row r="34" spans="1:6" x14ac:dyDescent="0.2">
      <c r="A34" s="5"/>
      <c r="B34" s="30"/>
      <c r="C34" s="5"/>
      <c r="D34" s="5"/>
      <c r="E34" s="5"/>
      <c r="F34" s="5"/>
    </row>
    <row r="35" spans="1:6" x14ac:dyDescent="0.2">
      <c r="A35" s="5"/>
      <c r="B35" s="30"/>
      <c r="C35" s="5"/>
      <c r="D35" s="5"/>
      <c r="E35" s="5"/>
      <c r="F35" s="5"/>
    </row>
    <row r="36" spans="1:6" x14ac:dyDescent="0.2">
      <c r="A36" s="5"/>
      <c r="B36" s="5"/>
      <c r="C36" s="5"/>
      <c r="D36" s="5"/>
      <c r="E36" s="5"/>
      <c r="F36" s="5"/>
    </row>
    <row r="37" spans="1:6" x14ac:dyDescent="0.2">
      <c r="A37" s="5"/>
      <c r="B37" s="5"/>
      <c r="C37" s="5"/>
      <c r="D37" s="5"/>
      <c r="E37" s="5"/>
      <c r="F37" s="5"/>
    </row>
    <row r="38" spans="1:6" x14ac:dyDescent="0.2">
      <c r="A38" s="5"/>
      <c r="B38" s="5"/>
      <c r="C38" s="5"/>
      <c r="D38" s="5"/>
      <c r="E38" s="5"/>
      <c r="F38" s="5"/>
    </row>
    <row r="39" spans="1:6" x14ac:dyDescent="0.2">
      <c r="A39" s="5"/>
      <c r="B39" s="5"/>
      <c r="C39" s="5"/>
      <c r="D39" s="5"/>
      <c r="E39" s="5"/>
      <c r="F39" s="5"/>
    </row>
    <row r="40" spans="1:6" x14ac:dyDescent="0.2">
      <c r="A40" s="5"/>
      <c r="B40" s="5"/>
      <c r="C40" s="5"/>
      <c r="D40" s="5"/>
      <c r="E40" s="5"/>
      <c r="F40" s="5"/>
    </row>
    <row r="41" spans="1:6" x14ac:dyDescent="0.2">
      <c r="A41" s="5"/>
      <c r="B41" s="5"/>
      <c r="C41" s="5"/>
      <c r="D41" s="5"/>
      <c r="E41" s="5"/>
      <c r="F41" s="5"/>
    </row>
    <row r="42" spans="1:6" x14ac:dyDescent="0.2">
      <c r="A42" s="5"/>
      <c r="B42" s="5"/>
      <c r="C42" s="5"/>
      <c r="D42" s="5"/>
      <c r="E42" s="5"/>
      <c r="F42" s="5"/>
    </row>
    <row r="43" spans="1:6" x14ac:dyDescent="0.2">
      <c r="A43" s="5"/>
      <c r="B43" s="5"/>
      <c r="C43" s="5"/>
      <c r="D43" s="5"/>
      <c r="E43" s="5"/>
      <c r="F43" s="5"/>
    </row>
    <row r="44" spans="1:6" x14ac:dyDescent="0.2">
      <c r="A44" s="5"/>
      <c r="B44" s="5"/>
      <c r="C44" s="5"/>
      <c r="D44" s="5"/>
      <c r="E44" s="5"/>
      <c r="F44" s="5"/>
    </row>
    <row r="45" spans="1:6" x14ac:dyDescent="0.2">
      <c r="A45" s="5"/>
      <c r="B45" s="5"/>
      <c r="C45" s="5"/>
      <c r="D45" s="5"/>
      <c r="E45" s="5"/>
      <c r="F45" s="5"/>
    </row>
    <row r="46" spans="1:6" x14ac:dyDescent="0.2">
      <c r="A46" s="5"/>
      <c r="B46" s="5"/>
      <c r="C46" s="5"/>
      <c r="D46" s="5"/>
      <c r="E46" s="5"/>
      <c r="F46" s="5"/>
    </row>
    <row r="47" spans="1:6" x14ac:dyDescent="0.2">
      <c r="A47" s="5"/>
      <c r="B47" s="5"/>
      <c r="C47" s="5"/>
      <c r="D47" s="5"/>
      <c r="E47" s="5"/>
      <c r="F47" s="5"/>
    </row>
  </sheetData>
  <conditionalFormatting sqref="A1">
    <cfRule type="cellIs" dxfId="26" priority="1" operator="equal">
      <formula>0</formula>
    </cfRule>
    <cfRule type="cellIs" dxfId="25" priority="2" operator="equal">
      <formul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39"/>
  <sheetViews>
    <sheetView showGridLines="0" workbookViewId="0">
      <selection activeCell="A42" sqref="A42"/>
    </sheetView>
  </sheetViews>
  <sheetFormatPr defaultRowHeight="12.75" x14ac:dyDescent="0.2"/>
  <cols>
    <col min="1" max="1" width="22.7109375" customWidth="1"/>
    <col min="2" max="2" width="21.5703125" customWidth="1"/>
    <col min="3" max="3" width="15.7109375" customWidth="1"/>
    <col min="4" max="4" width="15.42578125" customWidth="1"/>
    <col min="5" max="5" width="20.140625" customWidth="1"/>
    <col min="6" max="6" width="12.85546875" customWidth="1"/>
    <col min="7" max="7" width="13.28515625" customWidth="1"/>
    <col min="8" max="8" width="30.7109375" customWidth="1"/>
    <col min="9" max="9" width="38.5703125" customWidth="1"/>
    <col min="10" max="10" width="82.28515625" customWidth="1"/>
  </cols>
  <sheetData>
    <row r="1" spans="1:16" ht="13.5" thickBot="1" x14ac:dyDescent="0.25">
      <c r="A1" s="43">
        <v>1</v>
      </c>
      <c r="B1" s="2" t="s">
        <v>3861</v>
      </c>
    </row>
    <row r="2" spans="1:16" x14ac:dyDescent="0.2">
      <c r="K2" s="2" t="s">
        <v>2916</v>
      </c>
    </row>
    <row r="3" spans="1:16" x14ac:dyDescent="0.2">
      <c r="A3" s="16" t="s">
        <v>2811</v>
      </c>
      <c r="K3" t="s">
        <v>3262</v>
      </c>
    </row>
    <row r="4" spans="1:16" x14ac:dyDescent="0.2">
      <c r="A4" s="16" t="s">
        <v>3860</v>
      </c>
      <c r="K4" t="s">
        <v>3017</v>
      </c>
    </row>
    <row r="5" spans="1:16" x14ac:dyDescent="0.2">
      <c r="A5" t="s">
        <v>3001</v>
      </c>
      <c r="K5" t="s">
        <v>3018</v>
      </c>
    </row>
    <row r="6" spans="1:16" x14ac:dyDescent="0.2">
      <c r="A6" t="s">
        <v>3016</v>
      </c>
      <c r="I6" s="2" t="s">
        <v>2995</v>
      </c>
      <c r="J6" s="2" t="s">
        <v>2994</v>
      </c>
      <c r="K6" t="s">
        <v>3019</v>
      </c>
    </row>
    <row r="7" spans="1:16" x14ac:dyDescent="0.2">
      <c r="B7" s="73"/>
      <c r="C7" s="73"/>
      <c r="D7" s="73"/>
      <c r="E7" s="73"/>
      <c r="F7" s="73"/>
      <c r="G7" s="73"/>
      <c r="I7" t="s">
        <v>2996</v>
      </c>
      <c r="J7" t="s">
        <v>2997</v>
      </c>
      <c r="K7" t="s">
        <v>3020</v>
      </c>
    </row>
    <row r="8" spans="1:16" x14ac:dyDescent="0.2">
      <c r="B8" s="73" t="s">
        <v>3859</v>
      </c>
      <c r="C8" s="73"/>
      <c r="D8" s="73"/>
      <c r="E8" s="73"/>
      <c r="F8" s="73"/>
      <c r="G8" s="73"/>
      <c r="K8" t="s">
        <v>2917</v>
      </c>
      <c r="M8" s="23"/>
      <c r="N8" s="23"/>
      <c r="O8" s="23"/>
      <c r="P8" s="23"/>
    </row>
    <row r="9" spans="1:16" x14ac:dyDescent="0.2">
      <c r="B9" s="74" t="s">
        <v>2999</v>
      </c>
      <c r="C9" s="74"/>
      <c r="D9" s="74"/>
      <c r="E9" s="74"/>
      <c r="F9" s="74"/>
      <c r="G9" s="74"/>
      <c r="I9" s="2"/>
      <c r="J9" s="2"/>
      <c r="K9" t="s">
        <v>3021</v>
      </c>
      <c r="M9" s="45"/>
      <c r="N9" s="23"/>
      <c r="O9" s="23"/>
      <c r="P9" s="23"/>
    </row>
    <row r="10" spans="1:16" x14ac:dyDescent="0.2">
      <c r="A10" s="32" t="s">
        <v>2836</v>
      </c>
      <c r="B10" s="32">
        <v>1</v>
      </c>
      <c r="C10" s="32">
        <v>2</v>
      </c>
      <c r="D10" s="32">
        <v>3</v>
      </c>
      <c r="E10" s="32">
        <v>4</v>
      </c>
      <c r="F10" s="32">
        <v>5</v>
      </c>
      <c r="G10" s="32">
        <v>6</v>
      </c>
      <c r="H10" s="32" t="s">
        <v>2808</v>
      </c>
      <c r="I10" s="32" t="s">
        <v>2992</v>
      </c>
      <c r="J10" s="32" t="s">
        <v>2810</v>
      </c>
      <c r="K10" s="22" t="s">
        <v>3085</v>
      </c>
      <c r="M10" s="45"/>
      <c r="N10" s="45"/>
      <c r="O10" s="45"/>
      <c r="P10" s="23"/>
    </row>
    <row r="11" spans="1:16" x14ac:dyDescent="0.2">
      <c r="K11" t="s">
        <v>3233</v>
      </c>
      <c r="M11" s="23"/>
      <c r="N11" s="23"/>
      <c r="O11" s="23"/>
      <c r="P11" s="23"/>
    </row>
    <row r="12" spans="1:16" x14ac:dyDescent="0.2">
      <c r="A12" s="18" t="s">
        <v>2807</v>
      </c>
      <c r="B12" s="39" t="s">
        <v>2891</v>
      </c>
      <c r="C12" s="40"/>
      <c r="D12" s="41"/>
      <c r="E12" s="36" t="s">
        <v>3008</v>
      </c>
      <c r="F12" s="37"/>
      <c r="G12" s="38"/>
      <c r="H12" s="5" t="s">
        <v>3011</v>
      </c>
      <c r="I12" s="5" t="s">
        <v>2891</v>
      </c>
      <c r="J12" s="5" t="str">
        <f>I12 &amp; " must be saved in "&amp;H12&amp;" but was found in "</f>
        <v xml:space="preserve">Project Directors Brief must be saved in \qa but was found in </v>
      </c>
      <c r="K12" t="s">
        <v>3234</v>
      </c>
      <c r="M12" s="46"/>
      <c r="N12" s="46"/>
      <c r="O12" s="46"/>
      <c r="P12" s="23"/>
    </row>
    <row r="13" spans="1:16" x14ac:dyDescent="0.2">
      <c r="A13" s="18" t="s">
        <v>2807</v>
      </c>
      <c r="B13" s="39" t="s">
        <v>2890</v>
      </c>
      <c r="C13" s="40"/>
      <c r="D13" s="41"/>
      <c r="E13" s="36"/>
      <c r="F13" s="37"/>
      <c r="G13" s="38"/>
      <c r="H13" s="5" t="s">
        <v>3011</v>
      </c>
      <c r="I13" s="5" t="s">
        <v>2990</v>
      </c>
      <c r="J13" s="5" t="str">
        <f t="shared" ref="J13:J21" si="0">I13 &amp; " must be saved in "&amp;H13&amp;" but was found in "</f>
        <v xml:space="preserve">Project Contacts must be saved in \qa but was found in </v>
      </c>
      <c r="K13" t="s">
        <v>3248</v>
      </c>
      <c r="M13" s="46"/>
      <c r="N13" s="46"/>
      <c r="O13" s="46"/>
      <c r="P13" s="23"/>
    </row>
    <row r="14" spans="1:16" x14ac:dyDescent="0.2">
      <c r="A14" s="18" t="s">
        <v>2716</v>
      </c>
      <c r="B14" s="39" t="s">
        <v>11</v>
      </c>
      <c r="C14" s="40" t="s">
        <v>3005</v>
      </c>
      <c r="D14" s="41" t="s">
        <v>2998</v>
      </c>
      <c r="E14" s="36" t="s">
        <v>11</v>
      </c>
      <c r="F14" s="37" t="s">
        <v>3005</v>
      </c>
      <c r="G14" s="38">
        <v>1</v>
      </c>
      <c r="H14" s="5" t="s">
        <v>2989</v>
      </c>
      <c r="I14" s="5" t="s">
        <v>3009</v>
      </c>
      <c r="J14" s="5" t="str">
        <f t="shared" si="0"/>
        <v xml:space="preserve">Mechanical Spec Vol 1 must be saved in \Specs\Mechanical but was found in </v>
      </c>
      <c r="K14" s="23" t="s">
        <v>3249</v>
      </c>
      <c r="M14" s="46"/>
      <c r="N14" s="46"/>
      <c r="O14" s="46"/>
      <c r="P14" s="23"/>
    </row>
    <row r="15" spans="1:16" x14ac:dyDescent="0.2">
      <c r="A15" s="18" t="s">
        <v>2716</v>
      </c>
      <c r="B15" s="39" t="s">
        <v>11</v>
      </c>
      <c r="C15" s="40" t="s">
        <v>3005</v>
      </c>
      <c r="D15" s="41" t="s">
        <v>3012</v>
      </c>
      <c r="E15" s="36" t="s">
        <v>11</v>
      </c>
      <c r="F15" s="37" t="s">
        <v>3005</v>
      </c>
      <c r="G15" s="38" t="s">
        <v>2171</v>
      </c>
      <c r="H15" s="5" t="s">
        <v>2989</v>
      </c>
      <c r="I15" s="5" t="s">
        <v>3013</v>
      </c>
      <c r="J15" s="5" t="str">
        <f t="shared" si="0"/>
        <v xml:space="preserve">Mechanical Spec Vol 3 must be saved in \Specs\Mechanical but was found in </v>
      </c>
      <c r="M15" s="46"/>
      <c r="N15" s="46"/>
      <c r="O15" s="46"/>
      <c r="P15" s="23"/>
    </row>
    <row r="16" spans="1:16" x14ac:dyDescent="0.2">
      <c r="A16" s="18" t="s">
        <v>2716</v>
      </c>
      <c r="B16" s="39" t="s">
        <v>3002</v>
      </c>
      <c r="C16" s="40" t="s">
        <v>3003</v>
      </c>
      <c r="D16" s="41" t="s">
        <v>3000</v>
      </c>
      <c r="E16" s="36"/>
      <c r="F16" s="37"/>
      <c r="G16" s="38"/>
      <c r="H16" s="5" t="s">
        <v>2989</v>
      </c>
      <c r="I16" s="5" t="s">
        <v>2950</v>
      </c>
      <c r="J16" s="5" t="str">
        <f t="shared" si="0"/>
        <v xml:space="preserve">Controls Points List must be saved in \Specs\Mechanical but was found in </v>
      </c>
      <c r="M16" s="46"/>
      <c r="N16" s="46"/>
      <c r="O16" s="46"/>
      <c r="P16" s="23"/>
    </row>
    <row r="17" spans="1:16" x14ac:dyDescent="0.2">
      <c r="A17" s="18" t="s">
        <v>2716</v>
      </c>
      <c r="B17" s="39" t="s">
        <v>9</v>
      </c>
      <c r="C17" s="40" t="s">
        <v>3005</v>
      </c>
      <c r="D17" s="41" t="s">
        <v>2998</v>
      </c>
      <c r="E17" s="36" t="s">
        <v>9</v>
      </c>
      <c r="F17" s="37" t="s">
        <v>3005</v>
      </c>
      <c r="G17" s="38">
        <v>1</v>
      </c>
      <c r="H17" s="5" t="s">
        <v>2991</v>
      </c>
      <c r="I17" s="5" t="s">
        <v>2993</v>
      </c>
      <c r="J17" s="5" t="str">
        <f t="shared" si="0"/>
        <v xml:space="preserve">Electrical Spec Vol 1 must be saved in \Specs\Electrical but was found in </v>
      </c>
      <c r="M17" s="46"/>
      <c r="N17" s="46"/>
      <c r="O17" s="46"/>
      <c r="P17" s="23"/>
    </row>
    <row r="18" spans="1:16" x14ac:dyDescent="0.2">
      <c r="A18" s="18" t="s">
        <v>2716</v>
      </c>
      <c r="B18" s="39" t="s">
        <v>3015</v>
      </c>
      <c r="C18" s="40" t="s">
        <v>2922</v>
      </c>
      <c r="D18" s="41"/>
      <c r="E18" s="36"/>
      <c r="F18" s="37"/>
      <c r="G18" s="38"/>
      <c r="H18" s="5" t="s">
        <v>2991</v>
      </c>
      <c r="I18" s="5" t="s">
        <v>3014</v>
      </c>
      <c r="J18" s="5" t="str">
        <f t="shared" si="0"/>
        <v xml:space="preserve">Luminaire Schedule must be saved in \Specs\Electrical but was found in </v>
      </c>
      <c r="M18" s="46"/>
      <c r="N18" s="46"/>
      <c r="O18" s="46"/>
      <c r="P18" s="23"/>
    </row>
    <row r="19" spans="1:16" x14ac:dyDescent="0.2">
      <c r="A19" s="18" t="s">
        <v>1737</v>
      </c>
      <c r="B19" s="39" t="s">
        <v>3007</v>
      </c>
      <c r="C19" s="40" t="s">
        <v>3004</v>
      </c>
      <c r="D19" s="41"/>
      <c r="E19" s="36"/>
      <c r="F19" s="37"/>
      <c r="G19" s="38"/>
      <c r="H19" s="5" t="s">
        <v>3010</v>
      </c>
      <c r="I19" s="5" t="s">
        <v>3064</v>
      </c>
      <c r="J19" s="5" t="str">
        <f t="shared" si="0"/>
        <v xml:space="preserve">Stage 2a Design Review must be saved in \Minutes\Design Review but was found in </v>
      </c>
      <c r="M19" s="46"/>
      <c r="N19" s="46"/>
      <c r="O19" s="46"/>
      <c r="P19" s="23"/>
    </row>
    <row r="20" spans="1:16" x14ac:dyDescent="0.2">
      <c r="A20" s="18" t="s">
        <v>2716</v>
      </c>
      <c r="B20" s="39" t="s">
        <v>3006</v>
      </c>
      <c r="C20" s="40" t="s">
        <v>9</v>
      </c>
      <c r="D20" s="41" t="s">
        <v>3004</v>
      </c>
      <c r="E20" s="36"/>
      <c r="F20" s="37"/>
      <c r="G20" s="38"/>
      <c r="H20" s="5" t="s">
        <v>3010</v>
      </c>
      <c r="I20" s="5" t="s">
        <v>2949</v>
      </c>
      <c r="J20" s="5" t="str">
        <f t="shared" si="0"/>
        <v xml:space="preserve">Stage 2b Electrical Design Review must be saved in \Minutes\Design Review but was found in </v>
      </c>
      <c r="M20" s="46"/>
      <c r="N20" s="46"/>
      <c r="O20" s="46"/>
      <c r="P20" s="23"/>
    </row>
    <row r="21" spans="1:16" x14ac:dyDescent="0.2">
      <c r="A21" s="18" t="s">
        <v>2716</v>
      </c>
      <c r="B21" s="39" t="s">
        <v>3006</v>
      </c>
      <c r="C21" s="40" t="s">
        <v>11</v>
      </c>
      <c r="D21" s="41" t="s">
        <v>3004</v>
      </c>
      <c r="E21" s="36"/>
      <c r="F21" s="37"/>
      <c r="G21" s="38"/>
      <c r="H21" s="5" t="s">
        <v>3010</v>
      </c>
      <c r="I21" s="5" t="s">
        <v>3065</v>
      </c>
      <c r="J21" s="5" t="str">
        <f t="shared" si="0"/>
        <v xml:space="preserve">Stage 2b Mechanical Design Review must be saved in \Minutes\Design Review but was found in </v>
      </c>
      <c r="M21" s="46"/>
      <c r="N21" s="46"/>
      <c r="O21" s="46"/>
      <c r="P21" s="23"/>
    </row>
    <row r="22" spans="1:16" x14ac:dyDescent="0.2">
      <c r="A22" s="18" t="s">
        <v>2716</v>
      </c>
      <c r="B22" s="39" t="s">
        <v>3006</v>
      </c>
      <c r="C22" s="40" t="s">
        <v>9</v>
      </c>
      <c r="D22" s="41" t="s">
        <v>3062</v>
      </c>
      <c r="E22" s="36"/>
      <c r="F22" s="37"/>
      <c r="G22" s="38"/>
      <c r="H22" s="5" t="s">
        <v>3010</v>
      </c>
      <c r="I22" s="5" t="s">
        <v>3213</v>
      </c>
      <c r="J22" s="5" t="str">
        <f t="shared" ref="J22:J30" si="1">I22 &amp; " must be saved in "&amp;H22&amp;" but was found in "</f>
        <v xml:space="preserve">Stage 2b Electrical Checklist must be saved in \Minutes\Design Review but was found in </v>
      </c>
      <c r="M22" s="46"/>
      <c r="N22" s="46"/>
      <c r="O22" s="46"/>
      <c r="P22" s="23"/>
    </row>
    <row r="23" spans="1:16" x14ac:dyDescent="0.2">
      <c r="A23" s="18" t="s">
        <v>2716</v>
      </c>
      <c r="B23" s="39" t="s">
        <v>3006</v>
      </c>
      <c r="C23" s="40" t="s">
        <v>11</v>
      </c>
      <c r="D23" s="41" t="s">
        <v>3062</v>
      </c>
      <c r="E23" s="36"/>
      <c r="F23" s="37"/>
      <c r="G23" s="38"/>
      <c r="H23" s="5" t="s">
        <v>3010</v>
      </c>
      <c r="I23" s="5" t="s">
        <v>3063</v>
      </c>
      <c r="J23" s="5" t="str">
        <f t="shared" si="1"/>
        <v xml:space="preserve">Stage 2b Mechanical Checklist must be saved in \Minutes\Design Review but was found in </v>
      </c>
      <c r="M23" s="46"/>
      <c r="N23" s="46"/>
      <c r="O23" s="46"/>
      <c r="P23" s="23"/>
    </row>
    <row r="24" spans="1:16" x14ac:dyDescent="0.2">
      <c r="A24" s="18" t="s">
        <v>1737</v>
      </c>
      <c r="B24" s="39" t="s">
        <v>1699</v>
      </c>
      <c r="C24" s="40" t="s">
        <v>3071</v>
      </c>
      <c r="D24" s="41"/>
      <c r="E24" s="36"/>
      <c r="F24" s="37"/>
      <c r="G24" s="38"/>
      <c r="H24" s="5" t="s">
        <v>3069</v>
      </c>
      <c r="I24" s="5" t="s">
        <v>3072</v>
      </c>
      <c r="J24" s="5" t="str">
        <f t="shared" si="1"/>
        <v xml:space="preserve">Stage 2a - Scheme Design (tasklist) must be saved in \qa\tasklists but was found in </v>
      </c>
      <c r="M24" s="46"/>
      <c r="N24" s="46"/>
      <c r="O24" s="46"/>
      <c r="P24" s="23"/>
    </row>
    <row r="25" spans="1:16" x14ac:dyDescent="0.2">
      <c r="A25" s="18" t="s">
        <v>2716</v>
      </c>
      <c r="B25" s="39" t="s">
        <v>1737</v>
      </c>
      <c r="C25" s="40" t="s">
        <v>3066</v>
      </c>
      <c r="D25" s="41"/>
      <c r="E25" s="36"/>
      <c r="F25" s="37"/>
      <c r="G25" s="38"/>
      <c r="H25" s="5" t="s">
        <v>3069</v>
      </c>
      <c r="I25" s="5" t="s">
        <v>3070</v>
      </c>
      <c r="J25" s="5" t="str">
        <f t="shared" si="1"/>
        <v xml:space="preserve">Stage 2b - Detailed Design (tasklist) must be saved in \qa\tasklists but was found in </v>
      </c>
      <c r="M25" s="46"/>
      <c r="N25" s="46"/>
      <c r="O25" s="46"/>
      <c r="P25" s="23"/>
    </row>
    <row r="26" spans="1:16" x14ac:dyDescent="0.2">
      <c r="A26" s="18" t="s">
        <v>2716</v>
      </c>
      <c r="B26" s="39" t="s">
        <v>2716</v>
      </c>
      <c r="C26" s="40" t="s">
        <v>3067</v>
      </c>
      <c r="D26" s="41"/>
      <c r="E26" s="36"/>
      <c r="F26" s="37"/>
      <c r="G26" s="38"/>
      <c r="H26" s="5" t="s">
        <v>3069</v>
      </c>
      <c r="I26" s="5" t="s">
        <v>3241</v>
      </c>
      <c r="J26" s="5" t="str">
        <f t="shared" si="1"/>
        <v xml:space="preserve">Stage 3 - Tender Action (tasklist) must be saved in \qa\tasklists but was found in </v>
      </c>
      <c r="M26" s="46"/>
      <c r="N26" s="46"/>
      <c r="O26" s="46"/>
      <c r="P26" s="23"/>
    </row>
    <row r="27" spans="1:16" x14ac:dyDescent="0.2">
      <c r="A27" s="18" t="s">
        <v>367</v>
      </c>
      <c r="B27" s="39" t="s">
        <v>367</v>
      </c>
      <c r="C27" s="40" t="s">
        <v>3068</v>
      </c>
      <c r="D27" s="41"/>
      <c r="E27" s="36"/>
      <c r="F27" s="37"/>
      <c r="G27" s="38"/>
      <c r="H27" s="5" t="s">
        <v>3069</v>
      </c>
      <c r="I27" s="5" t="s">
        <v>3242</v>
      </c>
      <c r="J27" s="5" t="str">
        <f t="shared" si="1"/>
        <v xml:space="preserve">Stage 4 - Site Management (tasklist) must be saved in \qa\tasklists but was found in </v>
      </c>
      <c r="M27" s="46"/>
      <c r="N27" s="46"/>
      <c r="O27" s="46"/>
      <c r="P27" s="23"/>
    </row>
    <row r="28" spans="1:16" x14ac:dyDescent="0.2">
      <c r="A28" s="18" t="s">
        <v>367</v>
      </c>
      <c r="B28" s="39" t="s">
        <v>3078</v>
      </c>
      <c r="C28" s="40"/>
      <c r="D28" s="41"/>
      <c r="E28" s="36"/>
      <c r="F28" s="37"/>
      <c r="G28" s="38"/>
      <c r="H28" s="5" t="s">
        <v>3073</v>
      </c>
      <c r="I28" s="5" t="s">
        <v>2948</v>
      </c>
      <c r="J28" s="5" t="str">
        <f t="shared" si="1"/>
        <v xml:space="preserve">Record of H&amp;S Briefing must be saved in \Health &amp; Safety but was found in </v>
      </c>
      <c r="M28" s="46"/>
      <c r="N28" s="46"/>
      <c r="O28" s="46"/>
      <c r="P28" s="23"/>
    </row>
    <row r="29" spans="1:16" x14ac:dyDescent="0.2">
      <c r="A29" s="18" t="s">
        <v>1737</v>
      </c>
      <c r="B29" s="39" t="s">
        <v>3007</v>
      </c>
      <c r="C29" s="40" t="s">
        <v>3074</v>
      </c>
      <c r="D29" s="41" t="s">
        <v>3075</v>
      </c>
      <c r="E29" s="36"/>
      <c r="F29" s="37"/>
      <c r="G29" s="38"/>
      <c r="H29" s="5" t="s">
        <v>3073</v>
      </c>
      <c r="I29" s="5" t="s">
        <v>3076</v>
      </c>
      <c r="J29" s="5" t="str">
        <f t="shared" si="1"/>
        <v xml:space="preserve">Stage 2a - Risk Assessment must be saved in \Health &amp; Safety but was found in </v>
      </c>
      <c r="M29" s="46"/>
      <c r="N29" s="46"/>
      <c r="O29" s="46"/>
      <c r="P29" s="23"/>
    </row>
    <row r="30" spans="1:16" x14ac:dyDescent="0.2">
      <c r="A30" s="18" t="s">
        <v>2716</v>
      </c>
      <c r="B30" s="39" t="s">
        <v>3006</v>
      </c>
      <c r="C30" s="40" t="s">
        <v>3074</v>
      </c>
      <c r="D30" s="41" t="s">
        <v>3075</v>
      </c>
      <c r="E30" s="36"/>
      <c r="F30" s="37"/>
      <c r="G30" s="38"/>
      <c r="H30" s="5" t="s">
        <v>3073</v>
      </c>
      <c r="I30" s="5" t="s">
        <v>3077</v>
      </c>
      <c r="J30" s="5" t="str">
        <f t="shared" si="1"/>
        <v xml:space="preserve">Stage 2b - Risk Assessment must be saved in \Health &amp; Safety but was found in </v>
      </c>
      <c r="M30" s="46"/>
      <c r="N30" s="46"/>
      <c r="O30" s="46"/>
      <c r="P30" s="23"/>
    </row>
    <row r="31" spans="1:16" x14ac:dyDescent="0.2">
      <c r="A31" s="18"/>
      <c r="B31" s="39"/>
      <c r="C31" s="40"/>
      <c r="D31" s="41"/>
      <c r="E31" s="36"/>
      <c r="F31" s="37"/>
      <c r="G31" s="38"/>
      <c r="H31" s="5"/>
      <c r="I31" s="5"/>
      <c r="J31" s="5"/>
      <c r="M31" s="46"/>
      <c r="N31" s="46"/>
      <c r="O31" s="46"/>
      <c r="P31" s="23"/>
    </row>
    <row r="32" spans="1:16" x14ac:dyDescent="0.2">
      <c r="A32" s="18"/>
      <c r="B32" s="39"/>
      <c r="C32" s="40"/>
      <c r="D32" s="41"/>
      <c r="E32" s="36"/>
      <c r="F32" s="37"/>
      <c r="G32" s="38"/>
      <c r="H32" s="5"/>
      <c r="I32" s="5"/>
      <c r="J32" s="5"/>
      <c r="M32" s="46"/>
      <c r="N32" s="46"/>
      <c r="O32" s="46"/>
      <c r="P32" s="23"/>
    </row>
    <row r="33" spans="1:16" x14ac:dyDescent="0.2">
      <c r="A33" s="18"/>
      <c r="B33" s="39"/>
      <c r="C33" s="40"/>
      <c r="D33" s="41"/>
      <c r="E33" s="36"/>
      <c r="F33" s="37"/>
      <c r="G33" s="38"/>
      <c r="H33" s="5"/>
      <c r="I33" s="5"/>
      <c r="J33" s="5"/>
      <c r="M33" s="46"/>
      <c r="N33" s="46"/>
      <c r="O33" s="46"/>
      <c r="P33" s="23"/>
    </row>
    <row r="34" spans="1:16" x14ac:dyDescent="0.2">
      <c r="A34" s="18"/>
      <c r="B34" s="39"/>
      <c r="C34" s="40"/>
      <c r="D34" s="41"/>
      <c r="E34" s="36"/>
      <c r="F34" s="37"/>
      <c r="G34" s="38"/>
      <c r="H34" s="5"/>
      <c r="I34" s="5"/>
      <c r="J34" s="5"/>
      <c r="M34" s="46"/>
      <c r="N34" s="46"/>
      <c r="O34" s="46"/>
      <c r="P34" s="23"/>
    </row>
    <row r="35" spans="1:16" x14ac:dyDescent="0.2">
      <c r="A35" s="18"/>
      <c r="B35" s="39"/>
      <c r="C35" s="40"/>
      <c r="D35" s="41"/>
      <c r="E35" s="36"/>
      <c r="F35" s="37"/>
      <c r="G35" s="38"/>
      <c r="H35" s="5"/>
      <c r="I35" s="5"/>
      <c r="J35" s="5"/>
      <c r="M35" s="46"/>
      <c r="N35" s="46"/>
      <c r="O35" s="46"/>
      <c r="P35" s="23"/>
    </row>
    <row r="36" spans="1:16" x14ac:dyDescent="0.2">
      <c r="M36" s="23"/>
      <c r="N36" s="23"/>
      <c r="O36" s="23"/>
      <c r="P36" s="23"/>
    </row>
    <row r="37" spans="1:16" x14ac:dyDescent="0.2">
      <c r="M37" s="23"/>
      <c r="N37" s="23"/>
      <c r="O37" s="23"/>
      <c r="P37" s="23"/>
    </row>
    <row r="38" spans="1:16" x14ac:dyDescent="0.2">
      <c r="M38" s="23"/>
      <c r="N38" s="23"/>
      <c r="O38" s="23"/>
      <c r="P38" s="23"/>
    </row>
    <row r="39" spans="1:16" x14ac:dyDescent="0.2">
      <c r="M39" s="23"/>
      <c r="N39" s="23"/>
      <c r="O39" s="23"/>
      <c r="P39" s="23"/>
    </row>
  </sheetData>
  <mergeCells count="3">
    <mergeCell ref="B7:G7"/>
    <mergeCell ref="B8:G8"/>
    <mergeCell ref="B9:G9"/>
  </mergeCells>
  <conditionalFormatting sqref="A1">
    <cfRule type="cellIs" dxfId="24" priority="7" operator="equal">
      <formula>0</formula>
    </cfRule>
    <cfRule type="cellIs" dxfId="23" priority="8" operator="equal">
      <formula>1</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0"/>
  <sheetViews>
    <sheetView showGridLines="0" workbookViewId="0">
      <selection activeCell="G44" sqref="G44"/>
    </sheetView>
  </sheetViews>
  <sheetFormatPr defaultRowHeight="12.75" x14ac:dyDescent="0.2"/>
  <cols>
    <col min="1" max="1" width="15.5703125" customWidth="1"/>
    <col min="2" max="2" width="24.5703125" customWidth="1"/>
    <col min="3" max="3" width="21.28515625" customWidth="1"/>
    <col min="4" max="4" width="31.5703125" customWidth="1"/>
    <col min="5" max="5" width="30.42578125" customWidth="1"/>
    <col min="6" max="6" width="59.140625" customWidth="1"/>
    <col min="7" max="7" width="59.28515625" customWidth="1"/>
    <col min="8" max="8" width="49.85546875" customWidth="1"/>
  </cols>
  <sheetData>
    <row r="1" spans="1:8" ht="13.5" thickBot="1" x14ac:dyDescent="0.25">
      <c r="A1" s="43">
        <v>1</v>
      </c>
      <c r="B1" s="2" t="s">
        <v>3861</v>
      </c>
    </row>
    <row r="3" spans="1:8" x14ac:dyDescent="0.2">
      <c r="A3" s="16" t="s">
        <v>2893</v>
      </c>
    </row>
    <row r="4" spans="1:8" x14ac:dyDescent="0.2">
      <c r="A4" s="2" t="s">
        <v>2894</v>
      </c>
    </row>
    <row r="5" spans="1:8" x14ac:dyDescent="0.2">
      <c r="A5" s="3"/>
    </row>
    <row r="6" spans="1:8" x14ac:dyDescent="0.2">
      <c r="A6" s="2" t="s">
        <v>2911</v>
      </c>
    </row>
    <row r="8" spans="1:8" x14ac:dyDescent="0.2">
      <c r="B8" t="s">
        <v>2910</v>
      </c>
    </row>
    <row r="10" spans="1:8" x14ac:dyDescent="0.2">
      <c r="A10" s="32" t="s">
        <v>2806</v>
      </c>
      <c r="B10" s="32" t="s">
        <v>2909</v>
      </c>
      <c r="C10" s="32" t="s">
        <v>2808</v>
      </c>
      <c r="D10" s="32" t="s">
        <v>2897</v>
      </c>
      <c r="E10" s="32" t="s">
        <v>2808</v>
      </c>
      <c r="F10" s="32" t="s">
        <v>2809</v>
      </c>
      <c r="G10" s="32" t="s">
        <v>2899</v>
      </c>
      <c r="H10" s="2"/>
    </row>
    <row r="12" spans="1:8" x14ac:dyDescent="0.2">
      <c r="A12" s="5" t="s">
        <v>2807</v>
      </c>
      <c r="B12" s="5" t="s">
        <v>2892</v>
      </c>
      <c r="C12" s="5" t="s">
        <v>2895</v>
      </c>
      <c r="D12" s="5" t="s">
        <v>2896</v>
      </c>
      <c r="E12" s="5" t="s">
        <v>2898</v>
      </c>
      <c r="F12" s="5" t="s">
        <v>2901</v>
      </c>
      <c r="G12" s="5" t="s">
        <v>2902</v>
      </c>
    </row>
    <row r="13" spans="1:8" x14ac:dyDescent="0.2">
      <c r="A13" s="5"/>
      <c r="B13" s="5"/>
      <c r="C13" s="5"/>
      <c r="D13" s="5"/>
      <c r="E13" s="5"/>
      <c r="F13" s="5"/>
      <c r="G13" s="5"/>
    </row>
    <row r="14" spans="1:8" x14ac:dyDescent="0.2">
      <c r="A14" s="5"/>
      <c r="B14" s="5"/>
      <c r="C14" s="5"/>
      <c r="D14" s="5"/>
      <c r="E14" s="5"/>
      <c r="F14" s="5"/>
      <c r="G14" s="5"/>
    </row>
    <row r="15" spans="1:8" x14ac:dyDescent="0.2">
      <c r="A15" s="5"/>
      <c r="B15" s="5"/>
      <c r="C15" s="5"/>
      <c r="D15" s="5"/>
      <c r="E15" s="5"/>
      <c r="F15" s="5"/>
      <c r="G15" s="5"/>
    </row>
    <row r="16" spans="1:8" x14ac:dyDescent="0.2">
      <c r="A16" s="5"/>
      <c r="B16" s="5"/>
      <c r="C16" s="5"/>
      <c r="D16" s="5"/>
      <c r="E16" s="5"/>
      <c r="F16" s="5"/>
      <c r="G16" s="5"/>
    </row>
    <row r="17" spans="1:7" x14ac:dyDescent="0.2">
      <c r="A17" s="5"/>
      <c r="B17" s="5"/>
      <c r="C17" s="5"/>
      <c r="D17" s="5"/>
      <c r="E17" s="5"/>
      <c r="F17" s="5"/>
      <c r="G17" s="5"/>
    </row>
    <row r="18" spans="1:7" x14ac:dyDescent="0.2">
      <c r="A18" s="5"/>
      <c r="B18" s="5"/>
      <c r="C18" s="5"/>
      <c r="D18" s="5"/>
      <c r="E18" s="5"/>
      <c r="F18" s="5"/>
      <c r="G18" s="5"/>
    </row>
    <row r="19" spans="1:7" x14ac:dyDescent="0.2">
      <c r="A19" s="5"/>
      <c r="B19" s="5"/>
      <c r="C19" s="5"/>
      <c r="D19" s="5"/>
      <c r="E19" s="5"/>
      <c r="F19" s="5"/>
      <c r="G19" s="5"/>
    </row>
    <row r="20" spans="1:7" x14ac:dyDescent="0.2">
      <c r="A20" s="5"/>
      <c r="B20" s="5"/>
      <c r="C20" s="5"/>
      <c r="D20" s="5"/>
      <c r="E20" s="5"/>
      <c r="F20" s="5"/>
      <c r="G20" s="5"/>
    </row>
    <row r="21" spans="1:7" x14ac:dyDescent="0.2">
      <c r="A21" s="5"/>
      <c r="B21" s="5"/>
      <c r="C21" s="5"/>
      <c r="D21" s="5"/>
      <c r="E21" s="5"/>
      <c r="F21" s="5"/>
      <c r="G21" s="5"/>
    </row>
    <row r="22" spans="1:7" x14ac:dyDescent="0.2">
      <c r="A22" s="5"/>
      <c r="B22" s="5"/>
      <c r="C22" s="5"/>
      <c r="D22" s="5"/>
      <c r="E22" s="5"/>
      <c r="F22" s="5"/>
      <c r="G22" s="5"/>
    </row>
    <row r="23" spans="1:7" x14ac:dyDescent="0.2">
      <c r="A23" s="5"/>
      <c r="B23" s="5"/>
      <c r="C23" s="5"/>
      <c r="D23" s="5"/>
      <c r="E23" s="5"/>
      <c r="F23" s="5"/>
      <c r="G23" s="5"/>
    </row>
    <row r="24" spans="1:7" x14ac:dyDescent="0.2">
      <c r="A24" s="5"/>
      <c r="B24" s="5"/>
      <c r="C24" s="5"/>
      <c r="D24" s="5"/>
      <c r="E24" s="5"/>
      <c r="F24" s="5"/>
      <c r="G24" s="5"/>
    </row>
    <row r="25" spans="1:7" x14ac:dyDescent="0.2">
      <c r="A25" s="5"/>
      <c r="B25" s="5"/>
      <c r="C25" s="5"/>
      <c r="D25" s="5"/>
      <c r="E25" s="5"/>
      <c r="F25" s="5"/>
      <c r="G25" s="5"/>
    </row>
    <row r="26" spans="1:7" x14ac:dyDescent="0.2">
      <c r="A26" s="5"/>
      <c r="B26" s="5"/>
      <c r="C26" s="5"/>
      <c r="D26" s="5"/>
      <c r="E26" s="5"/>
      <c r="F26" s="5"/>
      <c r="G26" s="5"/>
    </row>
    <row r="27" spans="1:7" x14ac:dyDescent="0.2">
      <c r="A27" s="5"/>
      <c r="B27" s="5"/>
      <c r="C27" s="5"/>
      <c r="D27" s="5"/>
      <c r="E27" s="5"/>
      <c r="F27" s="5"/>
      <c r="G27" s="5"/>
    </row>
    <row r="28" spans="1:7" x14ac:dyDescent="0.2">
      <c r="A28" s="5"/>
      <c r="B28" s="5"/>
      <c r="C28" s="5"/>
      <c r="D28" s="5"/>
      <c r="E28" s="5"/>
      <c r="F28" s="5"/>
      <c r="G28" s="5"/>
    </row>
    <row r="29" spans="1:7" x14ac:dyDescent="0.2">
      <c r="A29" s="5"/>
      <c r="B29" s="5"/>
      <c r="C29" s="5"/>
      <c r="D29" s="5"/>
      <c r="E29" s="5"/>
      <c r="F29" s="5"/>
      <c r="G29" s="5"/>
    </row>
    <row r="30" spans="1:7" x14ac:dyDescent="0.2">
      <c r="A30" s="5"/>
      <c r="B30" s="5"/>
      <c r="C30" s="5"/>
      <c r="D30" s="5"/>
      <c r="E30" s="5"/>
      <c r="F30" s="5"/>
      <c r="G30" s="5"/>
    </row>
    <row r="31" spans="1:7" x14ac:dyDescent="0.2">
      <c r="A31" s="5"/>
      <c r="B31" s="5"/>
      <c r="C31" s="5"/>
      <c r="D31" s="5"/>
      <c r="E31" s="5"/>
      <c r="F31" s="5"/>
      <c r="G31" s="5"/>
    </row>
    <row r="32" spans="1:7" x14ac:dyDescent="0.2">
      <c r="A32" s="5"/>
      <c r="B32" s="5"/>
      <c r="C32" s="5"/>
      <c r="D32" s="5"/>
      <c r="E32" s="5"/>
      <c r="F32" s="5"/>
      <c r="G32" s="5"/>
    </row>
    <row r="33" spans="1:7" x14ac:dyDescent="0.2">
      <c r="A33" s="5"/>
      <c r="B33" s="5"/>
      <c r="C33" s="5"/>
      <c r="D33" s="5"/>
      <c r="E33" s="5"/>
      <c r="F33" s="5"/>
      <c r="G33" s="5"/>
    </row>
    <row r="34" spans="1:7" x14ac:dyDescent="0.2">
      <c r="A34" s="5"/>
      <c r="B34" s="5"/>
      <c r="C34" s="5"/>
      <c r="D34" s="5"/>
      <c r="E34" s="5"/>
      <c r="F34" s="5"/>
      <c r="G34" s="5"/>
    </row>
    <row r="35" spans="1:7" x14ac:dyDescent="0.2">
      <c r="A35" s="7"/>
      <c r="B35" s="5"/>
      <c r="C35" s="5"/>
      <c r="D35" s="5"/>
      <c r="E35" s="5"/>
      <c r="F35" s="5"/>
      <c r="G35" s="5"/>
    </row>
    <row r="36" spans="1:7" x14ac:dyDescent="0.2">
      <c r="A36" s="5"/>
      <c r="B36" s="5"/>
      <c r="C36" s="5"/>
      <c r="D36" s="5"/>
      <c r="E36" s="5"/>
      <c r="F36" s="5"/>
      <c r="G36" s="5"/>
    </row>
    <row r="37" spans="1:7" x14ac:dyDescent="0.2">
      <c r="A37" s="5"/>
      <c r="B37" s="5"/>
      <c r="C37" s="5"/>
      <c r="D37" s="5"/>
      <c r="E37" s="5"/>
      <c r="F37" s="5"/>
      <c r="G37" s="5"/>
    </row>
    <row r="38" spans="1:7" x14ac:dyDescent="0.2">
      <c r="A38" s="5"/>
      <c r="B38" s="5"/>
      <c r="C38" s="5"/>
      <c r="D38" s="5"/>
      <c r="E38" s="5"/>
      <c r="F38" s="5"/>
      <c r="G38" s="5"/>
    </row>
    <row r="39" spans="1:7" x14ac:dyDescent="0.2">
      <c r="A39" s="5"/>
      <c r="B39" s="5"/>
      <c r="C39" s="5"/>
      <c r="D39" s="5"/>
      <c r="E39" s="5"/>
      <c r="F39" s="5"/>
      <c r="G39" s="5"/>
    </row>
    <row r="40" spans="1:7" x14ac:dyDescent="0.2">
      <c r="A40" s="5"/>
      <c r="B40" s="5"/>
      <c r="C40" s="5"/>
      <c r="D40" s="5"/>
      <c r="E40" s="5"/>
      <c r="F40" s="5"/>
      <c r="G40" s="5"/>
    </row>
  </sheetData>
  <conditionalFormatting sqref="A1">
    <cfRule type="cellIs" dxfId="22" priority="1" operator="equal">
      <formula>0</formula>
    </cfRule>
    <cfRule type="cellIs" dxfId="21" priority="2" operator="equal">
      <formula>1</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1"/>
  <sheetViews>
    <sheetView showGridLines="0" workbookViewId="0">
      <selection activeCell="E28" sqref="E28"/>
    </sheetView>
  </sheetViews>
  <sheetFormatPr defaultRowHeight="12.75" x14ac:dyDescent="0.2"/>
  <cols>
    <col min="1" max="1" width="34.7109375" customWidth="1"/>
    <col min="2" max="2" width="36.28515625" customWidth="1"/>
    <col min="3" max="3" width="19.42578125" bestFit="1" customWidth="1"/>
    <col min="4" max="4" width="43" customWidth="1"/>
    <col min="5" max="5" width="63.5703125" customWidth="1"/>
    <col min="6" max="6" width="33" customWidth="1"/>
  </cols>
  <sheetData>
    <row r="1" spans="1:6" ht="13.5" thickBot="1" x14ac:dyDescent="0.25">
      <c r="A1" s="43">
        <v>1</v>
      </c>
      <c r="B1" s="2" t="s">
        <v>3861</v>
      </c>
    </row>
    <row r="2" spans="1:6" x14ac:dyDescent="0.2">
      <c r="E2" s="33" t="s">
        <v>2916</v>
      </c>
      <c r="F2" s="33" t="s">
        <v>2924</v>
      </c>
    </row>
    <row r="3" spans="1:6" x14ac:dyDescent="0.2">
      <c r="A3" s="16" t="s">
        <v>2822</v>
      </c>
      <c r="E3" s="5" t="s">
        <v>3262</v>
      </c>
      <c r="F3" s="5" t="s">
        <v>2920</v>
      </c>
    </row>
    <row r="4" spans="1:6" x14ac:dyDescent="0.2">
      <c r="E4" s="5" t="s">
        <v>3017</v>
      </c>
      <c r="F4" s="5" t="s">
        <v>2921</v>
      </c>
    </row>
    <row r="5" spans="1:6" x14ac:dyDescent="0.2">
      <c r="B5" t="s">
        <v>2915</v>
      </c>
      <c r="E5" s="5" t="s">
        <v>3018</v>
      </c>
      <c r="F5" s="5" t="s">
        <v>2922</v>
      </c>
    </row>
    <row r="6" spans="1:6" x14ac:dyDescent="0.2">
      <c r="E6" s="5" t="s">
        <v>3019</v>
      </c>
      <c r="F6" s="5" t="s">
        <v>2890</v>
      </c>
    </row>
    <row r="7" spans="1:6" x14ac:dyDescent="0.2">
      <c r="E7" s="5" t="s">
        <v>3020</v>
      </c>
      <c r="F7" s="5" t="s">
        <v>2923</v>
      </c>
    </row>
    <row r="8" spans="1:6" x14ac:dyDescent="0.2">
      <c r="E8" s="5" t="s">
        <v>2917</v>
      </c>
      <c r="F8" s="5" t="s">
        <v>3005</v>
      </c>
    </row>
    <row r="9" spans="1:6" x14ac:dyDescent="0.2">
      <c r="E9" s="5" t="s">
        <v>3021</v>
      </c>
      <c r="F9" s="5"/>
    </row>
    <row r="10" spans="1:6" x14ac:dyDescent="0.2">
      <c r="A10" s="32" t="s">
        <v>2806</v>
      </c>
      <c r="B10" s="32" t="s">
        <v>2907</v>
      </c>
      <c r="C10" s="32" t="s">
        <v>2972</v>
      </c>
      <c r="D10" s="33" t="s">
        <v>2906</v>
      </c>
      <c r="E10" s="34" t="s">
        <v>3085</v>
      </c>
      <c r="F10" s="7"/>
    </row>
    <row r="11" spans="1:6" x14ac:dyDescent="0.2">
      <c r="A11" s="5"/>
      <c r="B11" s="5"/>
      <c r="C11" s="5"/>
      <c r="D11" s="18"/>
      <c r="E11" s="34" t="s">
        <v>3250</v>
      </c>
      <c r="F11" s="5"/>
    </row>
    <row r="12" spans="1:6" x14ac:dyDescent="0.2">
      <c r="A12" s="5" t="s">
        <v>2807</v>
      </c>
      <c r="B12" s="5" t="s">
        <v>2823</v>
      </c>
      <c r="C12" s="30">
        <v>1</v>
      </c>
      <c r="D12" s="18" t="s">
        <v>3057</v>
      </c>
      <c r="E12" s="34" t="s">
        <v>3251</v>
      </c>
      <c r="F12" s="5"/>
    </row>
    <row r="13" spans="1:6" x14ac:dyDescent="0.2">
      <c r="A13" s="5"/>
      <c r="B13" s="5" t="s">
        <v>2824</v>
      </c>
      <c r="C13" s="17" t="s">
        <v>2914</v>
      </c>
      <c r="D13" s="18" t="s">
        <v>3454</v>
      </c>
      <c r="E13" s="5" t="s">
        <v>3233</v>
      </c>
      <c r="F13" s="5"/>
    </row>
    <row r="14" spans="1:6" x14ac:dyDescent="0.2">
      <c r="A14" s="5"/>
      <c r="B14" s="5" t="s">
        <v>2913</v>
      </c>
      <c r="C14" s="17" t="s">
        <v>2914</v>
      </c>
      <c r="D14" s="18" t="s">
        <v>3058</v>
      </c>
      <c r="E14" s="5" t="s">
        <v>3234</v>
      </c>
      <c r="F14" s="5"/>
    </row>
    <row r="15" spans="1:6" x14ac:dyDescent="0.2">
      <c r="A15" s="5"/>
      <c r="B15" s="5"/>
      <c r="C15" s="5"/>
      <c r="D15" s="18"/>
      <c r="E15" s="5" t="s">
        <v>3248</v>
      </c>
      <c r="F15" s="5"/>
    </row>
    <row r="16" spans="1:6" x14ac:dyDescent="0.2">
      <c r="A16" s="5"/>
      <c r="B16" s="5"/>
      <c r="C16" s="5"/>
      <c r="D16" s="18"/>
      <c r="E16" s="35" t="s">
        <v>3249</v>
      </c>
      <c r="F16" s="5"/>
    </row>
    <row r="17" spans="1:6" x14ac:dyDescent="0.2">
      <c r="A17" s="5"/>
      <c r="B17" s="5"/>
      <c r="C17" s="5"/>
      <c r="D17" s="18"/>
      <c r="E17" s="5" t="s">
        <v>3675</v>
      </c>
      <c r="F17" s="5"/>
    </row>
    <row r="18" spans="1:6" x14ac:dyDescent="0.2">
      <c r="A18" s="5"/>
      <c r="B18" s="5"/>
      <c r="C18" s="5"/>
      <c r="D18" s="18"/>
      <c r="E18" s="5" t="s">
        <v>3856</v>
      </c>
      <c r="F18" s="5"/>
    </row>
    <row r="19" spans="1:6" x14ac:dyDescent="0.2">
      <c r="A19" s="5"/>
      <c r="B19" s="5"/>
      <c r="C19" s="5"/>
      <c r="D19" s="18"/>
      <c r="E19" s="5" t="s">
        <v>3896</v>
      </c>
      <c r="F19" s="5"/>
    </row>
    <row r="20" spans="1:6" x14ac:dyDescent="0.2">
      <c r="A20" s="5"/>
      <c r="B20" s="5"/>
      <c r="C20" s="5"/>
      <c r="D20" s="5"/>
      <c r="E20" s="5" t="s">
        <v>3896</v>
      </c>
      <c r="F20" s="5"/>
    </row>
    <row r="21" spans="1:6" x14ac:dyDescent="0.2">
      <c r="A21" s="5"/>
      <c r="B21" s="5"/>
      <c r="C21" s="5"/>
      <c r="D21" s="5"/>
      <c r="E21" s="5" t="s">
        <v>4296</v>
      </c>
      <c r="F21" s="5"/>
    </row>
    <row r="22" spans="1:6" x14ac:dyDescent="0.2">
      <c r="A22" s="5"/>
      <c r="B22" s="5"/>
      <c r="C22" s="5"/>
      <c r="D22" s="5"/>
      <c r="E22" s="5"/>
      <c r="F22" s="5"/>
    </row>
    <row r="23" spans="1:6" x14ac:dyDescent="0.2">
      <c r="A23" s="5"/>
      <c r="B23" s="5"/>
      <c r="C23" s="5"/>
      <c r="D23" s="5"/>
    </row>
    <row r="24" spans="1:6" x14ac:dyDescent="0.2">
      <c r="A24" s="5"/>
      <c r="B24" s="5"/>
      <c r="C24" s="5"/>
      <c r="D24" s="5"/>
    </row>
    <row r="25" spans="1:6" x14ac:dyDescent="0.2">
      <c r="A25" s="5"/>
      <c r="B25" s="5"/>
      <c r="C25" s="5"/>
      <c r="D25" s="5"/>
    </row>
    <row r="26" spans="1:6" x14ac:dyDescent="0.2">
      <c r="A26" s="5"/>
      <c r="B26" s="5"/>
      <c r="C26" s="5"/>
      <c r="D26" s="5"/>
    </row>
    <row r="27" spans="1:6" x14ac:dyDescent="0.2">
      <c r="A27" s="5"/>
      <c r="B27" s="5"/>
      <c r="C27" s="5"/>
      <c r="D27" s="5"/>
    </row>
    <row r="28" spans="1:6" x14ac:dyDescent="0.2">
      <c r="A28" s="5"/>
      <c r="B28" s="5"/>
      <c r="C28" s="5"/>
      <c r="D28" s="5"/>
    </row>
    <row r="29" spans="1:6" x14ac:dyDescent="0.2">
      <c r="A29" s="5"/>
      <c r="B29" s="5"/>
      <c r="C29" s="5"/>
      <c r="D29" s="5"/>
    </row>
    <row r="30" spans="1:6" x14ac:dyDescent="0.2">
      <c r="A30" s="5"/>
      <c r="B30" s="5"/>
      <c r="C30" s="5"/>
      <c r="D30" s="5"/>
    </row>
    <row r="31" spans="1:6" x14ac:dyDescent="0.2">
      <c r="A31" s="5"/>
      <c r="B31" s="5"/>
      <c r="C31" s="5"/>
      <c r="D31" s="5"/>
    </row>
    <row r="32" spans="1:6" x14ac:dyDescent="0.2">
      <c r="A32" s="5"/>
      <c r="B32" s="5"/>
      <c r="C32" s="5"/>
      <c r="D32" s="5"/>
    </row>
    <row r="33" spans="1:4" x14ac:dyDescent="0.2">
      <c r="A33" s="5"/>
      <c r="B33" s="5"/>
      <c r="C33" s="5"/>
      <c r="D33" s="5"/>
    </row>
    <row r="34" spans="1:4" x14ac:dyDescent="0.2">
      <c r="A34" s="5"/>
      <c r="B34" s="5"/>
      <c r="C34" s="5"/>
      <c r="D34" s="5"/>
    </row>
    <row r="35" spans="1:4" x14ac:dyDescent="0.2">
      <c r="A35" s="7"/>
      <c r="B35" s="5"/>
      <c r="C35" s="5"/>
      <c r="D35" s="5"/>
    </row>
    <row r="36" spans="1:4" x14ac:dyDescent="0.2">
      <c r="A36" s="5"/>
      <c r="B36" s="5"/>
      <c r="C36" s="5"/>
      <c r="D36" s="5"/>
    </row>
    <row r="37" spans="1:4" x14ac:dyDescent="0.2">
      <c r="A37" s="5"/>
      <c r="B37" s="5"/>
      <c r="C37" s="5"/>
      <c r="D37" s="5"/>
    </row>
    <row r="38" spans="1:4" x14ac:dyDescent="0.2">
      <c r="A38" s="5"/>
      <c r="B38" s="5"/>
      <c r="C38" s="5"/>
      <c r="D38" s="5"/>
    </row>
    <row r="39" spans="1:4" x14ac:dyDescent="0.2">
      <c r="A39" s="5"/>
      <c r="B39" s="5"/>
      <c r="C39" s="5"/>
      <c r="D39" s="5"/>
    </row>
    <row r="40" spans="1:4" x14ac:dyDescent="0.2">
      <c r="A40" s="5"/>
      <c r="B40" s="5"/>
      <c r="C40" s="5"/>
      <c r="D40" s="5"/>
    </row>
    <row r="41" spans="1:4" x14ac:dyDescent="0.2">
      <c r="A41" s="5"/>
      <c r="B41" s="5"/>
      <c r="C41" s="5"/>
      <c r="D41" s="5"/>
    </row>
  </sheetData>
  <conditionalFormatting sqref="A1">
    <cfRule type="cellIs" dxfId="20" priority="3" operator="equal">
      <formula>0</formula>
    </cfRule>
    <cfRule type="cellIs" dxfId="19" priority="4" operator="equal">
      <formula>1</formula>
    </cfRule>
  </conditionalFormatting>
  <conditionalFormatting sqref="C12">
    <cfRule type="cellIs" dxfId="18" priority="1" operator="equal">
      <formula>0</formula>
    </cfRule>
    <cfRule type="cellIs" dxfId="17" priority="2" operator="equal">
      <formula>1</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6"/>
  <sheetViews>
    <sheetView showGridLines="0" topLeftCell="C1" workbookViewId="0">
      <selection activeCell="F21" sqref="F21"/>
    </sheetView>
  </sheetViews>
  <sheetFormatPr defaultRowHeight="12.75" x14ac:dyDescent="0.2"/>
  <cols>
    <col min="1" max="1" width="15.5703125" customWidth="1"/>
    <col min="2" max="2" width="44.42578125" customWidth="1"/>
    <col min="3" max="3" width="19.42578125" bestFit="1" customWidth="1"/>
    <col min="4" max="4" width="35.28515625" customWidth="1"/>
    <col min="5" max="5" width="70" customWidth="1"/>
    <col min="6" max="6" width="65.42578125" customWidth="1"/>
    <col min="7" max="7" width="40" customWidth="1"/>
  </cols>
  <sheetData>
    <row r="1" spans="1:7" ht="13.5" thickBot="1" x14ac:dyDescent="0.25">
      <c r="A1" s="43">
        <v>1</v>
      </c>
      <c r="B1" s="2" t="s">
        <v>3861</v>
      </c>
      <c r="F1" s="32" t="s">
        <v>2977</v>
      </c>
      <c r="G1" s="32"/>
    </row>
    <row r="2" spans="1:7" x14ac:dyDescent="0.2">
      <c r="F2" s="32" t="s">
        <v>2916</v>
      </c>
      <c r="G2" s="32" t="s">
        <v>2924</v>
      </c>
    </row>
    <row r="3" spans="1:7" x14ac:dyDescent="0.2">
      <c r="A3" s="16" t="s">
        <v>2973</v>
      </c>
      <c r="F3" s="5" t="s">
        <v>3262</v>
      </c>
      <c r="G3" s="5" t="s">
        <v>2920</v>
      </c>
    </row>
    <row r="4" spans="1:7" x14ac:dyDescent="0.2">
      <c r="F4" s="5" t="s">
        <v>3017</v>
      </c>
      <c r="G4" s="5" t="s">
        <v>2921</v>
      </c>
    </row>
    <row r="5" spans="1:7" x14ac:dyDescent="0.2">
      <c r="F5" s="5" t="s">
        <v>3018</v>
      </c>
      <c r="G5" s="5" t="s">
        <v>2922</v>
      </c>
    </row>
    <row r="6" spans="1:7" x14ac:dyDescent="0.2">
      <c r="F6" s="5" t="s">
        <v>3019</v>
      </c>
      <c r="G6" s="5" t="s">
        <v>2890</v>
      </c>
    </row>
    <row r="7" spans="1:7" x14ac:dyDescent="0.2">
      <c r="B7" s="2" t="s">
        <v>2986</v>
      </c>
      <c r="F7" s="5" t="s">
        <v>3020</v>
      </c>
      <c r="G7" s="5" t="s">
        <v>2923</v>
      </c>
    </row>
    <row r="8" spans="1:7" x14ac:dyDescent="0.2">
      <c r="B8" t="s">
        <v>2987</v>
      </c>
      <c r="F8" s="5" t="s">
        <v>2917</v>
      </c>
      <c r="G8" s="5" t="s">
        <v>3005</v>
      </c>
    </row>
    <row r="9" spans="1:7" x14ac:dyDescent="0.2">
      <c r="F9" s="5" t="s">
        <v>3021</v>
      </c>
      <c r="G9" s="5"/>
    </row>
    <row r="10" spans="1:7" x14ac:dyDescent="0.2">
      <c r="A10" s="32" t="s">
        <v>2806</v>
      </c>
      <c r="B10" s="32" t="s">
        <v>2985</v>
      </c>
      <c r="C10" s="32" t="s">
        <v>2972</v>
      </c>
      <c r="D10" s="32" t="s">
        <v>2820</v>
      </c>
      <c r="E10" s="33" t="s">
        <v>2971</v>
      </c>
      <c r="F10" s="34" t="s">
        <v>3085</v>
      </c>
      <c r="G10" s="5"/>
    </row>
    <row r="11" spans="1:7" x14ac:dyDescent="0.2">
      <c r="F11" s="34" t="s">
        <v>3235</v>
      </c>
      <c r="G11" s="5"/>
    </row>
    <row r="12" spans="1:7" x14ac:dyDescent="0.2">
      <c r="A12" s="5" t="s">
        <v>2807</v>
      </c>
      <c r="B12" s="5"/>
      <c r="C12" s="30">
        <v>1</v>
      </c>
      <c r="D12" s="5" t="s">
        <v>2821</v>
      </c>
      <c r="E12" s="18" t="str">
        <f>"The phrase '" &amp;D12&amp;"' was found in the following document:"</f>
        <v>The phrase 'We would recommend' was found in the following document:</v>
      </c>
      <c r="F12" s="5" t="s">
        <v>3245</v>
      </c>
      <c r="G12" s="5"/>
    </row>
    <row r="13" spans="1:7" x14ac:dyDescent="0.2">
      <c r="A13" s="5" t="s">
        <v>2807</v>
      </c>
      <c r="B13" s="5"/>
      <c r="C13" s="30">
        <v>1</v>
      </c>
      <c r="D13" s="5" t="s">
        <v>2983</v>
      </c>
      <c r="E13" s="18" t="str">
        <f t="shared" ref="E13:E18" si="0">"The phrase '" &amp;D13&amp;"' was found in the following document:"</f>
        <v>The phrase 'I would recommend' was found in the following document:</v>
      </c>
      <c r="F13" s="5" t="s">
        <v>3253</v>
      </c>
      <c r="G13" s="5"/>
    </row>
    <row r="14" spans="1:7" x14ac:dyDescent="0.2">
      <c r="A14" s="5" t="s">
        <v>2807</v>
      </c>
      <c r="B14" s="5"/>
      <c r="C14" s="30">
        <v>1</v>
      </c>
      <c r="D14" s="5" t="s">
        <v>2979</v>
      </c>
      <c r="E14" s="18" t="str">
        <f t="shared" si="0"/>
        <v>The phrase 'The builder should' was found in the following document:</v>
      </c>
      <c r="F14" s="5" t="s">
        <v>3233</v>
      </c>
      <c r="G14" s="5"/>
    </row>
    <row r="15" spans="1:7" x14ac:dyDescent="0.2">
      <c r="A15" s="5" t="s">
        <v>2807</v>
      </c>
      <c r="B15" s="5"/>
      <c r="C15" s="30">
        <v>1</v>
      </c>
      <c r="D15" s="5" t="s">
        <v>2978</v>
      </c>
      <c r="E15" s="18" t="str">
        <f t="shared" si="0"/>
        <v>The phrase 'The contractor should' was found in the following document:</v>
      </c>
      <c r="F15" s="5" t="s">
        <v>3234</v>
      </c>
      <c r="G15" s="5"/>
    </row>
    <row r="16" spans="1:7" x14ac:dyDescent="0.2">
      <c r="A16" s="5" t="s">
        <v>2807</v>
      </c>
      <c r="B16" s="5"/>
      <c r="C16" s="30">
        <v>1</v>
      </c>
      <c r="D16" s="5" t="s">
        <v>2980</v>
      </c>
      <c r="E16" s="18" t="str">
        <f t="shared" si="0"/>
        <v>The phrase 'The main contractor should' was found in the following document:</v>
      </c>
      <c r="F16" s="5" t="s">
        <v>3248</v>
      </c>
      <c r="G16" s="5"/>
    </row>
    <row r="17" spans="1:7" x14ac:dyDescent="0.2">
      <c r="A17" s="5" t="s">
        <v>2807</v>
      </c>
      <c r="B17" s="5"/>
      <c r="C17" s="30">
        <v>1</v>
      </c>
      <c r="D17" s="5" t="s">
        <v>2981</v>
      </c>
      <c r="E17" s="5" t="str">
        <f t="shared" si="0"/>
        <v>The phrase 'The mechanical contractor should' was found in the following document:</v>
      </c>
      <c r="F17" s="5" t="s">
        <v>3892</v>
      </c>
      <c r="G17" s="5"/>
    </row>
    <row r="18" spans="1:7" x14ac:dyDescent="0.2">
      <c r="A18" s="5" t="s">
        <v>2807</v>
      </c>
      <c r="B18" s="5"/>
      <c r="C18" s="30">
        <v>1</v>
      </c>
      <c r="D18" s="5" t="s">
        <v>2982</v>
      </c>
      <c r="E18" s="5" t="str">
        <f t="shared" si="0"/>
        <v>The phrase 'The electrical contractor should' was found in the following document:</v>
      </c>
      <c r="F18" s="5" t="s">
        <v>3897</v>
      </c>
    </row>
    <row r="19" spans="1:7" x14ac:dyDescent="0.2">
      <c r="A19" s="5" t="s">
        <v>2807</v>
      </c>
      <c r="B19" s="5" t="s">
        <v>11</v>
      </c>
      <c r="C19" s="30">
        <v>1</v>
      </c>
      <c r="D19" s="5" t="s">
        <v>2988</v>
      </c>
      <c r="E19" s="5" t="str">
        <f>"Reference to '" &amp;D19&amp;"' was found in the following document:"</f>
        <v>Reference to 'EN 99999' was found in the following document:</v>
      </c>
      <c r="F19" s="5" t="s">
        <v>4547</v>
      </c>
    </row>
    <row r="20" spans="1:7" x14ac:dyDescent="0.2">
      <c r="A20" s="5" t="s">
        <v>2807</v>
      </c>
      <c r="B20" s="5"/>
      <c r="C20" s="30">
        <v>1</v>
      </c>
      <c r="D20" s="5" t="s">
        <v>3545</v>
      </c>
      <c r="E20" s="5" t="str">
        <f>"Reference to '" &amp;D20&amp;"' instead of 'PH120 enchanced rated cable' was found in the following document:"</f>
        <v>Reference to 'MICC cable' instead of 'PH120 enchanced rated cable' was found in the following document:</v>
      </c>
      <c r="F20" s="72"/>
    </row>
    <row r="21" spans="1:7" x14ac:dyDescent="0.2">
      <c r="A21" s="5" t="s">
        <v>2807</v>
      </c>
      <c r="B21" s="5"/>
      <c r="C21" s="30">
        <v>1</v>
      </c>
      <c r="D21" s="5" t="s">
        <v>3546</v>
      </c>
      <c r="E21" s="5" t="str">
        <f>"Reference to '" &amp;D21&amp;"' instead of 'LSOH cable' was found in the following document:"</f>
        <v>Reference to 'LSF cable' instead of 'LSOH cable' was found in the following document:</v>
      </c>
    </row>
    <row r="22" spans="1:7" x14ac:dyDescent="0.2">
      <c r="A22" s="5" t="s">
        <v>2807</v>
      </c>
      <c r="B22" s="5"/>
      <c r="C22" s="30">
        <v>1</v>
      </c>
      <c r="D22" s="5" t="s">
        <v>3547</v>
      </c>
      <c r="E22" s="5" t="str">
        <f>"Reference to '" &amp;D22&amp;"' instead of 'BS EN 61439' was found in the following document:"</f>
        <v>Reference to 'BS60439' instead of 'BS EN 61439' was found in the following document:</v>
      </c>
    </row>
    <row r="23" spans="1:7" x14ac:dyDescent="0.2">
      <c r="A23" s="5" t="s">
        <v>2807</v>
      </c>
      <c r="B23" s="5"/>
      <c r="C23" s="30">
        <v>1</v>
      </c>
      <c r="D23" s="5" t="s">
        <v>3731</v>
      </c>
      <c r="E23" s="5" t="s">
        <v>3799</v>
      </c>
    </row>
    <row r="24" spans="1:7" x14ac:dyDescent="0.2">
      <c r="A24" s="5" t="s">
        <v>2807</v>
      </c>
      <c r="B24" s="5"/>
      <c r="C24" s="30">
        <v>1</v>
      </c>
      <c r="D24" s="5" t="s">
        <v>3732</v>
      </c>
      <c r="E24" s="5" t="s">
        <v>3800</v>
      </c>
    </row>
    <row r="25" spans="1:7" x14ac:dyDescent="0.2">
      <c r="A25" s="5" t="s">
        <v>2807</v>
      </c>
      <c r="B25" s="5"/>
      <c r="C25" s="30">
        <v>1</v>
      </c>
      <c r="D25" s="5" t="s">
        <v>3733</v>
      </c>
      <c r="E25" s="5" t="s">
        <v>3801</v>
      </c>
    </row>
    <row r="26" spans="1:7" x14ac:dyDescent="0.2">
      <c r="A26" s="5"/>
      <c r="B26" s="5"/>
      <c r="C26" s="5"/>
      <c r="D26" s="5"/>
      <c r="E26" s="5"/>
    </row>
    <row r="27" spans="1:7" x14ac:dyDescent="0.2">
      <c r="A27" s="5"/>
      <c r="B27" s="5"/>
      <c r="C27" s="5"/>
      <c r="D27" s="5"/>
      <c r="E27" s="5"/>
    </row>
    <row r="28" spans="1:7" x14ac:dyDescent="0.2">
      <c r="A28" s="5"/>
      <c r="B28" s="5"/>
      <c r="C28" s="5"/>
      <c r="D28" s="5"/>
      <c r="E28" s="5"/>
    </row>
    <row r="29" spans="1:7" x14ac:dyDescent="0.2">
      <c r="A29" s="5"/>
      <c r="B29" s="5"/>
      <c r="C29" s="5"/>
      <c r="D29" s="5"/>
      <c r="E29" s="5"/>
    </row>
    <row r="30" spans="1:7" x14ac:dyDescent="0.2">
      <c r="A30" s="5"/>
      <c r="B30" s="5"/>
      <c r="C30" s="5"/>
      <c r="D30" s="5"/>
      <c r="E30" s="5"/>
    </row>
    <row r="31" spans="1:7" x14ac:dyDescent="0.2">
      <c r="A31" s="5"/>
      <c r="B31" s="5"/>
      <c r="C31" s="5"/>
      <c r="D31" s="5"/>
      <c r="E31" s="5"/>
    </row>
    <row r="32" spans="1:7" x14ac:dyDescent="0.2">
      <c r="A32" s="5"/>
      <c r="B32" s="5"/>
      <c r="C32" s="5"/>
      <c r="D32" s="5"/>
      <c r="E32" s="5"/>
    </row>
    <row r="33" spans="1:5" x14ac:dyDescent="0.2">
      <c r="A33" s="5"/>
      <c r="B33" s="5"/>
      <c r="C33" s="5"/>
      <c r="D33" s="5"/>
      <c r="E33" s="5"/>
    </row>
    <row r="34" spans="1:5" x14ac:dyDescent="0.2">
      <c r="A34" s="7"/>
      <c r="B34" s="5"/>
      <c r="C34" s="5"/>
      <c r="D34" s="5"/>
      <c r="E34" s="5"/>
    </row>
    <row r="35" spans="1:5" x14ac:dyDescent="0.2">
      <c r="A35" s="5"/>
      <c r="B35" s="5"/>
      <c r="C35" s="5"/>
      <c r="D35" s="5"/>
      <c r="E35" s="5"/>
    </row>
    <row r="36" spans="1:5" x14ac:dyDescent="0.2">
      <c r="A36" s="5"/>
      <c r="B36" s="5"/>
      <c r="C36" s="5"/>
      <c r="D36" s="5"/>
      <c r="E36" s="5"/>
    </row>
    <row r="37" spans="1:5" x14ac:dyDescent="0.2">
      <c r="A37" s="5"/>
      <c r="B37" s="5"/>
      <c r="C37" s="5"/>
      <c r="D37" s="5"/>
      <c r="E37" s="5"/>
    </row>
    <row r="38" spans="1:5" x14ac:dyDescent="0.2">
      <c r="A38" s="5"/>
      <c r="B38" s="5"/>
      <c r="C38" s="5"/>
      <c r="D38" s="5"/>
      <c r="E38" s="5"/>
    </row>
    <row r="39" spans="1:5" x14ac:dyDescent="0.2">
      <c r="A39" s="5"/>
      <c r="B39" s="5"/>
      <c r="C39" s="5"/>
      <c r="D39" s="5"/>
      <c r="E39" s="5"/>
    </row>
    <row r="40" spans="1:5" x14ac:dyDescent="0.2">
      <c r="A40" s="5"/>
      <c r="B40" s="5"/>
      <c r="C40" s="5"/>
      <c r="D40" s="5"/>
      <c r="E40" s="5"/>
    </row>
    <row r="41" spans="1:5" x14ac:dyDescent="0.2">
      <c r="A41" s="5"/>
      <c r="B41" s="5"/>
      <c r="C41" s="5"/>
      <c r="D41" s="5"/>
      <c r="E41" s="5"/>
    </row>
    <row r="42" spans="1:5" x14ac:dyDescent="0.2">
      <c r="A42" s="5"/>
      <c r="B42" s="5"/>
      <c r="C42" s="5"/>
      <c r="D42" s="5"/>
      <c r="E42" s="5"/>
    </row>
    <row r="43" spans="1:5" x14ac:dyDescent="0.2">
      <c r="A43" s="5"/>
      <c r="B43" s="5"/>
      <c r="C43" s="5"/>
      <c r="D43" s="5"/>
      <c r="E43" s="5"/>
    </row>
    <row r="44" spans="1:5" x14ac:dyDescent="0.2">
      <c r="A44" s="5"/>
      <c r="B44" s="5"/>
      <c r="C44" s="5"/>
      <c r="D44" s="5"/>
      <c r="E44" s="5"/>
    </row>
    <row r="45" spans="1:5" x14ac:dyDescent="0.2">
      <c r="A45" s="5"/>
      <c r="B45" s="5"/>
      <c r="C45" s="5"/>
      <c r="D45" s="5"/>
      <c r="E45" s="5"/>
    </row>
    <row r="46" spans="1:5" x14ac:dyDescent="0.2">
      <c r="A46" s="5"/>
      <c r="B46" s="5"/>
      <c r="C46" s="5"/>
      <c r="D46" s="5"/>
      <c r="E46" s="5"/>
    </row>
  </sheetData>
  <conditionalFormatting sqref="A1">
    <cfRule type="cellIs" dxfId="16" priority="3" operator="equal">
      <formula>0</formula>
    </cfRule>
    <cfRule type="cellIs" dxfId="15" priority="4" operator="equal">
      <formula>1</formula>
    </cfRule>
  </conditionalFormatting>
  <conditionalFormatting sqref="C12:C25">
    <cfRule type="cellIs" dxfId="14" priority="1" operator="equal">
      <formula>0</formula>
    </cfRule>
    <cfRule type="cellIs" dxfId="13" priority="2" operator="equal">
      <formula>1</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8"/>
  <sheetViews>
    <sheetView showGridLines="0" workbookViewId="0">
      <selection activeCell="A2" sqref="A2"/>
    </sheetView>
  </sheetViews>
  <sheetFormatPr defaultRowHeight="12.75" x14ac:dyDescent="0.2"/>
  <cols>
    <col min="1" max="1" width="16.5703125" customWidth="1"/>
    <col min="2" max="2" width="25.42578125" customWidth="1"/>
    <col min="3" max="3" width="21.28515625" customWidth="1"/>
    <col min="4" max="4" width="23.42578125" customWidth="1"/>
    <col min="5" max="5" width="21.7109375" customWidth="1"/>
    <col min="6" max="6" width="24.85546875" customWidth="1"/>
    <col min="7" max="7" width="2.5703125" customWidth="1"/>
    <col min="8" max="9" width="3.28515625" customWidth="1"/>
    <col min="10" max="10" width="2.85546875" customWidth="1"/>
    <col min="11" max="11" width="17.5703125" customWidth="1"/>
    <col min="12" max="12" width="21.85546875" customWidth="1"/>
    <col min="13" max="13" width="26.42578125" customWidth="1"/>
    <col min="14" max="14" width="27.42578125" customWidth="1"/>
  </cols>
  <sheetData>
    <row r="1" spans="1:14" ht="13.5" thickBot="1" x14ac:dyDescent="0.25">
      <c r="A1" s="43">
        <v>0</v>
      </c>
      <c r="B1" s="2" t="s">
        <v>3861</v>
      </c>
      <c r="C1" s="2" t="s">
        <v>4258</v>
      </c>
      <c r="D1" t="s">
        <v>1737</v>
      </c>
    </row>
    <row r="3" spans="1:14" x14ac:dyDescent="0.2">
      <c r="A3" s="16" t="s">
        <v>4228</v>
      </c>
      <c r="E3" s="2" t="s">
        <v>4237</v>
      </c>
    </row>
    <row r="4" spans="1:14" x14ac:dyDescent="0.2">
      <c r="E4" s="50">
        <v>42005</v>
      </c>
    </row>
    <row r="5" spans="1:14" x14ac:dyDescent="0.2">
      <c r="A5" s="2" t="s">
        <v>4254</v>
      </c>
    </row>
    <row r="6" spans="1:14" x14ac:dyDescent="0.2">
      <c r="A6" t="s">
        <v>4251</v>
      </c>
    </row>
    <row r="7" spans="1:14" x14ac:dyDescent="0.2">
      <c r="B7" s="2"/>
    </row>
    <row r="8" spans="1:14" x14ac:dyDescent="0.2">
      <c r="A8" s="2" t="s">
        <v>4229</v>
      </c>
      <c r="D8" s="47" t="str">
        <f>HYPERLINK("K:\M&amp;E\Specifications\MECHANICAL\SECTION  E   (Equipment Schedules)\Equipment Schedules\Templates","Open Template Folder To See Default Names")</f>
        <v>Open Template Folder To See Default Names</v>
      </c>
      <c r="K8" s="2" t="s">
        <v>4248</v>
      </c>
    </row>
    <row r="9" spans="1:14" ht="13.5" thickBot="1" x14ac:dyDescent="0.25"/>
    <row r="10" spans="1:14" ht="13.5" thickBot="1" x14ac:dyDescent="0.25">
      <c r="A10" s="68" t="s">
        <v>2972</v>
      </c>
      <c r="B10" s="69" t="s">
        <v>4230</v>
      </c>
      <c r="C10" s="70" t="s">
        <v>4231</v>
      </c>
      <c r="D10" s="75" t="s">
        <v>4238</v>
      </c>
      <c r="E10" s="76"/>
      <c r="F10" s="77"/>
      <c r="K10" s="68" t="s">
        <v>2972</v>
      </c>
      <c r="L10" s="69" t="s">
        <v>4230</v>
      </c>
      <c r="M10" s="70" t="s">
        <v>4245</v>
      </c>
      <c r="N10" s="71" t="s">
        <v>4246</v>
      </c>
    </row>
    <row r="11" spans="1:14" x14ac:dyDescent="0.2">
      <c r="A11" s="62">
        <v>1</v>
      </c>
      <c r="B11" s="63">
        <f>$E$4</f>
        <v>42005</v>
      </c>
      <c r="C11" s="64" t="s">
        <v>4250</v>
      </c>
      <c r="D11" s="65" t="s">
        <v>4253</v>
      </c>
      <c r="E11" s="66"/>
      <c r="F11" s="67"/>
      <c r="K11" s="62">
        <v>1</v>
      </c>
      <c r="L11" s="63">
        <f>$E$4</f>
        <v>42005</v>
      </c>
      <c r="M11" s="51" t="s">
        <v>4247</v>
      </c>
      <c r="N11" s="64" t="s">
        <v>4249</v>
      </c>
    </row>
    <row r="12" spans="1:14" x14ac:dyDescent="0.2">
      <c r="A12" s="58">
        <v>1</v>
      </c>
      <c r="B12" s="59">
        <f>$E$4</f>
        <v>42005</v>
      </c>
      <c r="C12" s="51" t="s">
        <v>4250</v>
      </c>
      <c r="D12" s="53" t="s">
        <v>4232</v>
      </c>
      <c r="E12" s="5"/>
      <c r="F12" s="54"/>
      <c r="K12" s="58">
        <v>1</v>
      </c>
      <c r="L12" s="59">
        <f>$E$4</f>
        <v>42005</v>
      </c>
      <c r="M12" s="51" t="s">
        <v>76</v>
      </c>
      <c r="N12" s="51" t="s">
        <v>4250</v>
      </c>
    </row>
    <row r="13" spans="1:14" x14ac:dyDescent="0.2">
      <c r="A13" s="58">
        <v>1</v>
      </c>
      <c r="B13" s="59">
        <f>$E$4</f>
        <v>42005</v>
      </c>
      <c r="C13" s="51" t="s">
        <v>4250</v>
      </c>
      <c r="D13" s="53" t="s">
        <v>4233</v>
      </c>
      <c r="E13" s="5"/>
      <c r="F13" s="54"/>
      <c r="K13" s="58">
        <v>1</v>
      </c>
      <c r="L13" s="59">
        <f t="shared" ref="L13:L16" si="0">$E$4</f>
        <v>42005</v>
      </c>
      <c r="M13" s="51" t="s">
        <v>83</v>
      </c>
      <c r="N13" s="51" t="s">
        <v>4250</v>
      </c>
    </row>
    <row r="14" spans="1:14" x14ac:dyDescent="0.2">
      <c r="A14" s="58">
        <v>1</v>
      </c>
      <c r="B14" s="59">
        <f>$E$4</f>
        <v>42005</v>
      </c>
      <c r="C14" s="51" t="s">
        <v>4250</v>
      </c>
      <c r="D14" s="53" t="s">
        <v>4234</v>
      </c>
      <c r="E14" s="5"/>
      <c r="F14" s="54"/>
      <c r="K14" s="58">
        <v>0</v>
      </c>
      <c r="L14" s="59">
        <f t="shared" si="0"/>
        <v>42005</v>
      </c>
      <c r="M14" s="51" t="s">
        <v>93</v>
      </c>
      <c r="N14" s="51" t="s">
        <v>4250</v>
      </c>
    </row>
    <row r="15" spans="1:14" x14ac:dyDescent="0.2">
      <c r="A15" s="58">
        <v>1</v>
      </c>
      <c r="B15" s="59">
        <f>$E$4</f>
        <v>42005</v>
      </c>
      <c r="C15" s="51" t="s">
        <v>4250</v>
      </c>
      <c r="D15" s="53" t="s">
        <v>4235</v>
      </c>
      <c r="E15" s="5" t="s">
        <v>4236</v>
      </c>
      <c r="F15" s="54" t="s">
        <v>4257</v>
      </c>
      <c r="K15" s="58">
        <v>0</v>
      </c>
      <c r="L15" s="59">
        <f t="shared" si="0"/>
        <v>42005</v>
      </c>
      <c r="M15" s="51" t="s">
        <v>102</v>
      </c>
      <c r="N15" s="51" t="s">
        <v>4250</v>
      </c>
    </row>
    <row r="16" spans="1:14" x14ac:dyDescent="0.2">
      <c r="A16" s="58">
        <v>1</v>
      </c>
      <c r="B16" s="59">
        <f t="shared" ref="B16:B21" si="1">$E$4</f>
        <v>42005</v>
      </c>
      <c r="C16" s="51" t="s">
        <v>4256</v>
      </c>
      <c r="D16" s="53" t="s">
        <v>4253</v>
      </c>
      <c r="E16" s="5"/>
      <c r="F16" s="54"/>
      <c r="K16" s="58">
        <v>0</v>
      </c>
      <c r="L16" s="59">
        <f t="shared" si="0"/>
        <v>42005</v>
      </c>
      <c r="M16" s="51" t="s">
        <v>115</v>
      </c>
      <c r="N16" s="51" t="s">
        <v>4250</v>
      </c>
    </row>
    <row r="17" spans="1:14" x14ac:dyDescent="0.2">
      <c r="A17" s="58">
        <v>1</v>
      </c>
      <c r="B17" s="59">
        <f t="shared" si="1"/>
        <v>42005</v>
      </c>
      <c r="C17" s="51" t="s">
        <v>4255</v>
      </c>
      <c r="D17" s="53" t="s">
        <v>4250</v>
      </c>
      <c r="E17" s="5" t="s">
        <v>4256</v>
      </c>
      <c r="F17" s="54"/>
      <c r="K17" s="58">
        <v>0</v>
      </c>
      <c r="L17" s="59"/>
      <c r="M17" s="51"/>
      <c r="N17" s="51"/>
    </row>
    <row r="18" spans="1:14" x14ac:dyDescent="0.2">
      <c r="A18" s="58">
        <v>1</v>
      </c>
      <c r="B18" s="59">
        <f t="shared" si="1"/>
        <v>42005</v>
      </c>
      <c r="C18" s="51" t="s">
        <v>4239</v>
      </c>
      <c r="D18" s="53" t="s">
        <v>4250</v>
      </c>
      <c r="E18" s="5" t="s">
        <v>4256</v>
      </c>
      <c r="F18" s="54"/>
      <c r="K18" s="58">
        <v>0</v>
      </c>
      <c r="L18" s="59"/>
      <c r="M18" s="51"/>
      <c r="N18" s="51"/>
    </row>
    <row r="19" spans="1:14" x14ac:dyDescent="0.2">
      <c r="A19" s="58">
        <v>1</v>
      </c>
      <c r="B19" s="59">
        <f t="shared" si="1"/>
        <v>42005</v>
      </c>
      <c r="C19" s="51" t="s">
        <v>4240</v>
      </c>
      <c r="D19" s="53" t="s">
        <v>4242</v>
      </c>
      <c r="E19" s="5" t="s">
        <v>4243</v>
      </c>
      <c r="F19" s="54"/>
      <c r="K19" s="58">
        <v>0</v>
      </c>
      <c r="L19" s="59"/>
      <c r="M19" s="51"/>
      <c r="N19" s="51"/>
    </row>
    <row r="20" spans="1:14" x14ac:dyDescent="0.2">
      <c r="A20" s="58">
        <v>1</v>
      </c>
      <c r="B20" s="59">
        <f t="shared" si="1"/>
        <v>42005</v>
      </c>
      <c r="C20" s="51" t="s">
        <v>4241</v>
      </c>
      <c r="D20" s="53" t="s">
        <v>4242</v>
      </c>
      <c r="E20" s="5" t="s">
        <v>4243</v>
      </c>
      <c r="F20" s="54"/>
      <c r="K20" s="58">
        <v>0</v>
      </c>
      <c r="L20" s="59"/>
      <c r="M20" s="51"/>
      <c r="N20" s="51"/>
    </row>
    <row r="21" spans="1:14" x14ac:dyDescent="0.2">
      <c r="A21" s="58">
        <v>1</v>
      </c>
      <c r="B21" s="59">
        <f t="shared" si="1"/>
        <v>42005</v>
      </c>
      <c r="C21" s="51" t="s">
        <v>4244</v>
      </c>
      <c r="D21" s="53" t="s">
        <v>4242</v>
      </c>
      <c r="E21" s="5" t="s">
        <v>4243</v>
      </c>
      <c r="F21" s="54"/>
      <c r="K21" s="58">
        <v>0</v>
      </c>
      <c r="L21" s="59"/>
      <c r="M21" s="51"/>
      <c r="N21" s="51"/>
    </row>
    <row r="22" spans="1:14" x14ac:dyDescent="0.2">
      <c r="A22" s="58"/>
      <c r="B22" s="59"/>
      <c r="C22" s="51"/>
      <c r="D22" s="53"/>
      <c r="E22" s="5"/>
      <c r="F22" s="54"/>
      <c r="K22" s="58">
        <v>0</v>
      </c>
      <c r="L22" s="59"/>
      <c r="M22" s="51"/>
      <c r="N22" s="51"/>
    </row>
    <row r="23" spans="1:14" x14ac:dyDescent="0.2">
      <c r="A23" s="58"/>
      <c r="B23" s="59"/>
      <c r="C23" s="51"/>
      <c r="D23" s="53"/>
      <c r="E23" s="5"/>
      <c r="F23" s="54"/>
      <c r="K23" s="58">
        <v>0</v>
      </c>
      <c r="L23" s="59"/>
      <c r="M23" s="51"/>
      <c r="N23" s="51"/>
    </row>
    <row r="24" spans="1:14" x14ac:dyDescent="0.2">
      <c r="A24" s="58"/>
      <c r="B24" s="59"/>
      <c r="C24" s="51"/>
      <c r="D24" s="53"/>
      <c r="E24" s="5"/>
      <c r="F24" s="54"/>
      <c r="K24" s="58">
        <v>0</v>
      </c>
      <c r="L24" s="59"/>
      <c r="M24" s="51"/>
      <c r="N24" s="51"/>
    </row>
    <row r="25" spans="1:14" x14ac:dyDescent="0.2">
      <c r="A25" s="58"/>
      <c r="B25" s="59"/>
      <c r="C25" s="51"/>
      <c r="D25" s="53"/>
      <c r="E25" s="5"/>
      <c r="F25" s="54"/>
      <c r="K25" s="58">
        <v>0</v>
      </c>
      <c r="L25" s="59"/>
      <c r="M25" s="51"/>
      <c r="N25" s="51"/>
    </row>
    <row r="26" spans="1:14" x14ac:dyDescent="0.2">
      <c r="A26" s="58"/>
      <c r="B26" s="59"/>
      <c r="C26" s="51"/>
      <c r="D26" s="53"/>
      <c r="E26" s="5"/>
      <c r="F26" s="54"/>
      <c r="K26" s="58">
        <v>0</v>
      </c>
      <c r="L26" s="59"/>
      <c r="M26" s="51"/>
      <c r="N26" s="51"/>
    </row>
    <row r="27" spans="1:14" x14ac:dyDescent="0.2">
      <c r="A27" s="58"/>
      <c r="B27" s="59"/>
      <c r="C27" s="51"/>
      <c r="D27" s="53"/>
      <c r="E27" s="5"/>
      <c r="F27" s="54"/>
      <c r="K27" s="58">
        <v>0</v>
      </c>
      <c r="L27" s="59"/>
      <c r="M27" s="51"/>
      <c r="N27" s="51"/>
    </row>
    <row r="28" spans="1:14" ht="13.5" thickBot="1" x14ac:dyDescent="0.25">
      <c r="A28" s="60"/>
      <c r="B28" s="61"/>
      <c r="C28" s="52"/>
      <c r="D28" s="55"/>
      <c r="E28" s="56"/>
      <c r="F28" s="57"/>
      <c r="K28" s="60">
        <v>0</v>
      </c>
      <c r="L28" s="61"/>
      <c r="M28" s="52"/>
      <c r="N28" s="52"/>
    </row>
  </sheetData>
  <mergeCells count="1">
    <mergeCell ref="D10:F10"/>
  </mergeCells>
  <conditionalFormatting sqref="A1 A11:A20">
    <cfRule type="cellIs" dxfId="12" priority="9" operator="equal">
      <formula>0</formula>
    </cfRule>
    <cfRule type="cellIs" dxfId="11" priority="10" operator="equal">
      <formula>1</formula>
    </cfRule>
  </conditionalFormatting>
  <conditionalFormatting sqref="A21:A28">
    <cfRule type="cellIs" dxfId="10" priority="5" operator="equal">
      <formula>0</formula>
    </cfRule>
    <cfRule type="cellIs" dxfId="9" priority="6" operator="equal">
      <formula>1</formula>
    </cfRule>
  </conditionalFormatting>
  <conditionalFormatting sqref="K11:K16 K18:K28">
    <cfRule type="cellIs" dxfId="8" priority="3" operator="equal">
      <formula>0</formula>
    </cfRule>
    <cfRule type="cellIs" dxfId="7" priority="4" operator="equal">
      <formula>1</formula>
    </cfRule>
  </conditionalFormatting>
  <conditionalFormatting sqref="K17">
    <cfRule type="cellIs" dxfId="6" priority="1" operator="equal">
      <formula>0</formula>
    </cfRule>
    <cfRule type="cellIs" dxfId="5" priority="2" operator="equal">
      <formula>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I35"/>
  <sheetViews>
    <sheetView showGridLines="0" workbookViewId="0">
      <selection activeCell="C25" sqref="C25"/>
    </sheetView>
  </sheetViews>
  <sheetFormatPr defaultRowHeight="12.75" x14ac:dyDescent="0.2"/>
  <cols>
    <col min="1" max="1" width="14.85546875" customWidth="1"/>
    <col min="2" max="2" width="21.5703125" customWidth="1"/>
    <col min="3" max="3" width="91.28515625" customWidth="1"/>
    <col min="5" max="5" width="33.85546875" customWidth="1"/>
    <col min="6" max="6" width="24" customWidth="1"/>
    <col min="8" max="8" width="47" customWidth="1"/>
    <col min="9" max="9" width="34.85546875" customWidth="1"/>
  </cols>
  <sheetData>
    <row r="3" spans="1:9" x14ac:dyDescent="0.2">
      <c r="A3" s="16" t="s">
        <v>3862</v>
      </c>
    </row>
    <row r="8" spans="1:9" x14ac:dyDescent="0.2">
      <c r="E8" s="2" t="s">
        <v>3873</v>
      </c>
      <c r="H8" s="2" t="s">
        <v>3926</v>
      </c>
    </row>
    <row r="10" spans="1:9" x14ac:dyDescent="0.2">
      <c r="A10" s="44" t="s">
        <v>3861</v>
      </c>
      <c r="B10" s="32" t="s">
        <v>3867</v>
      </c>
      <c r="C10" s="32" t="s">
        <v>3863</v>
      </c>
      <c r="E10" s="32" t="s">
        <v>3871</v>
      </c>
      <c r="F10" s="32" t="s">
        <v>3872</v>
      </c>
      <c r="H10" s="33" t="s">
        <v>2916</v>
      </c>
      <c r="I10" s="33" t="s">
        <v>2924</v>
      </c>
    </row>
    <row r="11" spans="1:9" x14ac:dyDescent="0.2">
      <c r="A11" s="30">
        <v>1</v>
      </c>
      <c r="B11" s="5" t="s">
        <v>3864</v>
      </c>
      <c r="C11" s="5" t="s">
        <v>3865</v>
      </c>
      <c r="E11" s="5" t="s">
        <v>3262</v>
      </c>
      <c r="F11" s="5">
        <v>323</v>
      </c>
      <c r="H11" s="5" t="s">
        <v>3262</v>
      </c>
      <c r="I11" s="5" t="s">
        <v>2920</v>
      </c>
    </row>
    <row r="12" spans="1:9" x14ac:dyDescent="0.2">
      <c r="A12" s="30">
        <v>1</v>
      </c>
      <c r="B12" s="5" t="s">
        <v>3866</v>
      </c>
      <c r="C12" s="5" t="s">
        <v>3868</v>
      </c>
      <c r="E12" s="5" t="s">
        <v>3017</v>
      </c>
      <c r="H12" s="5" t="s">
        <v>3017</v>
      </c>
      <c r="I12" s="5" t="s">
        <v>2921</v>
      </c>
    </row>
    <row r="13" spans="1:9" x14ac:dyDescent="0.2">
      <c r="A13" s="30">
        <v>1</v>
      </c>
      <c r="B13" s="5" t="s">
        <v>3869</v>
      </c>
      <c r="C13" s="5" t="s">
        <v>3870</v>
      </c>
      <c r="E13" s="5" t="s">
        <v>3018</v>
      </c>
      <c r="F13" s="32" t="s">
        <v>3874</v>
      </c>
      <c r="H13" s="5" t="s">
        <v>3018</v>
      </c>
      <c r="I13" s="5" t="s">
        <v>2922</v>
      </c>
    </row>
    <row r="14" spans="1:9" x14ac:dyDescent="0.2">
      <c r="A14" s="30">
        <v>1</v>
      </c>
      <c r="B14" s="5" t="s">
        <v>3925</v>
      </c>
      <c r="C14" s="5" t="s">
        <v>3931</v>
      </c>
      <c r="E14" s="5" t="s">
        <v>3019</v>
      </c>
      <c r="F14" s="5">
        <v>313</v>
      </c>
      <c r="H14" s="5" t="s">
        <v>3019</v>
      </c>
      <c r="I14" s="5" t="s">
        <v>2890</v>
      </c>
    </row>
    <row r="15" spans="1:9" x14ac:dyDescent="0.2">
      <c r="E15" s="5" t="s">
        <v>3020</v>
      </c>
      <c r="H15" s="5" t="s">
        <v>3020</v>
      </c>
      <c r="I15" s="5" t="s">
        <v>2923</v>
      </c>
    </row>
    <row r="16" spans="1:9" x14ac:dyDescent="0.2">
      <c r="E16" s="5" t="s">
        <v>2917</v>
      </c>
      <c r="H16" s="5" t="s">
        <v>2917</v>
      </c>
      <c r="I16" s="5" t="s">
        <v>3005</v>
      </c>
    </row>
    <row r="17" spans="5:9" x14ac:dyDescent="0.2">
      <c r="E17" s="5" t="s">
        <v>3233</v>
      </c>
      <c r="H17" s="5" t="s">
        <v>3021</v>
      </c>
      <c r="I17" s="5"/>
    </row>
    <row r="18" spans="5:9" x14ac:dyDescent="0.2">
      <c r="E18" s="5" t="s">
        <v>3234</v>
      </c>
      <c r="H18" s="34" t="s">
        <v>3085</v>
      </c>
      <c r="I18" s="7"/>
    </row>
    <row r="19" spans="5:9" x14ac:dyDescent="0.2">
      <c r="E19" s="5" t="s">
        <v>3248</v>
      </c>
      <c r="H19" s="34" t="s">
        <v>3250</v>
      </c>
      <c r="I19" s="5"/>
    </row>
    <row r="20" spans="5:9" x14ac:dyDescent="0.2">
      <c r="E20" s="5" t="s">
        <v>3897</v>
      </c>
      <c r="H20" s="34" t="s">
        <v>3251</v>
      </c>
      <c r="I20" s="5"/>
    </row>
    <row r="21" spans="5:9" x14ac:dyDescent="0.2">
      <c r="E21" s="35" t="s">
        <v>3898</v>
      </c>
      <c r="H21" s="5" t="s">
        <v>3233</v>
      </c>
      <c r="I21" s="5"/>
    </row>
    <row r="22" spans="5:9" x14ac:dyDescent="0.2">
      <c r="E22" s="35" t="s">
        <v>3899</v>
      </c>
      <c r="H22" s="5" t="s">
        <v>3234</v>
      </c>
      <c r="I22" s="5"/>
    </row>
    <row r="23" spans="5:9" x14ac:dyDescent="0.2">
      <c r="E23" s="35" t="s">
        <v>3900</v>
      </c>
      <c r="H23" s="5" t="s">
        <v>3248</v>
      </c>
      <c r="I23" s="5"/>
    </row>
    <row r="24" spans="5:9" x14ac:dyDescent="0.2">
      <c r="H24" s="35" t="s">
        <v>3249</v>
      </c>
      <c r="I24" s="5"/>
    </row>
    <row r="25" spans="5:9" x14ac:dyDescent="0.2">
      <c r="H25" s="5" t="s">
        <v>3675</v>
      </c>
      <c r="I25" s="5"/>
    </row>
    <row r="26" spans="5:9" x14ac:dyDescent="0.2">
      <c r="H26" s="5" t="s">
        <v>3856</v>
      </c>
      <c r="I26" s="5"/>
    </row>
    <row r="27" spans="5:9" x14ac:dyDescent="0.2">
      <c r="H27" s="5" t="s">
        <v>3896</v>
      </c>
      <c r="I27" s="5"/>
    </row>
    <row r="28" spans="5:9" x14ac:dyDescent="0.2">
      <c r="H28" s="5" t="s">
        <v>3928</v>
      </c>
      <c r="I28" s="5"/>
    </row>
    <row r="29" spans="5:9" x14ac:dyDescent="0.2">
      <c r="H29" s="5" t="s">
        <v>3929</v>
      </c>
      <c r="I29" s="5"/>
    </row>
    <row r="30" spans="5:9" x14ac:dyDescent="0.2">
      <c r="H30" s="5" t="s">
        <v>3930</v>
      </c>
      <c r="I30" s="5"/>
    </row>
    <row r="31" spans="5:9" x14ac:dyDescent="0.2">
      <c r="H31" s="5" t="s">
        <v>4227</v>
      </c>
      <c r="I31" s="5"/>
    </row>
    <row r="32" spans="5:9" x14ac:dyDescent="0.2">
      <c r="H32" s="5" t="s">
        <v>4271</v>
      </c>
      <c r="I32" s="5"/>
    </row>
    <row r="33" spans="8:9" x14ac:dyDescent="0.2">
      <c r="H33" s="5" t="s">
        <v>4272</v>
      </c>
      <c r="I33" s="5"/>
    </row>
    <row r="34" spans="8:9" x14ac:dyDescent="0.2">
      <c r="H34" s="5"/>
      <c r="I34" s="5"/>
    </row>
    <row r="35" spans="8:9" x14ac:dyDescent="0.2">
      <c r="H35" s="5"/>
      <c r="I35" s="5"/>
    </row>
  </sheetData>
  <conditionalFormatting sqref="A11:A14">
    <cfRule type="cellIs" dxfId="4" priority="1" operator="equal">
      <formula>0</formula>
    </cfRule>
    <cfRule type="cellIs" dxfId="3" priority="2" operator="equal">
      <formula>1</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D451"/>
  <sheetViews>
    <sheetView zoomScale="85" zoomScaleNormal="85" workbookViewId="0">
      <pane xSplit="3" ySplit="1" topLeftCell="AB324" activePane="bottomRight" state="frozen"/>
      <selection pane="topRight" activeCell="D1" sqref="D1"/>
      <selection pane="bottomLeft" activeCell="A2" sqref="A2"/>
      <selection pane="bottomRight" activeCell="C378" sqref="C378"/>
    </sheetView>
  </sheetViews>
  <sheetFormatPr defaultRowHeight="12.75" x14ac:dyDescent="0.2"/>
  <cols>
    <col min="1" max="1" width="9.28515625" bestFit="1" customWidth="1"/>
    <col min="2" max="2" width="18.42578125" bestFit="1" customWidth="1"/>
    <col min="3" max="3" width="65.28515625" bestFit="1" customWidth="1"/>
    <col min="4" max="4" width="26" bestFit="1" customWidth="1"/>
    <col min="5" max="5" width="8.140625" bestFit="1" customWidth="1"/>
    <col min="6" max="6" width="20.140625" bestFit="1" customWidth="1"/>
    <col min="7" max="7" width="17.140625" bestFit="1" customWidth="1"/>
    <col min="8" max="8" width="15.140625" bestFit="1" customWidth="1"/>
    <col min="9" max="9" width="16.42578125" bestFit="1" customWidth="1"/>
    <col min="10" max="10" width="16.28515625" bestFit="1" customWidth="1"/>
    <col min="11" max="11" width="15" bestFit="1" customWidth="1"/>
    <col min="12" max="13" width="15.5703125" bestFit="1" customWidth="1"/>
    <col min="14" max="14" width="12.7109375" bestFit="1" customWidth="1"/>
    <col min="15" max="16" width="17.5703125" bestFit="1" customWidth="1"/>
    <col min="17" max="17" width="23.140625" bestFit="1" customWidth="1"/>
    <col min="18" max="18" width="15.28515625" bestFit="1" customWidth="1"/>
    <col min="19" max="19" width="13.42578125" bestFit="1" customWidth="1"/>
    <col min="20" max="20" width="16.42578125" bestFit="1" customWidth="1"/>
    <col min="21" max="21" width="40.5703125" bestFit="1" customWidth="1"/>
    <col min="22" max="28" width="81.140625" bestFit="1" customWidth="1"/>
    <col min="29" max="30" width="19.28515625" bestFit="1" customWidth="1"/>
    <col min="31" max="31" width="81.140625" bestFit="1" customWidth="1"/>
    <col min="32" max="32" width="28.5703125" bestFit="1" customWidth="1"/>
    <col min="33" max="33" width="81.140625" bestFit="1" customWidth="1"/>
    <col min="34" max="34" width="21" bestFit="1" customWidth="1"/>
    <col min="35" max="35" width="13.42578125" bestFit="1" customWidth="1"/>
    <col min="36" max="36" width="81.140625" bestFit="1" customWidth="1"/>
    <col min="37" max="37" width="12.5703125" bestFit="1" customWidth="1"/>
    <col min="38" max="40" width="81.140625" bestFit="1" customWidth="1"/>
    <col min="41" max="41" width="47" bestFit="1" customWidth="1"/>
    <col min="42" max="42" width="13.42578125" bestFit="1" customWidth="1"/>
    <col min="43" max="43" width="31.140625" bestFit="1" customWidth="1"/>
    <col min="44" max="44" width="81.140625" bestFit="1" customWidth="1"/>
    <col min="45" max="45" width="18.42578125" bestFit="1" customWidth="1"/>
    <col min="46" max="46" width="14.5703125" bestFit="1" customWidth="1"/>
    <col min="47" max="51" width="81.140625" bestFit="1" customWidth="1"/>
    <col min="52" max="52" width="61.42578125" bestFit="1" customWidth="1"/>
    <col min="53" max="53" width="23" bestFit="1" customWidth="1"/>
    <col min="54" max="54" width="25.5703125" bestFit="1" customWidth="1"/>
  </cols>
  <sheetData>
    <row r="1" spans="1:54"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row>
    <row r="2" spans="1:54" x14ac:dyDescent="0.2">
      <c r="B2" t="s">
        <v>54</v>
      </c>
      <c r="C2" t="s">
        <v>55</v>
      </c>
      <c r="E2">
        <v>0</v>
      </c>
      <c r="F2" t="s">
        <v>56</v>
      </c>
      <c r="H2" t="s">
        <v>57</v>
      </c>
      <c r="I2" t="s">
        <v>88</v>
      </c>
      <c r="J2" t="s">
        <v>58</v>
      </c>
      <c r="K2" t="s">
        <v>59</v>
      </c>
      <c r="L2" t="s">
        <v>60</v>
      </c>
      <c r="M2" t="s">
        <v>61</v>
      </c>
      <c r="N2" s="1"/>
      <c r="S2" t="s">
        <v>125</v>
      </c>
      <c r="T2" s="1"/>
      <c r="AD2" s="1"/>
      <c r="AE2" t="s">
        <v>3657</v>
      </c>
      <c r="AJ2" t="s">
        <v>63</v>
      </c>
      <c r="AN2" t="s">
        <v>2342</v>
      </c>
      <c r="AP2" t="b">
        <v>0</v>
      </c>
      <c r="BA2" t="b">
        <v>0</v>
      </c>
    </row>
    <row r="3" spans="1:54" x14ac:dyDescent="0.2">
      <c r="B3" t="s">
        <v>64</v>
      </c>
      <c r="C3" t="s">
        <v>65</v>
      </c>
      <c r="D3" t="s">
        <v>66</v>
      </c>
      <c r="E3">
        <v>4500</v>
      </c>
      <c r="F3" t="s">
        <v>67</v>
      </c>
      <c r="H3" t="s">
        <v>60</v>
      </c>
      <c r="I3" t="s">
        <v>68</v>
      </c>
      <c r="J3" t="s">
        <v>69</v>
      </c>
      <c r="K3" t="s">
        <v>70</v>
      </c>
      <c r="L3" t="s">
        <v>68</v>
      </c>
      <c r="M3" t="s">
        <v>70</v>
      </c>
      <c r="N3" s="1"/>
      <c r="S3" t="s">
        <v>71</v>
      </c>
      <c r="T3" s="1"/>
      <c r="U3" t="s">
        <v>70</v>
      </c>
      <c r="V3" t="s">
        <v>72</v>
      </c>
      <c r="W3" t="s">
        <v>70</v>
      </c>
      <c r="X3" t="s">
        <v>70</v>
      </c>
      <c r="Y3" t="s">
        <v>70</v>
      </c>
      <c r="Z3" t="s">
        <v>70</v>
      </c>
      <c r="AA3" t="s">
        <v>70</v>
      </c>
      <c r="AB3" t="s">
        <v>70</v>
      </c>
      <c r="AC3">
        <v>2003</v>
      </c>
      <c r="AD3" s="1"/>
      <c r="AE3" t="s">
        <v>73</v>
      </c>
      <c r="AF3" t="s">
        <v>74</v>
      </c>
      <c r="AG3" t="s">
        <v>75</v>
      </c>
      <c r="AH3" t="s">
        <v>76</v>
      </c>
      <c r="AI3" t="s">
        <v>77</v>
      </c>
      <c r="AJ3" t="s">
        <v>63</v>
      </c>
      <c r="AK3">
        <v>600</v>
      </c>
      <c r="AL3" t="s">
        <v>70</v>
      </c>
      <c r="AM3" t="s">
        <v>70</v>
      </c>
      <c r="AN3" t="s">
        <v>78</v>
      </c>
      <c r="AO3" t="s">
        <v>70</v>
      </c>
      <c r="AP3" t="b">
        <v>1</v>
      </c>
      <c r="AQ3" t="s">
        <v>79</v>
      </c>
      <c r="BA3" t="b">
        <v>0</v>
      </c>
    </row>
    <row r="4" spans="1:54" x14ac:dyDescent="0.2">
      <c r="B4" t="s">
        <v>80</v>
      </c>
      <c r="C4" t="s">
        <v>81</v>
      </c>
      <c r="D4" t="s">
        <v>66</v>
      </c>
      <c r="E4">
        <v>2432</v>
      </c>
      <c r="F4" t="s">
        <v>56</v>
      </c>
      <c r="H4" t="s">
        <v>60</v>
      </c>
      <c r="I4" t="s">
        <v>60</v>
      </c>
      <c r="N4" s="1">
        <v>36238</v>
      </c>
      <c r="S4" t="s">
        <v>71</v>
      </c>
      <c r="T4" s="1"/>
      <c r="AC4">
        <v>2006</v>
      </c>
      <c r="AD4" s="1"/>
      <c r="AF4" t="s">
        <v>82</v>
      </c>
      <c r="AH4" t="s">
        <v>83</v>
      </c>
      <c r="AI4" t="s">
        <v>84</v>
      </c>
      <c r="AJ4" t="s">
        <v>63</v>
      </c>
      <c r="AP4" t="b">
        <v>1</v>
      </c>
      <c r="AQ4" t="s">
        <v>79</v>
      </c>
      <c r="BA4" t="b">
        <v>0</v>
      </c>
    </row>
    <row r="5" spans="1:54" x14ac:dyDescent="0.2">
      <c r="B5" t="s">
        <v>85</v>
      </c>
      <c r="C5" t="s">
        <v>86</v>
      </c>
      <c r="E5">
        <v>6000</v>
      </c>
      <c r="F5" t="s">
        <v>87</v>
      </c>
      <c r="H5" t="s">
        <v>88</v>
      </c>
      <c r="I5" t="s">
        <v>88</v>
      </c>
      <c r="J5" t="s">
        <v>89</v>
      </c>
      <c r="L5" t="s">
        <v>60</v>
      </c>
      <c r="N5" s="1"/>
      <c r="S5" t="s">
        <v>71</v>
      </c>
      <c r="T5" s="1"/>
      <c r="V5" t="s">
        <v>90</v>
      </c>
      <c r="AC5">
        <v>1998</v>
      </c>
      <c r="AD5" s="1"/>
      <c r="AE5" t="s">
        <v>91</v>
      </c>
      <c r="AF5" t="s">
        <v>82</v>
      </c>
      <c r="AG5" t="s">
        <v>92</v>
      </c>
      <c r="AH5" t="s">
        <v>93</v>
      </c>
      <c r="AI5" t="s">
        <v>77</v>
      </c>
      <c r="AJ5" t="s">
        <v>94</v>
      </c>
      <c r="AP5" t="b">
        <v>1</v>
      </c>
      <c r="AQ5" t="s">
        <v>79</v>
      </c>
      <c r="BA5" t="b">
        <v>0</v>
      </c>
    </row>
    <row r="6" spans="1:54" x14ac:dyDescent="0.2">
      <c r="B6" t="s">
        <v>95</v>
      </c>
      <c r="C6" t="s">
        <v>96</v>
      </c>
      <c r="D6" t="s">
        <v>66</v>
      </c>
      <c r="E6">
        <v>11000</v>
      </c>
      <c r="F6" t="s">
        <v>97</v>
      </c>
      <c r="H6" t="s">
        <v>60</v>
      </c>
      <c r="I6" t="s">
        <v>98</v>
      </c>
      <c r="J6" t="s">
        <v>89</v>
      </c>
      <c r="K6" t="s">
        <v>70</v>
      </c>
      <c r="L6" t="s">
        <v>60</v>
      </c>
      <c r="M6" t="s">
        <v>70</v>
      </c>
      <c r="N6" s="1"/>
      <c r="S6" t="s">
        <v>71</v>
      </c>
      <c r="T6" s="1"/>
      <c r="U6" t="s">
        <v>70</v>
      </c>
      <c r="V6" t="s">
        <v>99</v>
      </c>
      <c r="W6" t="s">
        <v>70</v>
      </c>
      <c r="X6" t="s">
        <v>70</v>
      </c>
      <c r="Y6" t="s">
        <v>70</v>
      </c>
      <c r="Z6" t="s">
        <v>70</v>
      </c>
      <c r="AA6" t="s">
        <v>70</v>
      </c>
      <c r="AB6" t="s">
        <v>70</v>
      </c>
      <c r="AC6">
        <v>2000</v>
      </c>
      <c r="AD6" s="1"/>
      <c r="AE6" t="s">
        <v>100</v>
      </c>
      <c r="AF6" t="s">
        <v>82</v>
      </c>
      <c r="AG6" t="s">
        <v>101</v>
      </c>
      <c r="AH6" t="s">
        <v>102</v>
      </c>
      <c r="AI6" t="s">
        <v>84</v>
      </c>
      <c r="AJ6" t="s">
        <v>63</v>
      </c>
      <c r="AL6" t="s">
        <v>70</v>
      </c>
      <c r="AM6" t="s">
        <v>103</v>
      </c>
      <c r="AN6" t="s">
        <v>78</v>
      </c>
      <c r="AO6" t="s">
        <v>70</v>
      </c>
      <c r="AP6" t="b">
        <v>1</v>
      </c>
      <c r="AQ6" t="s">
        <v>104</v>
      </c>
      <c r="BA6" t="b">
        <v>0</v>
      </c>
    </row>
    <row r="7" spans="1:54" x14ac:dyDescent="0.2">
      <c r="B7" t="s">
        <v>105</v>
      </c>
      <c r="C7" t="s">
        <v>106</v>
      </c>
      <c r="D7" t="s">
        <v>66</v>
      </c>
      <c r="E7">
        <v>0</v>
      </c>
      <c r="F7" t="s">
        <v>56</v>
      </c>
      <c r="H7" t="s">
        <v>60</v>
      </c>
      <c r="I7" t="s">
        <v>60</v>
      </c>
      <c r="J7" t="s">
        <v>89</v>
      </c>
      <c r="K7" t="s">
        <v>70</v>
      </c>
      <c r="L7" t="s">
        <v>60</v>
      </c>
      <c r="M7" t="s">
        <v>70</v>
      </c>
      <c r="N7" s="1"/>
      <c r="S7" t="s">
        <v>71</v>
      </c>
      <c r="T7" s="1"/>
      <c r="U7" t="s">
        <v>70</v>
      </c>
      <c r="V7" t="s">
        <v>70</v>
      </c>
      <c r="W7" t="s">
        <v>70</v>
      </c>
      <c r="X7" t="s">
        <v>70</v>
      </c>
      <c r="Y7" t="s">
        <v>70</v>
      </c>
      <c r="Z7" t="s">
        <v>70</v>
      </c>
      <c r="AA7" t="s">
        <v>70</v>
      </c>
      <c r="AB7" t="s">
        <v>70</v>
      </c>
      <c r="AD7" s="1"/>
      <c r="AE7" t="s">
        <v>70</v>
      </c>
      <c r="AF7" t="s">
        <v>82</v>
      </c>
      <c r="AG7" t="s">
        <v>107</v>
      </c>
      <c r="AH7" t="s">
        <v>102</v>
      </c>
      <c r="AI7" t="s">
        <v>108</v>
      </c>
      <c r="AJ7" t="s">
        <v>63</v>
      </c>
      <c r="AL7" t="s">
        <v>70</v>
      </c>
      <c r="AM7" t="s">
        <v>70</v>
      </c>
      <c r="AN7" t="s">
        <v>78</v>
      </c>
      <c r="AO7" t="s">
        <v>70</v>
      </c>
      <c r="AP7" t="b">
        <v>1</v>
      </c>
      <c r="AQ7" t="s">
        <v>109</v>
      </c>
      <c r="BA7" t="b">
        <v>0</v>
      </c>
    </row>
    <row r="8" spans="1:54" x14ac:dyDescent="0.2">
      <c r="B8" t="s">
        <v>110</v>
      </c>
      <c r="C8" t="s">
        <v>111</v>
      </c>
      <c r="D8" t="s">
        <v>66</v>
      </c>
      <c r="E8">
        <v>1000</v>
      </c>
      <c r="F8" t="s">
        <v>112</v>
      </c>
      <c r="H8" t="s">
        <v>60</v>
      </c>
      <c r="I8" t="s">
        <v>60</v>
      </c>
      <c r="J8" t="s">
        <v>89</v>
      </c>
      <c r="K8" t="s">
        <v>70</v>
      </c>
      <c r="L8" t="s">
        <v>60</v>
      </c>
      <c r="M8" t="s">
        <v>70</v>
      </c>
      <c r="N8" s="1"/>
      <c r="S8" t="s">
        <v>71</v>
      </c>
      <c r="T8" s="1"/>
      <c r="U8" t="s">
        <v>70</v>
      </c>
      <c r="V8" t="s">
        <v>70</v>
      </c>
      <c r="W8" t="s">
        <v>70</v>
      </c>
      <c r="X8" t="s">
        <v>70</v>
      </c>
      <c r="Y8" t="s">
        <v>70</v>
      </c>
      <c r="Z8" t="s">
        <v>70</v>
      </c>
      <c r="AA8" t="s">
        <v>70</v>
      </c>
      <c r="AB8" t="s">
        <v>70</v>
      </c>
      <c r="AD8" s="1"/>
      <c r="AE8" t="s">
        <v>113</v>
      </c>
      <c r="AF8" t="s">
        <v>82</v>
      </c>
      <c r="AG8" t="s">
        <v>114</v>
      </c>
      <c r="AH8" t="s">
        <v>115</v>
      </c>
      <c r="AI8" t="s">
        <v>84</v>
      </c>
      <c r="AJ8" t="s">
        <v>63</v>
      </c>
      <c r="AL8" t="s">
        <v>70</v>
      </c>
      <c r="AM8" t="s">
        <v>70</v>
      </c>
      <c r="AN8" t="s">
        <v>78</v>
      </c>
      <c r="AO8" t="s">
        <v>70</v>
      </c>
      <c r="AP8" t="b">
        <v>1</v>
      </c>
      <c r="AQ8" t="s">
        <v>79</v>
      </c>
      <c r="BA8" t="b">
        <v>0</v>
      </c>
    </row>
    <row r="9" spans="1:54" x14ac:dyDescent="0.2">
      <c r="B9" t="s">
        <v>116</v>
      </c>
      <c r="C9" t="s">
        <v>117</v>
      </c>
      <c r="D9" t="s">
        <v>66</v>
      </c>
      <c r="E9">
        <v>0</v>
      </c>
      <c r="F9" t="s">
        <v>56</v>
      </c>
      <c r="H9" t="s">
        <v>88</v>
      </c>
      <c r="I9" t="s">
        <v>60</v>
      </c>
      <c r="J9" t="s">
        <v>118</v>
      </c>
      <c r="K9" t="s">
        <v>70</v>
      </c>
      <c r="L9" t="s">
        <v>68</v>
      </c>
      <c r="M9" t="s">
        <v>70</v>
      </c>
      <c r="N9" s="1"/>
      <c r="S9" t="s">
        <v>71</v>
      </c>
      <c r="T9" s="1"/>
      <c r="U9" t="s">
        <v>70</v>
      </c>
      <c r="V9" t="s">
        <v>70</v>
      </c>
      <c r="W9" t="s">
        <v>70</v>
      </c>
      <c r="X9" t="s">
        <v>70</v>
      </c>
      <c r="Y9" t="s">
        <v>70</v>
      </c>
      <c r="Z9" t="s">
        <v>70</v>
      </c>
      <c r="AA9" t="s">
        <v>70</v>
      </c>
      <c r="AB9" t="s">
        <v>70</v>
      </c>
      <c r="AD9" s="1"/>
      <c r="AE9" t="s">
        <v>119</v>
      </c>
      <c r="AF9" t="s">
        <v>120</v>
      </c>
      <c r="AG9" t="s">
        <v>121</v>
      </c>
      <c r="AH9" t="s">
        <v>76</v>
      </c>
      <c r="AI9" t="s">
        <v>84</v>
      </c>
      <c r="AJ9" t="s">
        <v>63</v>
      </c>
      <c r="AL9" t="s">
        <v>70</v>
      </c>
      <c r="AM9" t="s">
        <v>70</v>
      </c>
      <c r="AN9" t="s">
        <v>78</v>
      </c>
      <c r="AO9" t="s">
        <v>70</v>
      </c>
      <c r="AP9" t="b">
        <v>1</v>
      </c>
      <c r="AQ9" t="s">
        <v>79</v>
      </c>
      <c r="BA9" t="b">
        <v>0</v>
      </c>
    </row>
    <row r="10" spans="1:54" x14ac:dyDescent="0.2">
      <c r="B10" t="s">
        <v>122</v>
      </c>
      <c r="C10" t="s">
        <v>123</v>
      </c>
      <c r="D10" t="s">
        <v>66</v>
      </c>
      <c r="E10">
        <v>0</v>
      </c>
      <c r="F10" t="s">
        <v>56</v>
      </c>
      <c r="H10" t="s">
        <v>88</v>
      </c>
      <c r="I10" t="s">
        <v>124</v>
      </c>
      <c r="N10" s="1"/>
      <c r="S10" t="s">
        <v>125</v>
      </c>
      <c r="T10" s="1"/>
      <c r="AD10" s="1"/>
      <c r="AF10" t="s">
        <v>126</v>
      </c>
      <c r="AH10" t="s">
        <v>127</v>
      </c>
      <c r="AI10" t="s">
        <v>128</v>
      </c>
      <c r="AJ10" t="s">
        <v>63</v>
      </c>
      <c r="AP10" t="b">
        <v>1</v>
      </c>
      <c r="AQ10" t="s">
        <v>104</v>
      </c>
      <c r="BA10" t="b">
        <v>0</v>
      </c>
    </row>
    <row r="11" spans="1:54" x14ac:dyDescent="0.2">
      <c r="B11" t="s">
        <v>129</v>
      </c>
      <c r="C11" t="s">
        <v>130</v>
      </c>
      <c r="D11" t="s">
        <v>66</v>
      </c>
      <c r="E11">
        <v>0</v>
      </c>
      <c r="F11" t="s">
        <v>67</v>
      </c>
      <c r="H11" t="s">
        <v>60</v>
      </c>
      <c r="I11" t="s">
        <v>60</v>
      </c>
      <c r="K11" t="s">
        <v>70</v>
      </c>
      <c r="M11" t="s">
        <v>70</v>
      </c>
      <c r="N11" s="1"/>
      <c r="S11" t="s">
        <v>71</v>
      </c>
      <c r="T11" s="1"/>
      <c r="U11" t="s">
        <v>70</v>
      </c>
      <c r="V11" t="s">
        <v>131</v>
      </c>
      <c r="W11" t="s">
        <v>132</v>
      </c>
      <c r="X11" t="s">
        <v>70</v>
      </c>
      <c r="Y11" t="s">
        <v>70</v>
      </c>
      <c r="Z11" t="s">
        <v>70</v>
      </c>
      <c r="AA11" t="s">
        <v>70</v>
      </c>
      <c r="AB11" t="s">
        <v>70</v>
      </c>
      <c r="AC11">
        <v>2005</v>
      </c>
      <c r="AD11" s="1">
        <v>38596</v>
      </c>
      <c r="AF11" t="s">
        <v>133</v>
      </c>
      <c r="AH11" t="s">
        <v>83</v>
      </c>
      <c r="AI11" t="s">
        <v>84</v>
      </c>
      <c r="AJ11" t="s">
        <v>63</v>
      </c>
      <c r="AP11" t="b">
        <v>1</v>
      </c>
      <c r="AQ11" t="s">
        <v>79</v>
      </c>
      <c r="BA11" t="b">
        <v>0</v>
      </c>
    </row>
    <row r="12" spans="1:54" x14ac:dyDescent="0.2">
      <c r="B12" t="s">
        <v>134</v>
      </c>
      <c r="C12" t="s">
        <v>135</v>
      </c>
      <c r="E12">
        <v>4800</v>
      </c>
      <c r="H12" t="s">
        <v>88</v>
      </c>
      <c r="I12" t="s">
        <v>60</v>
      </c>
      <c r="J12" t="s">
        <v>89</v>
      </c>
      <c r="K12" t="s">
        <v>70</v>
      </c>
      <c r="L12" t="s">
        <v>68</v>
      </c>
      <c r="M12" t="s">
        <v>70</v>
      </c>
      <c r="N12" s="1"/>
      <c r="S12" t="s">
        <v>71</v>
      </c>
      <c r="T12" s="1"/>
      <c r="U12" t="s">
        <v>70</v>
      </c>
      <c r="V12" t="s">
        <v>136</v>
      </c>
      <c r="W12" t="s">
        <v>70</v>
      </c>
      <c r="X12" t="s">
        <v>70</v>
      </c>
      <c r="Y12" t="s">
        <v>70</v>
      </c>
      <c r="Z12" t="s">
        <v>70</v>
      </c>
      <c r="AA12" t="s">
        <v>70</v>
      </c>
      <c r="AB12" t="s">
        <v>70</v>
      </c>
      <c r="AC12">
        <v>2004</v>
      </c>
      <c r="AD12" s="1"/>
      <c r="AE12" t="s">
        <v>137</v>
      </c>
      <c r="AF12" t="s">
        <v>82</v>
      </c>
      <c r="AG12" t="s">
        <v>138</v>
      </c>
      <c r="AH12" t="s">
        <v>76</v>
      </c>
      <c r="AI12" t="s">
        <v>77</v>
      </c>
      <c r="AJ12" t="s">
        <v>63</v>
      </c>
      <c r="AK12">
        <v>650</v>
      </c>
      <c r="AL12" t="s">
        <v>70</v>
      </c>
      <c r="AM12" t="s">
        <v>70</v>
      </c>
      <c r="AN12" t="s">
        <v>78</v>
      </c>
      <c r="AO12" t="s">
        <v>70</v>
      </c>
      <c r="AP12" t="b">
        <v>1</v>
      </c>
      <c r="AQ12" t="s">
        <v>79</v>
      </c>
      <c r="BA12" t="b">
        <v>0</v>
      </c>
    </row>
    <row r="13" spans="1:54" x14ac:dyDescent="0.2">
      <c r="B13" t="s">
        <v>139</v>
      </c>
      <c r="C13" t="s">
        <v>140</v>
      </c>
      <c r="D13" t="s">
        <v>66</v>
      </c>
      <c r="E13">
        <v>0</v>
      </c>
      <c r="F13" t="s">
        <v>56</v>
      </c>
      <c r="H13" t="s">
        <v>60</v>
      </c>
      <c r="I13" t="s">
        <v>60</v>
      </c>
      <c r="K13" t="s">
        <v>70</v>
      </c>
      <c r="M13" t="s">
        <v>70</v>
      </c>
      <c r="N13" s="1"/>
      <c r="S13" t="s">
        <v>71</v>
      </c>
      <c r="T13" s="1"/>
      <c r="U13" t="s">
        <v>70</v>
      </c>
      <c r="V13" t="s">
        <v>70</v>
      </c>
      <c r="W13" t="s">
        <v>70</v>
      </c>
      <c r="X13" t="s">
        <v>70</v>
      </c>
      <c r="Y13" t="s">
        <v>70</v>
      </c>
      <c r="Z13" t="s">
        <v>70</v>
      </c>
      <c r="AA13" t="s">
        <v>70</v>
      </c>
      <c r="AB13" t="s">
        <v>70</v>
      </c>
      <c r="AD13" s="1"/>
      <c r="AE13" t="s">
        <v>70</v>
      </c>
      <c r="AF13" t="s">
        <v>82</v>
      </c>
      <c r="AG13" t="s">
        <v>141</v>
      </c>
      <c r="AH13" t="s">
        <v>76</v>
      </c>
      <c r="AI13" t="s">
        <v>128</v>
      </c>
      <c r="AJ13" t="s">
        <v>63</v>
      </c>
      <c r="AL13" t="s">
        <v>70</v>
      </c>
      <c r="AM13" t="s">
        <v>70</v>
      </c>
      <c r="AN13" t="s">
        <v>78</v>
      </c>
      <c r="AO13" t="s">
        <v>70</v>
      </c>
      <c r="AP13" t="b">
        <v>1</v>
      </c>
      <c r="AQ13" t="s">
        <v>79</v>
      </c>
      <c r="BA13" t="b">
        <v>0</v>
      </c>
    </row>
    <row r="14" spans="1:54" x14ac:dyDescent="0.2">
      <c r="B14" t="s">
        <v>142</v>
      </c>
      <c r="C14" t="s">
        <v>143</v>
      </c>
      <c r="D14" t="s">
        <v>66</v>
      </c>
      <c r="E14">
        <v>0</v>
      </c>
      <c r="F14" t="s">
        <v>56</v>
      </c>
      <c r="H14" t="s">
        <v>60</v>
      </c>
      <c r="I14" t="s">
        <v>60</v>
      </c>
      <c r="J14" t="s">
        <v>60</v>
      </c>
      <c r="K14" t="s">
        <v>70</v>
      </c>
      <c r="L14" t="s">
        <v>60</v>
      </c>
      <c r="M14" t="s">
        <v>70</v>
      </c>
      <c r="N14" s="1"/>
      <c r="S14" t="s">
        <v>71</v>
      </c>
      <c r="T14" s="1"/>
      <c r="U14" t="s">
        <v>70</v>
      </c>
      <c r="V14" t="s">
        <v>70</v>
      </c>
      <c r="W14" t="s">
        <v>70</v>
      </c>
      <c r="X14" t="s">
        <v>70</v>
      </c>
      <c r="Y14" t="s">
        <v>70</v>
      </c>
      <c r="Z14" t="s">
        <v>70</v>
      </c>
      <c r="AA14" t="s">
        <v>70</v>
      </c>
      <c r="AB14" t="s">
        <v>70</v>
      </c>
      <c r="AD14" s="1"/>
      <c r="AE14" t="s">
        <v>144</v>
      </c>
      <c r="AF14" t="s">
        <v>133</v>
      </c>
      <c r="AG14" t="s">
        <v>145</v>
      </c>
      <c r="AH14" t="s">
        <v>83</v>
      </c>
      <c r="AI14" t="s">
        <v>84</v>
      </c>
      <c r="AJ14" t="s">
        <v>63</v>
      </c>
      <c r="AL14" t="s">
        <v>70</v>
      </c>
      <c r="AM14" t="s">
        <v>70</v>
      </c>
      <c r="AN14" t="s">
        <v>78</v>
      </c>
      <c r="AO14" t="s">
        <v>70</v>
      </c>
      <c r="AP14" t="b">
        <v>1</v>
      </c>
      <c r="AQ14" t="s">
        <v>79</v>
      </c>
      <c r="BA14" t="b">
        <v>0</v>
      </c>
    </row>
    <row r="15" spans="1:54" x14ac:dyDescent="0.2">
      <c r="B15" t="s">
        <v>146</v>
      </c>
      <c r="C15" t="s">
        <v>147</v>
      </c>
      <c r="D15" t="s">
        <v>66</v>
      </c>
      <c r="H15" t="s">
        <v>60</v>
      </c>
      <c r="I15" t="s">
        <v>60</v>
      </c>
      <c r="J15" t="s">
        <v>70</v>
      </c>
      <c r="K15" t="s">
        <v>70</v>
      </c>
      <c r="L15" t="s">
        <v>60</v>
      </c>
      <c r="M15" t="s">
        <v>70</v>
      </c>
      <c r="N15" s="1"/>
      <c r="S15" t="s">
        <v>125</v>
      </c>
      <c r="T15" s="1"/>
      <c r="U15" t="s">
        <v>70</v>
      </c>
      <c r="V15" t="s">
        <v>70</v>
      </c>
      <c r="W15" t="s">
        <v>70</v>
      </c>
      <c r="X15" t="s">
        <v>70</v>
      </c>
      <c r="Y15" t="s">
        <v>70</v>
      </c>
      <c r="Z15" t="s">
        <v>70</v>
      </c>
      <c r="AA15" t="s">
        <v>70</v>
      </c>
      <c r="AB15" t="s">
        <v>70</v>
      </c>
      <c r="AD15" s="1"/>
      <c r="AE15" t="s">
        <v>70</v>
      </c>
      <c r="AF15" t="s">
        <v>70</v>
      </c>
      <c r="AG15" t="s">
        <v>148</v>
      </c>
      <c r="AH15" t="s">
        <v>149</v>
      </c>
      <c r="AI15" t="s">
        <v>128</v>
      </c>
      <c r="AJ15" t="s">
        <v>63</v>
      </c>
      <c r="AL15" t="s">
        <v>70</v>
      </c>
      <c r="AM15" t="s">
        <v>70</v>
      </c>
      <c r="AN15" t="s">
        <v>78</v>
      </c>
      <c r="AO15" t="s">
        <v>70</v>
      </c>
      <c r="AP15" t="b">
        <v>0</v>
      </c>
      <c r="AQ15" t="s">
        <v>79</v>
      </c>
      <c r="BA15" t="b">
        <v>0</v>
      </c>
    </row>
    <row r="16" spans="1:54" x14ac:dyDescent="0.2">
      <c r="B16" t="s">
        <v>150</v>
      </c>
      <c r="C16" t="s">
        <v>151</v>
      </c>
      <c r="D16" t="s">
        <v>66</v>
      </c>
      <c r="E16">
        <v>0</v>
      </c>
      <c r="F16" t="s">
        <v>56</v>
      </c>
      <c r="H16" t="s">
        <v>88</v>
      </c>
      <c r="I16" t="s">
        <v>88</v>
      </c>
      <c r="N16" s="1"/>
      <c r="S16" t="s">
        <v>71</v>
      </c>
      <c r="T16" s="1"/>
      <c r="AD16" s="1"/>
      <c r="AF16" t="s">
        <v>82</v>
      </c>
      <c r="AH16" t="s">
        <v>102</v>
      </c>
      <c r="AI16" t="s">
        <v>128</v>
      </c>
      <c r="AJ16" t="s">
        <v>63</v>
      </c>
      <c r="AP16" t="b">
        <v>1</v>
      </c>
      <c r="AQ16" t="s">
        <v>79</v>
      </c>
      <c r="BA16" t="b">
        <v>0</v>
      </c>
    </row>
    <row r="17" spans="2:54" x14ac:dyDescent="0.2">
      <c r="B17" t="s">
        <v>152</v>
      </c>
      <c r="C17" t="s">
        <v>153</v>
      </c>
      <c r="D17" t="s">
        <v>66</v>
      </c>
      <c r="H17" t="s">
        <v>88</v>
      </c>
      <c r="I17" t="s">
        <v>88</v>
      </c>
      <c r="J17" t="s">
        <v>154</v>
      </c>
      <c r="L17" t="s">
        <v>155</v>
      </c>
      <c r="N17" s="1"/>
      <c r="S17" t="s">
        <v>71</v>
      </c>
      <c r="T17" s="1"/>
      <c r="AD17" s="1"/>
      <c r="AF17" t="s">
        <v>82</v>
      </c>
      <c r="AH17" t="s">
        <v>156</v>
      </c>
      <c r="AI17" t="s">
        <v>128</v>
      </c>
      <c r="AJ17" t="s">
        <v>63</v>
      </c>
      <c r="AP17" t="b">
        <v>1</v>
      </c>
      <c r="AQ17" t="s">
        <v>79</v>
      </c>
      <c r="BA17" t="b">
        <v>0</v>
      </c>
    </row>
    <row r="18" spans="2:54" x14ac:dyDescent="0.2">
      <c r="B18" t="s">
        <v>157</v>
      </c>
      <c r="C18" t="s">
        <v>158</v>
      </c>
      <c r="D18" t="s">
        <v>66</v>
      </c>
      <c r="H18" t="s">
        <v>88</v>
      </c>
      <c r="I18" t="s">
        <v>88</v>
      </c>
      <c r="N18" s="1"/>
      <c r="S18" t="s">
        <v>71</v>
      </c>
      <c r="T18" s="1"/>
      <c r="AD18" s="1"/>
      <c r="AF18" t="s">
        <v>82</v>
      </c>
      <c r="AH18" t="s">
        <v>83</v>
      </c>
      <c r="AI18" t="s">
        <v>128</v>
      </c>
      <c r="AJ18" t="s">
        <v>63</v>
      </c>
      <c r="AP18" t="b">
        <v>1</v>
      </c>
      <c r="AQ18" t="s">
        <v>79</v>
      </c>
      <c r="BA18" t="b">
        <v>0</v>
      </c>
    </row>
    <row r="19" spans="2:54" x14ac:dyDescent="0.2">
      <c r="B19" t="s">
        <v>159</v>
      </c>
      <c r="C19" t="s">
        <v>160</v>
      </c>
      <c r="D19" t="s">
        <v>66</v>
      </c>
      <c r="H19" t="s">
        <v>88</v>
      </c>
      <c r="I19" t="s">
        <v>88</v>
      </c>
      <c r="N19" s="1"/>
      <c r="S19" t="s">
        <v>125</v>
      </c>
      <c r="T19" s="1"/>
      <c r="AD19" s="1"/>
      <c r="AH19" t="s">
        <v>115</v>
      </c>
      <c r="AI19" t="s">
        <v>128</v>
      </c>
      <c r="AJ19" t="s">
        <v>63</v>
      </c>
      <c r="AP19" t="b">
        <v>1</v>
      </c>
      <c r="AQ19" t="s">
        <v>79</v>
      </c>
      <c r="BA19" t="b">
        <v>0</v>
      </c>
    </row>
    <row r="20" spans="2:54" x14ac:dyDescent="0.2">
      <c r="B20" t="s">
        <v>161</v>
      </c>
      <c r="C20" t="s">
        <v>162</v>
      </c>
      <c r="D20" t="s">
        <v>66</v>
      </c>
      <c r="E20">
        <v>1800</v>
      </c>
      <c r="F20" t="s">
        <v>163</v>
      </c>
      <c r="H20" t="s">
        <v>88</v>
      </c>
      <c r="I20" t="s">
        <v>88</v>
      </c>
      <c r="J20" t="s">
        <v>118</v>
      </c>
      <c r="L20" t="s">
        <v>68</v>
      </c>
      <c r="N20" s="1"/>
      <c r="S20" t="s">
        <v>71</v>
      </c>
      <c r="T20" s="1"/>
      <c r="AD20" s="1"/>
      <c r="AF20" t="s">
        <v>82</v>
      </c>
      <c r="AH20" t="s">
        <v>164</v>
      </c>
      <c r="AI20" t="s">
        <v>84</v>
      </c>
      <c r="AJ20" t="s">
        <v>63</v>
      </c>
      <c r="AP20" t="b">
        <v>1</v>
      </c>
      <c r="AQ20" t="s">
        <v>79</v>
      </c>
      <c r="BA20" t="b">
        <v>0</v>
      </c>
    </row>
    <row r="21" spans="2:54" x14ac:dyDescent="0.2">
      <c r="B21" t="s">
        <v>165</v>
      </c>
      <c r="C21" t="s">
        <v>166</v>
      </c>
      <c r="D21" t="s">
        <v>66</v>
      </c>
      <c r="H21" t="s">
        <v>88</v>
      </c>
      <c r="I21" t="s">
        <v>88</v>
      </c>
      <c r="N21" s="1"/>
      <c r="S21" t="s">
        <v>71</v>
      </c>
      <c r="T21" s="1"/>
      <c r="AD21" s="1"/>
      <c r="AF21" t="s">
        <v>82</v>
      </c>
      <c r="AH21" t="s">
        <v>156</v>
      </c>
      <c r="AI21" t="s">
        <v>84</v>
      </c>
      <c r="AJ21" t="s">
        <v>63</v>
      </c>
      <c r="AP21" t="b">
        <v>1</v>
      </c>
      <c r="AQ21" t="s">
        <v>79</v>
      </c>
      <c r="BA21" t="b">
        <v>0</v>
      </c>
    </row>
    <row r="22" spans="2:54" x14ac:dyDescent="0.2">
      <c r="B22" t="s">
        <v>167</v>
      </c>
      <c r="C22" t="s">
        <v>168</v>
      </c>
      <c r="D22" t="s">
        <v>66</v>
      </c>
      <c r="E22">
        <v>2823</v>
      </c>
      <c r="F22" t="s">
        <v>169</v>
      </c>
      <c r="H22" t="s">
        <v>60</v>
      </c>
      <c r="I22" t="s">
        <v>60</v>
      </c>
      <c r="J22" t="s">
        <v>170</v>
      </c>
      <c r="K22" t="s">
        <v>70</v>
      </c>
      <c r="L22" t="s">
        <v>60</v>
      </c>
      <c r="M22" t="s">
        <v>70</v>
      </c>
      <c r="N22" s="1"/>
      <c r="S22" t="s">
        <v>71</v>
      </c>
      <c r="T22" s="1"/>
      <c r="U22" t="s">
        <v>70</v>
      </c>
      <c r="V22" t="s">
        <v>171</v>
      </c>
      <c r="W22" t="s">
        <v>172</v>
      </c>
      <c r="X22" t="s">
        <v>70</v>
      </c>
      <c r="Y22" t="s">
        <v>70</v>
      </c>
      <c r="Z22" t="s">
        <v>70</v>
      </c>
      <c r="AA22" t="s">
        <v>70</v>
      </c>
      <c r="AB22" t="s">
        <v>70</v>
      </c>
      <c r="AC22">
        <v>2006</v>
      </c>
      <c r="AD22" s="1">
        <v>38718</v>
      </c>
      <c r="AE22" t="s">
        <v>173</v>
      </c>
      <c r="AF22" t="s">
        <v>174</v>
      </c>
      <c r="AG22" t="s">
        <v>175</v>
      </c>
      <c r="AH22" t="s">
        <v>83</v>
      </c>
      <c r="AI22" t="s">
        <v>84</v>
      </c>
      <c r="AJ22" t="s">
        <v>176</v>
      </c>
      <c r="AK22">
        <v>480</v>
      </c>
      <c r="AL22" t="s">
        <v>70</v>
      </c>
      <c r="AM22" t="s">
        <v>70</v>
      </c>
      <c r="AN22" t="s">
        <v>78</v>
      </c>
      <c r="AO22" t="s">
        <v>70</v>
      </c>
      <c r="AP22" t="b">
        <v>1</v>
      </c>
      <c r="AQ22" t="s">
        <v>79</v>
      </c>
      <c r="AR22" t="s">
        <v>177</v>
      </c>
      <c r="BA22" t="b">
        <v>0</v>
      </c>
    </row>
    <row r="23" spans="2:54" x14ac:dyDescent="0.2">
      <c r="B23" t="s">
        <v>178</v>
      </c>
      <c r="C23" t="s">
        <v>179</v>
      </c>
      <c r="D23" t="s">
        <v>66</v>
      </c>
      <c r="H23" t="s">
        <v>88</v>
      </c>
      <c r="I23" t="s">
        <v>124</v>
      </c>
      <c r="N23" s="1"/>
      <c r="S23" t="s">
        <v>125</v>
      </c>
      <c r="T23" s="1"/>
      <c r="AD23" s="1"/>
      <c r="AF23" t="s">
        <v>82</v>
      </c>
      <c r="AH23" t="s">
        <v>83</v>
      </c>
      <c r="AI23" t="s">
        <v>128</v>
      </c>
      <c r="AJ23" t="s">
        <v>63</v>
      </c>
      <c r="AP23" t="b">
        <v>1</v>
      </c>
      <c r="AQ23" t="s">
        <v>79</v>
      </c>
      <c r="BA23" t="b">
        <v>0</v>
      </c>
    </row>
    <row r="24" spans="2:54" x14ac:dyDescent="0.2">
      <c r="B24" t="s">
        <v>180</v>
      </c>
      <c r="C24" t="s">
        <v>181</v>
      </c>
      <c r="D24" t="s">
        <v>66</v>
      </c>
      <c r="E24">
        <v>0</v>
      </c>
      <c r="F24" t="s">
        <v>56</v>
      </c>
      <c r="H24" t="s">
        <v>88</v>
      </c>
      <c r="I24" t="s">
        <v>88</v>
      </c>
      <c r="N24" s="1"/>
      <c r="S24" t="s">
        <v>71</v>
      </c>
      <c r="T24" s="1"/>
      <c r="AD24" s="1"/>
      <c r="AF24" t="s">
        <v>120</v>
      </c>
      <c r="AH24" t="s">
        <v>76</v>
      </c>
      <c r="AI24" t="s">
        <v>84</v>
      </c>
      <c r="AJ24" t="s">
        <v>63</v>
      </c>
      <c r="AP24" t="b">
        <v>1</v>
      </c>
      <c r="AQ24" t="s">
        <v>79</v>
      </c>
      <c r="BA24" t="b">
        <v>0</v>
      </c>
    </row>
    <row r="25" spans="2:54" x14ac:dyDescent="0.2">
      <c r="B25" t="s">
        <v>182</v>
      </c>
      <c r="C25" t="s">
        <v>183</v>
      </c>
      <c r="D25" t="s">
        <v>66</v>
      </c>
      <c r="H25" t="s">
        <v>88</v>
      </c>
      <c r="I25" t="s">
        <v>88</v>
      </c>
      <c r="N25" s="1"/>
      <c r="S25" t="s">
        <v>71</v>
      </c>
      <c r="T25" s="1"/>
      <c r="AD25" s="1"/>
      <c r="AF25" t="s">
        <v>82</v>
      </c>
      <c r="AH25" t="s">
        <v>184</v>
      </c>
      <c r="AI25" t="s">
        <v>128</v>
      </c>
      <c r="AJ25" t="s">
        <v>63</v>
      </c>
      <c r="AP25" t="b">
        <v>1</v>
      </c>
      <c r="AQ25" t="s">
        <v>79</v>
      </c>
      <c r="BA25" t="b">
        <v>0</v>
      </c>
    </row>
    <row r="26" spans="2:54" x14ac:dyDescent="0.2">
      <c r="B26" t="s">
        <v>185</v>
      </c>
      <c r="C26" t="s">
        <v>186</v>
      </c>
      <c r="D26" t="s">
        <v>66</v>
      </c>
      <c r="E26">
        <v>0</v>
      </c>
      <c r="F26" t="s">
        <v>56</v>
      </c>
      <c r="H26" t="s">
        <v>88</v>
      </c>
      <c r="I26" t="s">
        <v>88</v>
      </c>
      <c r="N26" s="1"/>
      <c r="S26" t="s">
        <v>71</v>
      </c>
      <c r="T26" s="1"/>
      <c r="AD26" s="1"/>
      <c r="AH26" t="s">
        <v>156</v>
      </c>
      <c r="AI26" t="s">
        <v>128</v>
      </c>
      <c r="AJ26" t="s">
        <v>63</v>
      </c>
      <c r="AP26" t="b">
        <v>1</v>
      </c>
      <c r="AQ26" t="s">
        <v>79</v>
      </c>
      <c r="BA26" t="b">
        <v>0</v>
      </c>
    </row>
    <row r="27" spans="2:54" x14ac:dyDescent="0.2">
      <c r="B27" t="s">
        <v>187</v>
      </c>
      <c r="C27" t="s">
        <v>188</v>
      </c>
      <c r="D27" t="s">
        <v>66</v>
      </c>
      <c r="H27" t="s">
        <v>88</v>
      </c>
      <c r="I27" t="s">
        <v>68</v>
      </c>
      <c r="N27" s="1"/>
      <c r="S27" t="s">
        <v>71</v>
      </c>
      <c r="T27" s="1"/>
      <c r="AD27" s="1"/>
      <c r="AH27" t="s">
        <v>164</v>
      </c>
      <c r="AI27" t="s">
        <v>128</v>
      </c>
      <c r="AJ27" t="s">
        <v>63</v>
      </c>
      <c r="AP27" t="b">
        <v>1</v>
      </c>
      <c r="AQ27" t="s">
        <v>79</v>
      </c>
      <c r="BA27" t="b">
        <v>0</v>
      </c>
    </row>
    <row r="28" spans="2:54" x14ac:dyDescent="0.2">
      <c r="B28" t="s">
        <v>189</v>
      </c>
      <c r="C28" t="s">
        <v>190</v>
      </c>
      <c r="D28" t="s">
        <v>66</v>
      </c>
      <c r="E28">
        <v>0</v>
      </c>
      <c r="F28" t="s">
        <v>56</v>
      </c>
      <c r="H28" t="s">
        <v>88</v>
      </c>
      <c r="I28" t="s">
        <v>98</v>
      </c>
      <c r="N28" s="1"/>
      <c r="S28" t="s">
        <v>71</v>
      </c>
      <c r="T28" s="1"/>
      <c r="AD28" s="1"/>
      <c r="AF28" t="s">
        <v>82</v>
      </c>
      <c r="AH28" t="s">
        <v>164</v>
      </c>
      <c r="AI28" t="s">
        <v>84</v>
      </c>
      <c r="AJ28" t="s">
        <v>63</v>
      </c>
      <c r="AP28" t="b">
        <v>1</v>
      </c>
      <c r="AQ28" t="s">
        <v>79</v>
      </c>
      <c r="BA28" t="b">
        <v>0</v>
      </c>
    </row>
    <row r="29" spans="2:54" x14ac:dyDescent="0.2">
      <c r="B29" t="s">
        <v>191</v>
      </c>
      <c r="C29" t="s">
        <v>192</v>
      </c>
      <c r="D29" t="s">
        <v>66</v>
      </c>
      <c r="E29">
        <v>0</v>
      </c>
      <c r="F29" t="s">
        <v>56</v>
      </c>
      <c r="H29" t="s">
        <v>88</v>
      </c>
      <c r="I29" t="s">
        <v>98</v>
      </c>
      <c r="N29" s="1"/>
      <c r="S29" t="s">
        <v>71</v>
      </c>
      <c r="T29" s="1"/>
      <c r="AD29" s="1"/>
      <c r="AF29" t="s">
        <v>82</v>
      </c>
      <c r="AH29" t="s">
        <v>164</v>
      </c>
      <c r="AI29" t="s">
        <v>84</v>
      </c>
      <c r="AJ29" t="s">
        <v>63</v>
      </c>
      <c r="AP29" t="b">
        <v>1</v>
      </c>
      <c r="AQ29" t="s">
        <v>79</v>
      </c>
      <c r="BA29" t="b">
        <v>0</v>
      </c>
      <c r="BB29" t="s">
        <v>70</v>
      </c>
    </row>
    <row r="30" spans="2:54" x14ac:dyDescent="0.2">
      <c r="B30" t="s">
        <v>193</v>
      </c>
      <c r="C30" t="s">
        <v>194</v>
      </c>
      <c r="D30" t="s">
        <v>66</v>
      </c>
      <c r="H30" t="s">
        <v>60</v>
      </c>
      <c r="I30" t="s">
        <v>60</v>
      </c>
      <c r="L30" t="s">
        <v>155</v>
      </c>
      <c r="N30" s="1"/>
      <c r="S30" t="s">
        <v>71</v>
      </c>
      <c r="T30" s="1"/>
      <c r="AD30" s="1"/>
      <c r="AF30" t="s">
        <v>195</v>
      </c>
      <c r="AH30" t="s">
        <v>149</v>
      </c>
      <c r="AI30" t="s">
        <v>128</v>
      </c>
      <c r="AJ30" t="s">
        <v>63</v>
      </c>
      <c r="AP30" t="b">
        <v>0</v>
      </c>
      <c r="AQ30" t="s">
        <v>79</v>
      </c>
      <c r="BA30" t="b">
        <v>0</v>
      </c>
    </row>
    <row r="31" spans="2:54" x14ac:dyDescent="0.2">
      <c r="B31" t="s">
        <v>196</v>
      </c>
      <c r="C31" t="s">
        <v>197</v>
      </c>
      <c r="D31" t="s">
        <v>66</v>
      </c>
      <c r="F31" t="s">
        <v>198</v>
      </c>
      <c r="H31" t="s">
        <v>88</v>
      </c>
      <c r="I31" t="s">
        <v>68</v>
      </c>
      <c r="K31" t="s">
        <v>70</v>
      </c>
      <c r="L31" t="s">
        <v>68</v>
      </c>
      <c r="M31" t="s">
        <v>70</v>
      </c>
      <c r="N31" s="1"/>
      <c r="S31" t="s">
        <v>71</v>
      </c>
      <c r="T31" s="1"/>
      <c r="U31" t="s">
        <v>70</v>
      </c>
      <c r="V31" t="s">
        <v>199</v>
      </c>
      <c r="W31" t="s">
        <v>200</v>
      </c>
      <c r="X31" t="s">
        <v>70</v>
      </c>
      <c r="Y31" t="s">
        <v>70</v>
      </c>
      <c r="Z31" t="s">
        <v>70</v>
      </c>
      <c r="AA31" t="s">
        <v>70</v>
      </c>
      <c r="AB31" t="s">
        <v>70</v>
      </c>
      <c r="AC31">
        <v>2004</v>
      </c>
      <c r="AD31" s="1"/>
      <c r="AE31" t="s">
        <v>70</v>
      </c>
      <c r="AF31" t="s">
        <v>174</v>
      </c>
      <c r="AG31" t="s">
        <v>201</v>
      </c>
      <c r="AH31" t="s">
        <v>83</v>
      </c>
      <c r="AI31" t="s">
        <v>128</v>
      </c>
      <c r="AJ31" t="s">
        <v>202</v>
      </c>
      <c r="AL31" t="s">
        <v>70</v>
      </c>
      <c r="AM31" t="s">
        <v>70</v>
      </c>
      <c r="AN31" t="s">
        <v>78</v>
      </c>
      <c r="AO31" t="s">
        <v>70</v>
      </c>
      <c r="AP31" t="b">
        <v>1</v>
      </c>
      <c r="AQ31" t="s">
        <v>79</v>
      </c>
      <c r="BA31" t="b">
        <v>0</v>
      </c>
    </row>
    <row r="32" spans="2:54" x14ac:dyDescent="0.2">
      <c r="B32" t="s">
        <v>203</v>
      </c>
      <c r="C32" t="s">
        <v>204</v>
      </c>
      <c r="D32" t="s">
        <v>66</v>
      </c>
      <c r="E32">
        <v>6864</v>
      </c>
      <c r="F32" t="s">
        <v>205</v>
      </c>
      <c r="H32" t="s">
        <v>60</v>
      </c>
      <c r="I32" t="s">
        <v>60</v>
      </c>
      <c r="J32" t="s">
        <v>118</v>
      </c>
      <c r="K32" t="s">
        <v>70</v>
      </c>
      <c r="L32" t="s">
        <v>68</v>
      </c>
      <c r="M32" t="s">
        <v>60</v>
      </c>
      <c r="N32" s="1"/>
      <c r="S32" t="s">
        <v>71</v>
      </c>
      <c r="T32" s="1"/>
      <c r="U32" t="s">
        <v>70</v>
      </c>
      <c r="V32" t="s">
        <v>206</v>
      </c>
      <c r="W32" t="s">
        <v>207</v>
      </c>
      <c r="X32" t="s">
        <v>208</v>
      </c>
      <c r="Y32" t="s">
        <v>209</v>
      </c>
      <c r="Z32" t="s">
        <v>70</v>
      </c>
      <c r="AA32" t="s">
        <v>70</v>
      </c>
      <c r="AB32" t="s">
        <v>70</v>
      </c>
      <c r="AC32">
        <v>2006</v>
      </c>
      <c r="AD32" s="1">
        <v>38930</v>
      </c>
      <c r="AE32" t="s">
        <v>210</v>
      </c>
      <c r="AF32" t="s">
        <v>211</v>
      </c>
      <c r="AG32" t="s">
        <v>212</v>
      </c>
      <c r="AH32" t="s">
        <v>76</v>
      </c>
      <c r="AI32" t="s">
        <v>84</v>
      </c>
      <c r="AJ32" t="s">
        <v>63</v>
      </c>
      <c r="AK32">
        <v>750</v>
      </c>
      <c r="AL32" t="s">
        <v>70</v>
      </c>
      <c r="AM32" t="s">
        <v>70</v>
      </c>
      <c r="AN32" t="s">
        <v>78</v>
      </c>
      <c r="AO32" t="s">
        <v>70</v>
      </c>
      <c r="AP32" t="b">
        <v>1</v>
      </c>
      <c r="AQ32" t="s">
        <v>79</v>
      </c>
      <c r="AR32" t="s">
        <v>213</v>
      </c>
      <c r="AT32" t="s">
        <v>214</v>
      </c>
      <c r="BA32" t="b">
        <v>0</v>
      </c>
    </row>
    <row r="33" spans="2:54" x14ac:dyDescent="0.2">
      <c r="B33" t="s">
        <v>215</v>
      </c>
      <c r="C33" t="s">
        <v>216</v>
      </c>
      <c r="D33" t="s">
        <v>217</v>
      </c>
      <c r="E33">
        <v>6135</v>
      </c>
      <c r="F33" t="s">
        <v>218</v>
      </c>
      <c r="H33" t="s">
        <v>60</v>
      </c>
      <c r="I33" t="s">
        <v>219</v>
      </c>
      <c r="J33" t="s">
        <v>220</v>
      </c>
      <c r="K33" t="s">
        <v>70</v>
      </c>
      <c r="L33" t="s">
        <v>219</v>
      </c>
      <c r="M33" t="s">
        <v>70</v>
      </c>
      <c r="N33" s="1"/>
      <c r="S33" t="s">
        <v>71</v>
      </c>
      <c r="T33" s="1"/>
      <c r="U33" t="s">
        <v>70</v>
      </c>
      <c r="V33" t="s">
        <v>221</v>
      </c>
      <c r="W33" t="s">
        <v>222</v>
      </c>
      <c r="X33" t="s">
        <v>223</v>
      </c>
      <c r="Y33" t="s">
        <v>224</v>
      </c>
      <c r="Z33" t="s">
        <v>225</v>
      </c>
      <c r="AA33" t="s">
        <v>226</v>
      </c>
      <c r="AB33" t="s">
        <v>70</v>
      </c>
      <c r="AC33">
        <v>2008</v>
      </c>
      <c r="AD33" s="1">
        <v>39598</v>
      </c>
      <c r="AE33" t="s">
        <v>227</v>
      </c>
      <c r="AF33" t="s">
        <v>82</v>
      </c>
      <c r="AG33" t="s">
        <v>228</v>
      </c>
      <c r="AH33" t="s">
        <v>76</v>
      </c>
      <c r="AI33" t="s">
        <v>84</v>
      </c>
      <c r="AJ33" t="s">
        <v>229</v>
      </c>
      <c r="AK33">
        <v>650</v>
      </c>
      <c r="AL33" t="s">
        <v>70</v>
      </c>
      <c r="AM33" t="s">
        <v>70</v>
      </c>
      <c r="AN33" t="s">
        <v>78</v>
      </c>
      <c r="AO33" t="s">
        <v>70</v>
      </c>
      <c r="AP33" t="b">
        <v>1</v>
      </c>
      <c r="AQ33" t="s">
        <v>79</v>
      </c>
      <c r="AR33" t="s">
        <v>230</v>
      </c>
      <c r="BA33" t="b">
        <v>0</v>
      </c>
      <c r="BB33" t="s">
        <v>231</v>
      </c>
    </row>
    <row r="34" spans="2:54" x14ac:dyDescent="0.2">
      <c r="B34" t="s">
        <v>232</v>
      </c>
      <c r="C34" t="s">
        <v>233</v>
      </c>
      <c r="D34" t="s">
        <v>66</v>
      </c>
      <c r="E34">
        <v>1700</v>
      </c>
      <c r="F34" t="s">
        <v>234</v>
      </c>
      <c r="H34" t="s">
        <v>60</v>
      </c>
      <c r="I34" t="s">
        <v>60</v>
      </c>
      <c r="J34" t="s">
        <v>60</v>
      </c>
      <c r="K34" t="s">
        <v>70</v>
      </c>
      <c r="L34" t="s">
        <v>60</v>
      </c>
      <c r="M34" t="s">
        <v>70</v>
      </c>
      <c r="N34" s="1"/>
      <c r="S34" t="s">
        <v>71</v>
      </c>
      <c r="T34" s="1"/>
      <c r="U34" t="s">
        <v>70</v>
      </c>
      <c r="V34" t="s">
        <v>235</v>
      </c>
      <c r="W34" t="s">
        <v>236</v>
      </c>
      <c r="X34" t="s">
        <v>70</v>
      </c>
      <c r="Y34" t="s">
        <v>70</v>
      </c>
      <c r="Z34" t="s">
        <v>70</v>
      </c>
      <c r="AA34" t="s">
        <v>70</v>
      </c>
      <c r="AB34" t="s">
        <v>70</v>
      </c>
      <c r="AC34">
        <v>2003</v>
      </c>
      <c r="AD34" s="1">
        <v>37865</v>
      </c>
      <c r="AE34" t="s">
        <v>237</v>
      </c>
      <c r="AF34" t="s">
        <v>120</v>
      </c>
      <c r="AG34" t="s">
        <v>238</v>
      </c>
      <c r="AH34" t="s">
        <v>83</v>
      </c>
      <c r="AI34" t="s">
        <v>84</v>
      </c>
      <c r="AJ34" t="s">
        <v>63</v>
      </c>
      <c r="AK34">
        <v>240</v>
      </c>
      <c r="AL34" t="s">
        <v>70</v>
      </c>
      <c r="AM34" t="s">
        <v>239</v>
      </c>
      <c r="AN34" t="s">
        <v>78</v>
      </c>
      <c r="AO34" t="s">
        <v>70</v>
      </c>
      <c r="AP34" t="b">
        <v>1</v>
      </c>
      <c r="AQ34" t="s">
        <v>79</v>
      </c>
      <c r="AR34" t="s">
        <v>230</v>
      </c>
      <c r="BA34" t="b">
        <v>0</v>
      </c>
    </row>
    <row r="35" spans="2:54" x14ac:dyDescent="0.2">
      <c r="B35" t="s">
        <v>240</v>
      </c>
      <c r="C35" t="s">
        <v>241</v>
      </c>
      <c r="D35" t="s">
        <v>66</v>
      </c>
      <c r="E35">
        <v>5490</v>
      </c>
      <c r="F35" t="s">
        <v>242</v>
      </c>
      <c r="H35" t="s">
        <v>60</v>
      </c>
      <c r="I35" t="s">
        <v>60</v>
      </c>
      <c r="J35" t="s">
        <v>243</v>
      </c>
      <c r="K35" t="s">
        <v>70</v>
      </c>
      <c r="L35" t="s">
        <v>244</v>
      </c>
      <c r="M35" t="s">
        <v>70</v>
      </c>
      <c r="N35" s="1"/>
      <c r="S35" t="s">
        <v>71</v>
      </c>
      <c r="T35" s="1"/>
      <c r="U35" t="s">
        <v>70</v>
      </c>
      <c r="V35" t="s">
        <v>245</v>
      </c>
      <c r="W35" t="s">
        <v>246</v>
      </c>
      <c r="X35" t="s">
        <v>70</v>
      </c>
      <c r="Y35" t="s">
        <v>70</v>
      </c>
      <c r="Z35" t="s">
        <v>70</v>
      </c>
      <c r="AA35" t="s">
        <v>70</v>
      </c>
      <c r="AB35" t="s">
        <v>70</v>
      </c>
      <c r="AC35">
        <v>2006</v>
      </c>
      <c r="AD35" s="1">
        <v>38718</v>
      </c>
      <c r="AE35" t="s">
        <v>247</v>
      </c>
      <c r="AF35" t="s">
        <v>248</v>
      </c>
      <c r="AG35" t="s">
        <v>249</v>
      </c>
      <c r="AH35" t="s">
        <v>76</v>
      </c>
      <c r="AI35" t="s">
        <v>77</v>
      </c>
      <c r="AJ35" t="s">
        <v>250</v>
      </c>
      <c r="AK35">
        <v>650</v>
      </c>
      <c r="AL35" t="s">
        <v>70</v>
      </c>
      <c r="AM35" t="s">
        <v>70</v>
      </c>
      <c r="AN35" t="s">
        <v>78</v>
      </c>
      <c r="AO35" t="s">
        <v>70</v>
      </c>
      <c r="AP35" t="b">
        <v>1</v>
      </c>
      <c r="AQ35" t="s">
        <v>79</v>
      </c>
      <c r="AR35" t="s">
        <v>251</v>
      </c>
      <c r="AT35" t="s">
        <v>252</v>
      </c>
      <c r="BA35" t="b">
        <v>0</v>
      </c>
    </row>
    <row r="36" spans="2:54" x14ac:dyDescent="0.2">
      <c r="B36" t="s">
        <v>253</v>
      </c>
      <c r="C36" t="s">
        <v>254</v>
      </c>
      <c r="D36" t="s">
        <v>66</v>
      </c>
      <c r="E36">
        <v>0</v>
      </c>
      <c r="F36" t="s">
        <v>67</v>
      </c>
      <c r="H36" t="s">
        <v>88</v>
      </c>
      <c r="I36" t="s">
        <v>88</v>
      </c>
      <c r="K36" t="s">
        <v>70</v>
      </c>
      <c r="M36" t="s">
        <v>70</v>
      </c>
      <c r="N36" s="1"/>
      <c r="S36" t="s">
        <v>125</v>
      </c>
      <c r="T36" s="1"/>
      <c r="U36" t="s">
        <v>70</v>
      </c>
      <c r="V36" t="s">
        <v>70</v>
      </c>
      <c r="W36" t="s">
        <v>70</v>
      </c>
      <c r="X36" t="s">
        <v>70</v>
      </c>
      <c r="Y36" t="s">
        <v>70</v>
      </c>
      <c r="Z36" t="s">
        <v>70</v>
      </c>
      <c r="AA36" t="s">
        <v>70</v>
      </c>
      <c r="AB36" t="s">
        <v>70</v>
      </c>
      <c r="AD36" s="1"/>
      <c r="AF36" t="s">
        <v>82</v>
      </c>
      <c r="AH36" t="s">
        <v>83</v>
      </c>
      <c r="AI36" t="s">
        <v>128</v>
      </c>
      <c r="AJ36" t="s">
        <v>63</v>
      </c>
      <c r="AP36" t="b">
        <v>1</v>
      </c>
      <c r="AQ36" t="s">
        <v>79</v>
      </c>
      <c r="BA36" t="b">
        <v>0</v>
      </c>
    </row>
    <row r="37" spans="2:54" x14ac:dyDescent="0.2">
      <c r="B37" t="s">
        <v>255</v>
      </c>
      <c r="C37" t="s">
        <v>256</v>
      </c>
      <c r="D37" t="s">
        <v>66</v>
      </c>
      <c r="H37" t="s">
        <v>60</v>
      </c>
      <c r="I37" t="s">
        <v>60</v>
      </c>
      <c r="L37" t="s">
        <v>60</v>
      </c>
      <c r="N37" s="1"/>
      <c r="S37" t="s">
        <v>125</v>
      </c>
      <c r="T37" s="1"/>
      <c r="AD37" s="1"/>
      <c r="AH37" t="s">
        <v>149</v>
      </c>
      <c r="AI37" t="s">
        <v>128</v>
      </c>
      <c r="AJ37" t="s">
        <v>63</v>
      </c>
      <c r="AP37" t="b">
        <v>0</v>
      </c>
      <c r="AQ37" t="s">
        <v>79</v>
      </c>
      <c r="BA37" t="b">
        <v>0</v>
      </c>
    </row>
    <row r="38" spans="2:54" x14ac:dyDescent="0.2">
      <c r="B38" t="s">
        <v>257</v>
      </c>
      <c r="C38" t="s">
        <v>258</v>
      </c>
      <c r="D38" t="s">
        <v>66</v>
      </c>
      <c r="H38" t="s">
        <v>88</v>
      </c>
      <c r="I38" t="s">
        <v>89</v>
      </c>
      <c r="N38" s="1"/>
      <c r="S38" t="s">
        <v>125</v>
      </c>
      <c r="T38" s="1"/>
      <c r="AD38" s="1"/>
      <c r="AF38" t="s">
        <v>259</v>
      </c>
      <c r="AH38" t="s">
        <v>83</v>
      </c>
      <c r="AI38" t="s">
        <v>84</v>
      </c>
      <c r="AJ38" t="s">
        <v>63</v>
      </c>
      <c r="AP38" t="b">
        <v>1</v>
      </c>
      <c r="AQ38" t="s">
        <v>79</v>
      </c>
      <c r="BA38" t="b">
        <v>0</v>
      </c>
    </row>
    <row r="39" spans="2:54" x14ac:dyDescent="0.2">
      <c r="B39" t="s">
        <v>260</v>
      </c>
      <c r="C39" t="s">
        <v>261</v>
      </c>
      <c r="D39" t="s">
        <v>66</v>
      </c>
      <c r="E39">
        <v>0</v>
      </c>
      <c r="F39" t="s">
        <v>56</v>
      </c>
      <c r="H39" t="s">
        <v>88</v>
      </c>
      <c r="I39" t="s">
        <v>60</v>
      </c>
      <c r="N39" s="1"/>
      <c r="S39" t="s">
        <v>71</v>
      </c>
      <c r="T39" s="1"/>
      <c r="AD39" s="1"/>
      <c r="AF39" t="s">
        <v>259</v>
      </c>
      <c r="AH39" t="s">
        <v>115</v>
      </c>
      <c r="AI39" t="s">
        <v>84</v>
      </c>
      <c r="AJ39" t="s">
        <v>63</v>
      </c>
      <c r="AP39" t="b">
        <v>1</v>
      </c>
      <c r="AQ39" t="s">
        <v>262</v>
      </c>
      <c r="BA39" t="b">
        <v>0</v>
      </c>
    </row>
    <row r="40" spans="2:54" x14ac:dyDescent="0.2">
      <c r="B40" t="s">
        <v>263</v>
      </c>
      <c r="C40" t="s">
        <v>264</v>
      </c>
      <c r="D40" t="s">
        <v>66</v>
      </c>
      <c r="E40">
        <v>520</v>
      </c>
      <c r="F40" t="s">
        <v>112</v>
      </c>
      <c r="H40" t="s">
        <v>88</v>
      </c>
      <c r="I40" t="s">
        <v>68</v>
      </c>
      <c r="J40" t="s">
        <v>154</v>
      </c>
      <c r="K40" t="s">
        <v>70</v>
      </c>
      <c r="L40" t="s">
        <v>68</v>
      </c>
      <c r="M40" t="s">
        <v>70</v>
      </c>
      <c r="N40" s="1"/>
      <c r="S40" t="s">
        <v>71</v>
      </c>
      <c r="T40" s="1"/>
      <c r="U40" t="s">
        <v>70</v>
      </c>
      <c r="V40" t="s">
        <v>265</v>
      </c>
      <c r="W40" t="s">
        <v>70</v>
      </c>
      <c r="X40" t="s">
        <v>70</v>
      </c>
      <c r="Y40" t="s">
        <v>70</v>
      </c>
      <c r="Z40" t="s">
        <v>70</v>
      </c>
      <c r="AA40" t="s">
        <v>70</v>
      </c>
      <c r="AB40" t="s">
        <v>70</v>
      </c>
      <c r="AC40">
        <v>2006</v>
      </c>
      <c r="AD40" s="1">
        <v>38961</v>
      </c>
      <c r="AE40" t="s">
        <v>266</v>
      </c>
      <c r="AF40" t="s">
        <v>267</v>
      </c>
      <c r="AG40" t="s">
        <v>268</v>
      </c>
      <c r="AH40" t="s">
        <v>76</v>
      </c>
      <c r="AI40" t="s">
        <v>108</v>
      </c>
      <c r="AJ40" t="s">
        <v>63</v>
      </c>
      <c r="AK40">
        <v>120</v>
      </c>
      <c r="AL40" t="s">
        <v>70</v>
      </c>
      <c r="AM40" t="s">
        <v>70</v>
      </c>
      <c r="AN40" t="s">
        <v>78</v>
      </c>
      <c r="AO40" t="s">
        <v>70</v>
      </c>
      <c r="AP40" t="b">
        <v>1</v>
      </c>
      <c r="AQ40" t="s">
        <v>79</v>
      </c>
      <c r="BA40" t="b">
        <v>0</v>
      </c>
    </row>
    <row r="41" spans="2:54" x14ac:dyDescent="0.2">
      <c r="B41" t="s">
        <v>269</v>
      </c>
      <c r="C41" t="s">
        <v>270</v>
      </c>
      <c r="D41" t="s">
        <v>66</v>
      </c>
      <c r="E41">
        <v>10000</v>
      </c>
      <c r="F41" t="s">
        <v>271</v>
      </c>
      <c r="H41" t="s">
        <v>60</v>
      </c>
      <c r="I41" t="s">
        <v>88</v>
      </c>
      <c r="J41" t="s">
        <v>118</v>
      </c>
      <c r="K41" t="s">
        <v>70</v>
      </c>
      <c r="L41" t="s">
        <v>68</v>
      </c>
      <c r="M41" t="s">
        <v>70</v>
      </c>
      <c r="N41" s="1"/>
      <c r="S41" t="s">
        <v>71</v>
      </c>
      <c r="T41" s="1"/>
      <c r="U41" t="s">
        <v>70</v>
      </c>
      <c r="V41" t="s">
        <v>272</v>
      </c>
      <c r="W41" t="s">
        <v>273</v>
      </c>
      <c r="X41" t="s">
        <v>70</v>
      </c>
      <c r="Y41" t="s">
        <v>70</v>
      </c>
      <c r="Z41" t="s">
        <v>70</v>
      </c>
      <c r="AA41" t="s">
        <v>70</v>
      </c>
      <c r="AB41" t="s">
        <v>70</v>
      </c>
      <c r="AC41">
        <v>2006</v>
      </c>
      <c r="AD41" s="1"/>
      <c r="AE41" t="s">
        <v>70</v>
      </c>
      <c r="AF41" t="s">
        <v>82</v>
      </c>
      <c r="AG41" t="s">
        <v>274</v>
      </c>
      <c r="AH41" t="s">
        <v>76</v>
      </c>
      <c r="AI41" t="s">
        <v>128</v>
      </c>
      <c r="AJ41" t="s">
        <v>63</v>
      </c>
      <c r="AL41" t="s">
        <v>70</v>
      </c>
      <c r="AM41" t="s">
        <v>70</v>
      </c>
      <c r="AN41" t="s">
        <v>78</v>
      </c>
      <c r="AO41" t="s">
        <v>70</v>
      </c>
      <c r="AP41" t="b">
        <v>1</v>
      </c>
      <c r="AQ41" t="s">
        <v>79</v>
      </c>
      <c r="AR41" t="s">
        <v>230</v>
      </c>
      <c r="BA41" t="b">
        <v>0</v>
      </c>
    </row>
    <row r="42" spans="2:54" x14ac:dyDescent="0.2">
      <c r="B42" t="s">
        <v>275</v>
      </c>
      <c r="C42" t="s">
        <v>276</v>
      </c>
      <c r="D42" t="s">
        <v>66</v>
      </c>
      <c r="E42">
        <v>0</v>
      </c>
      <c r="F42" t="s">
        <v>56</v>
      </c>
      <c r="H42" t="s">
        <v>88</v>
      </c>
      <c r="I42" t="s">
        <v>88</v>
      </c>
      <c r="N42" s="1"/>
      <c r="S42" t="s">
        <v>71</v>
      </c>
      <c r="T42" s="1"/>
      <c r="AD42" s="1"/>
      <c r="AH42" t="s">
        <v>76</v>
      </c>
      <c r="AI42" t="s">
        <v>128</v>
      </c>
      <c r="AJ42" t="s">
        <v>63</v>
      </c>
      <c r="AP42" t="b">
        <v>1</v>
      </c>
      <c r="AQ42" t="s">
        <v>79</v>
      </c>
      <c r="BA42" t="b">
        <v>0</v>
      </c>
    </row>
    <row r="43" spans="2:54" x14ac:dyDescent="0.2">
      <c r="B43" t="s">
        <v>277</v>
      </c>
      <c r="C43" t="s">
        <v>278</v>
      </c>
      <c r="D43" t="s">
        <v>66</v>
      </c>
      <c r="E43">
        <v>1400</v>
      </c>
      <c r="F43" t="s">
        <v>279</v>
      </c>
      <c r="H43" t="s">
        <v>88</v>
      </c>
      <c r="I43" t="s">
        <v>88</v>
      </c>
      <c r="N43" s="1"/>
      <c r="S43" t="s">
        <v>71</v>
      </c>
      <c r="T43" s="1"/>
      <c r="V43" t="s">
        <v>280</v>
      </c>
      <c r="AC43">
        <v>2003</v>
      </c>
      <c r="AD43" s="1"/>
      <c r="AF43" t="s">
        <v>267</v>
      </c>
      <c r="AG43" t="s">
        <v>281</v>
      </c>
      <c r="AH43" t="s">
        <v>93</v>
      </c>
      <c r="AI43" t="s">
        <v>128</v>
      </c>
      <c r="AJ43" t="s">
        <v>63</v>
      </c>
      <c r="AP43" t="b">
        <v>1</v>
      </c>
      <c r="AQ43" t="s">
        <v>79</v>
      </c>
      <c r="AR43" t="s">
        <v>282</v>
      </c>
      <c r="BA43" t="b">
        <v>0</v>
      </c>
    </row>
    <row r="44" spans="2:54" x14ac:dyDescent="0.2">
      <c r="B44" t="s">
        <v>283</v>
      </c>
      <c r="C44" t="s">
        <v>284</v>
      </c>
      <c r="D44" t="s">
        <v>66</v>
      </c>
      <c r="E44">
        <v>1825</v>
      </c>
      <c r="F44" t="s">
        <v>285</v>
      </c>
      <c r="H44" t="s">
        <v>88</v>
      </c>
      <c r="I44" t="s">
        <v>286</v>
      </c>
      <c r="J44" t="s">
        <v>287</v>
      </c>
      <c r="K44" t="s">
        <v>70</v>
      </c>
      <c r="L44" t="s">
        <v>286</v>
      </c>
      <c r="M44" t="s">
        <v>288</v>
      </c>
      <c r="N44" s="1"/>
      <c r="S44" t="s">
        <v>71</v>
      </c>
      <c r="T44" s="1"/>
      <c r="U44" t="s">
        <v>70</v>
      </c>
      <c r="V44" t="s">
        <v>289</v>
      </c>
      <c r="W44" t="s">
        <v>290</v>
      </c>
      <c r="X44" t="s">
        <v>291</v>
      </c>
      <c r="Y44" t="s">
        <v>292</v>
      </c>
      <c r="Z44" t="s">
        <v>70</v>
      </c>
      <c r="AA44" t="s">
        <v>70</v>
      </c>
      <c r="AB44" t="s">
        <v>70</v>
      </c>
      <c r="AD44" s="1"/>
      <c r="AE44" t="s">
        <v>70</v>
      </c>
      <c r="AF44" t="s">
        <v>293</v>
      </c>
      <c r="AG44" t="s">
        <v>294</v>
      </c>
      <c r="AH44" t="s">
        <v>295</v>
      </c>
      <c r="AI44" t="s">
        <v>77</v>
      </c>
      <c r="AJ44" t="s">
        <v>63</v>
      </c>
      <c r="AL44" t="s">
        <v>70</v>
      </c>
      <c r="AM44" t="s">
        <v>70</v>
      </c>
      <c r="AN44" t="s">
        <v>78</v>
      </c>
      <c r="AO44" t="s">
        <v>296</v>
      </c>
      <c r="AP44" t="b">
        <v>1</v>
      </c>
      <c r="AQ44" t="s">
        <v>79</v>
      </c>
      <c r="BA44" t="b">
        <v>0</v>
      </c>
    </row>
    <row r="45" spans="2:54" x14ac:dyDescent="0.2">
      <c r="B45" t="s">
        <v>297</v>
      </c>
      <c r="C45" t="s">
        <v>298</v>
      </c>
      <c r="D45" t="s">
        <v>66</v>
      </c>
      <c r="E45">
        <v>1000</v>
      </c>
      <c r="F45" t="s">
        <v>299</v>
      </c>
      <c r="H45" t="s">
        <v>88</v>
      </c>
      <c r="I45" t="s">
        <v>68</v>
      </c>
      <c r="K45" t="s">
        <v>70</v>
      </c>
      <c r="M45" t="s">
        <v>70</v>
      </c>
      <c r="N45" s="1"/>
      <c r="S45" t="s">
        <v>71</v>
      </c>
      <c r="T45" s="1"/>
      <c r="U45" t="s">
        <v>70</v>
      </c>
      <c r="V45" t="s">
        <v>300</v>
      </c>
      <c r="W45" t="s">
        <v>70</v>
      </c>
      <c r="X45" t="s">
        <v>70</v>
      </c>
      <c r="Y45" t="s">
        <v>70</v>
      </c>
      <c r="Z45" t="s">
        <v>70</v>
      </c>
      <c r="AA45" t="s">
        <v>70</v>
      </c>
      <c r="AB45" t="s">
        <v>70</v>
      </c>
      <c r="AC45">
        <v>2005</v>
      </c>
      <c r="AD45" s="1"/>
      <c r="AE45" t="s">
        <v>70</v>
      </c>
      <c r="AF45" t="s">
        <v>301</v>
      </c>
      <c r="AG45" t="s">
        <v>302</v>
      </c>
      <c r="AH45" t="s">
        <v>76</v>
      </c>
      <c r="AI45" t="s">
        <v>77</v>
      </c>
      <c r="AJ45" t="s">
        <v>63</v>
      </c>
      <c r="AL45" t="s">
        <v>70</v>
      </c>
      <c r="AM45" t="s">
        <v>70</v>
      </c>
      <c r="AN45" t="s">
        <v>78</v>
      </c>
      <c r="AO45" t="s">
        <v>70</v>
      </c>
      <c r="AP45" t="b">
        <v>1</v>
      </c>
      <c r="AQ45" t="s">
        <v>79</v>
      </c>
      <c r="BA45" t="b">
        <v>0</v>
      </c>
    </row>
    <row r="46" spans="2:54" x14ac:dyDescent="0.2">
      <c r="B46" t="s">
        <v>303</v>
      </c>
      <c r="C46" t="s">
        <v>304</v>
      </c>
      <c r="D46" t="s">
        <v>66</v>
      </c>
      <c r="E46">
        <v>600</v>
      </c>
      <c r="F46" t="s">
        <v>305</v>
      </c>
      <c r="H46" t="s">
        <v>60</v>
      </c>
      <c r="I46" t="s">
        <v>68</v>
      </c>
      <c r="K46" t="s">
        <v>70</v>
      </c>
      <c r="M46" t="s">
        <v>70</v>
      </c>
      <c r="N46" s="1">
        <v>36656</v>
      </c>
      <c r="S46" t="s">
        <v>71</v>
      </c>
      <c r="T46" s="1"/>
      <c r="U46" t="s">
        <v>70</v>
      </c>
      <c r="V46" t="s">
        <v>306</v>
      </c>
      <c r="W46" t="s">
        <v>307</v>
      </c>
      <c r="X46" t="s">
        <v>70</v>
      </c>
      <c r="Y46" t="s">
        <v>70</v>
      </c>
      <c r="Z46" t="s">
        <v>70</v>
      </c>
      <c r="AA46" t="s">
        <v>70</v>
      </c>
      <c r="AB46" t="s">
        <v>70</v>
      </c>
      <c r="AC46">
        <v>2006</v>
      </c>
      <c r="AD46" s="1"/>
      <c r="AE46" t="s">
        <v>308</v>
      </c>
      <c r="AF46" t="s">
        <v>309</v>
      </c>
      <c r="AG46" t="s">
        <v>310</v>
      </c>
      <c r="AH46" t="s">
        <v>83</v>
      </c>
      <c r="AI46" t="s">
        <v>108</v>
      </c>
      <c r="AJ46" t="s">
        <v>63</v>
      </c>
      <c r="AL46" t="s">
        <v>70</v>
      </c>
      <c r="AM46" t="s">
        <v>70</v>
      </c>
      <c r="AN46" t="s">
        <v>78</v>
      </c>
      <c r="AO46" t="s">
        <v>70</v>
      </c>
      <c r="AP46" t="b">
        <v>1</v>
      </c>
      <c r="AQ46" t="s">
        <v>79</v>
      </c>
      <c r="BA46" t="b">
        <v>0</v>
      </c>
    </row>
    <row r="47" spans="2:54" x14ac:dyDescent="0.2">
      <c r="B47" t="s">
        <v>311</v>
      </c>
      <c r="C47" t="s">
        <v>312</v>
      </c>
      <c r="D47" t="s">
        <v>66</v>
      </c>
      <c r="H47" t="s">
        <v>88</v>
      </c>
      <c r="I47" t="s">
        <v>88</v>
      </c>
      <c r="N47" s="1"/>
      <c r="S47" t="s">
        <v>71</v>
      </c>
      <c r="T47" s="1"/>
      <c r="AD47" s="1"/>
      <c r="AH47" t="s">
        <v>76</v>
      </c>
      <c r="AI47" t="s">
        <v>128</v>
      </c>
      <c r="AJ47" t="s">
        <v>63</v>
      </c>
      <c r="AP47" t="b">
        <v>0</v>
      </c>
      <c r="AQ47" t="s">
        <v>79</v>
      </c>
      <c r="BA47" t="b">
        <v>0</v>
      </c>
    </row>
    <row r="48" spans="2:54" x14ac:dyDescent="0.2">
      <c r="B48" t="s">
        <v>313</v>
      </c>
      <c r="C48" t="s">
        <v>314</v>
      </c>
      <c r="D48" t="s">
        <v>66</v>
      </c>
      <c r="H48" t="s">
        <v>88</v>
      </c>
      <c r="I48" t="s">
        <v>60</v>
      </c>
      <c r="J48" t="s">
        <v>89</v>
      </c>
      <c r="L48" t="s">
        <v>60</v>
      </c>
      <c r="N48" s="1"/>
      <c r="S48" t="s">
        <v>71</v>
      </c>
      <c r="T48" s="1"/>
      <c r="V48" t="s">
        <v>315</v>
      </c>
      <c r="AC48">
        <v>2002</v>
      </c>
      <c r="AD48" s="1"/>
      <c r="AF48" t="s">
        <v>82</v>
      </c>
      <c r="AH48" t="s">
        <v>156</v>
      </c>
      <c r="AI48" t="s">
        <v>84</v>
      </c>
      <c r="AJ48" t="s">
        <v>63</v>
      </c>
      <c r="AP48" t="b">
        <v>1</v>
      </c>
      <c r="AQ48" t="s">
        <v>79</v>
      </c>
      <c r="BA48" t="b">
        <v>0</v>
      </c>
    </row>
    <row r="49" spans="2:54" x14ac:dyDescent="0.2">
      <c r="B49" t="s">
        <v>316</v>
      </c>
      <c r="C49" t="s">
        <v>317</v>
      </c>
      <c r="D49" t="s">
        <v>66</v>
      </c>
      <c r="E49">
        <v>1350</v>
      </c>
      <c r="H49" t="s">
        <v>60</v>
      </c>
      <c r="I49" t="s">
        <v>68</v>
      </c>
      <c r="J49" t="s">
        <v>89</v>
      </c>
      <c r="K49" t="s">
        <v>70</v>
      </c>
      <c r="L49" t="s">
        <v>68</v>
      </c>
      <c r="M49" t="s">
        <v>70</v>
      </c>
      <c r="N49" s="1"/>
      <c r="S49" t="s">
        <v>71</v>
      </c>
      <c r="T49" s="1"/>
      <c r="U49" t="s">
        <v>70</v>
      </c>
      <c r="V49" t="s">
        <v>318</v>
      </c>
      <c r="W49" t="s">
        <v>319</v>
      </c>
      <c r="X49" t="s">
        <v>70</v>
      </c>
      <c r="Y49" t="s">
        <v>70</v>
      </c>
      <c r="Z49" t="s">
        <v>70</v>
      </c>
      <c r="AA49" t="s">
        <v>70</v>
      </c>
      <c r="AB49" t="s">
        <v>70</v>
      </c>
      <c r="AD49" s="1"/>
      <c r="AE49" t="s">
        <v>320</v>
      </c>
      <c r="AF49" t="s">
        <v>82</v>
      </c>
      <c r="AG49" t="s">
        <v>321</v>
      </c>
      <c r="AH49" t="s">
        <v>83</v>
      </c>
      <c r="AI49" t="s">
        <v>108</v>
      </c>
      <c r="AJ49" t="s">
        <v>63</v>
      </c>
      <c r="AL49" t="s">
        <v>70</v>
      </c>
      <c r="AM49" t="s">
        <v>70</v>
      </c>
      <c r="AN49" t="s">
        <v>78</v>
      </c>
      <c r="AO49" t="s">
        <v>70</v>
      </c>
      <c r="AP49" t="b">
        <v>1</v>
      </c>
      <c r="AQ49" t="s">
        <v>79</v>
      </c>
      <c r="BA49" t="b">
        <v>0</v>
      </c>
    </row>
    <row r="50" spans="2:54" x14ac:dyDescent="0.2">
      <c r="B50" t="s">
        <v>322</v>
      </c>
      <c r="C50" t="s">
        <v>323</v>
      </c>
      <c r="D50" t="s">
        <v>66</v>
      </c>
      <c r="E50">
        <v>0</v>
      </c>
      <c r="F50" t="s">
        <v>56</v>
      </c>
      <c r="H50" t="s">
        <v>60</v>
      </c>
      <c r="I50" t="s">
        <v>88</v>
      </c>
      <c r="N50" s="1"/>
      <c r="S50" t="s">
        <v>71</v>
      </c>
      <c r="T50" s="1"/>
      <c r="V50" t="s">
        <v>324</v>
      </c>
      <c r="AC50">
        <v>2005</v>
      </c>
      <c r="AD50" s="1">
        <v>38353</v>
      </c>
      <c r="AF50" t="s">
        <v>82</v>
      </c>
      <c r="AH50" t="s">
        <v>83</v>
      </c>
      <c r="AI50" t="s">
        <v>128</v>
      </c>
      <c r="AJ50" t="s">
        <v>63</v>
      </c>
      <c r="AP50" t="b">
        <v>1</v>
      </c>
      <c r="AQ50" t="s">
        <v>79</v>
      </c>
      <c r="BA50" t="b">
        <v>0</v>
      </c>
    </row>
    <row r="51" spans="2:54" x14ac:dyDescent="0.2">
      <c r="B51" t="s">
        <v>325</v>
      </c>
      <c r="C51" t="s">
        <v>326</v>
      </c>
      <c r="D51" t="s">
        <v>66</v>
      </c>
      <c r="E51">
        <v>0</v>
      </c>
      <c r="F51" t="s">
        <v>56</v>
      </c>
      <c r="H51" t="s">
        <v>88</v>
      </c>
      <c r="I51" t="s">
        <v>88</v>
      </c>
      <c r="J51" t="s">
        <v>70</v>
      </c>
      <c r="K51" t="s">
        <v>70</v>
      </c>
      <c r="L51" t="s">
        <v>70</v>
      </c>
      <c r="M51" t="s">
        <v>70</v>
      </c>
      <c r="N51" s="1"/>
      <c r="S51" t="s">
        <v>71</v>
      </c>
      <c r="T51" s="1"/>
      <c r="U51" t="s">
        <v>70</v>
      </c>
      <c r="V51" t="s">
        <v>70</v>
      </c>
      <c r="W51" t="s">
        <v>70</v>
      </c>
      <c r="X51" t="s">
        <v>70</v>
      </c>
      <c r="Y51" t="s">
        <v>70</v>
      </c>
      <c r="Z51" t="s">
        <v>70</v>
      </c>
      <c r="AA51" t="s">
        <v>70</v>
      </c>
      <c r="AB51" t="s">
        <v>70</v>
      </c>
      <c r="AC51">
        <v>2003</v>
      </c>
      <c r="AD51" s="1"/>
      <c r="AE51" t="s">
        <v>70</v>
      </c>
      <c r="AF51" t="s">
        <v>267</v>
      </c>
      <c r="AG51" t="s">
        <v>78</v>
      </c>
      <c r="AH51" t="s">
        <v>93</v>
      </c>
      <c r="AI51" t="s">
        <v>128</v>
      </c>
      <c r="AJ51" t="s">
        <v>63</v>
      </c>
      <c r="AL51" t="s">
        <v>70</v>
      </c>
      <c r="AM51" t="s">
        <v>70</v>
      </c>
      <c r="AN51" t="s">
        <v>78</v>
      </c>
      <c r="AO51" t="s">
        <v>70</v>
      </c>
      <c r="AP51" t="b">
        <v>1</v>
      </c>
      <c r="AQ51" t="s">
        <v>79</v>
      </c>
      <c r="BA51" t="b">
        <v>0</v>
      </c>
    </row>
    <row r="52" spans="2:54" x14ac:dyDescent="0.2">
      <c r="B52" t="s">
        <v>327</v>
      </c>
      <c r="C52" t="s">
        <v>328</v>
      </c>
      <c r="D52" t="s">
        <v>66</v>
      </c>
      <c r="E52">
        <v>0</v>
      </c>
      <c r="F52" t="s">
        <v>56</v>
      </c>
      <c r="H52" t="s">
        <v>60</v>
      </c>
      <c r="I52" t="s">
        <v>60</v>
      </c>
      <c r="N52" s="1"/>
      <c r="S52" t="s">
        <v>125</v>
      </c>
      <c r="T52" s="1"/>
      <c r="AD52" s="1"/>
      <c r="AF52" t="s">
        <v>82</v>
      </c>
      <c r="AH52" t="s">
        <v>184</v>
      </c>
      <c r="AI52" t="s">
        <v>84</v>
      </c>
      <c r="AJ52" t="s">
        <v>63</v>
      </c>
      <c r="AP52" t="b">
        <v>1</v>
      </c>
      <c r="AQ52" t="s">
        <v>79</v>
      </c>
      <c r="BA52" t="b">
        <v>0</v>
      </c>
    </row>
    <row r="53" spans="2:54" x14ac:dyDescent="0.2">
      <c r="B53" t="s">
        <v>329</v>
      </c>
      <c r="C53" t="s">
        <v>330</v>
      </c>
      <c r="D53" t="s">
        <v>66</v>
      </c>
      <c r="E53">
        <v>0</v>
      </c>
      <c r="F53" t="s">
        <v>56</v>
      </c>
      <c r="H53" t="s">
        <v>88</v>
      </c>
      <c r="I53" t="s">
        <v>60</v>
      </c>
      <c r="K53" t="s">
        <v>70</v>
      </c>
      <c r="M53" t="s">
        <v>70</v>
      </c>
      <c r="N53" s="1"/>
      <c r="S53" t="s">
        <v>71</v>
      </c>
      <c r="T53" s="1"/>
      <c r="U53" t="s">
        <v>70</v>
      </c>
      <c r="V53" t="s">
        <v>70</v>
      </c>
      <c r="W53" t="s">
        <v>70</v>
      </c>
      <c r="X53" t="s">
        <v>70</v>
      </c>
      <c r="Y53" t="s">
        <v>70</v>
      </c>
      <c r="Z53" t="s">
        <v>70</v>
      </c>
      <c r="AA53" t="s">
        <v>70</v>
      </c>
      <c r="AB53" t="s">
        <v>70</v>
      </c>
      <c r="AD53" s="1"/>
      <c r="AE53" t="s">
        <v>70</v>
      </c>
      <c r="AF53" t="s">
        <v>82</v>
      </c>
      <c r="AG53" t="s">
        <v>78</v>
      </c>
      <c r="AH53" t="s">
        <v>76</v>
      </c>
      <c r="AI53" t="s">
        <v>128</v>
      </c>
      <c r="AJ53" t="s">
        <v>63</v>
      </c>
      <c r="AL53" t="s">
        <v>70</v>
      </c>
      <c r="AM53" t="s">
        <v>70</v>
      </c>
      <c r="AN53" t="s">
        <v>78</v>
      </c>
      <c r="AO53" t="s">
        <v>70</v>
      </c>
      <c r="AP53" t="b">
        <v>1</v>
      </c>
      <c r="AQ53" t="s">
        <v>79</v>
      </c>
      <c r="BA53" t="b">
        <v>0</v>
      </c>
    </row>
    <row r="54" spans="2:54" x14ac:dyDescent="0.2">
      <c r="B54" t="s">
        <v>331</v>
      </c>
      <c r="C54" t="s">
        <v>332</v>
      </c>
      <c r="D54" t="s">
        <v>333</v>
      </c>
      <c r="E54">
        <v>7660</v>
      </c>
      <c r="F54" t="s">
        <v>334</v>
      </c>
      <c r="G54" t="s">
        <v>335</v>
      </c>
      <c r="H54" t="s">
        <v>60</v>
      </c>
      <c r="I54" t="s">
        <v>60</v>
      </c>
      <c r="J54" t="s">
        <v>336</v>
      </c>
      <c r="K54" t="s">
        <v>337</v>
      </c>
      <c r="L54" t="s">
        <v>338</v>
      </c>
      <c r="M54" t="s">
        <v>60</v>
      </c>
      <c r="N54" s="1"/>
      <c r="S54" t="s">
        <v>71</v>
      </c>
      <c r="T54" s="1"/>
      <c r="U54" t="s">
        <v>70</v>
      </c>
      <c r="V54" t="s">
        <v>339</v>
      </c>
      <c r="W54" t="s">
        <v>340</v>
      </c>
      <c r="X54" t="s">
        <v>341</v>
      </c>
      <c r="Y54" t="s">
        <v>342</v>
      </c>
      <c r="Z54" t="s">
        <v>343</v>
      </c>
      <c r="AA54" t="s">
        <v>344</v>
      </c>
      <c r="AB54" t="s">
        <v>70</v>
      </c>
      <c r="AC54">
        <v>2008</v>
      </c>
      <c r="AD54" s="1">
        <v>39539</v>
      </c>
      <c r="AE54" t="s">
        <v>345</v>
      </c>
      <c r="AF54" t="s">
        <v>74</v>
      </c>
      <c r="AG54" t="s">
        <v>346</v>
      </c>
      <c r="AH54" t="s">
        <v>295</v>
      </c>
      <c r="AI54" t="s">
        <v>84</v>
      </c>
      <c r="AJ54" t="s">
        <v>347</v>
      </c>
      <c r="AK54">
        <v>1150</v>
      </c>
      <c r="AL54" t="s">
        <v>70</v>
      </c>
      <c r="AM54" t="s">
        <v>70</v>
      </c>
      <c r="AN54" t="s">
        <v>2837</v>
      </c>
      <c r="AO54" t="s">
        <v>348</v>
      </c>
      <c r="AP54" t="b">
        <v>1</v>
      </c>
      <c r="AQ54" t="s">
        <v>79</v>
      </c>
      <c r="AR54" t="s">
        <v>349</v>
      </c>
      <c r="AS54" t="s">
        <v>350</v>
      </c>
      <c r="AT54" t="s">
        <v>351</v>
      </c>
      <c r="AU54" t="s">
        <v>70</v>
      </c>
      <c r="BA54" t="b">
        <v>0</v>
      </c>
      <c r="BB54" t="s">
        <v>70</v>
      </c>
    </row>
    <row r="55" spans="2:54" x14ac:dyDescent="0.2">
      <c r="B55" t="s">
        <v>352</v>
      </c>
      <c r="C55" t="s">
        <v>353</v>
      </c>
      <c r="D55" t="s">
        <v>66</v>
      </c>
      <c r="E55">
        <v>1000</v>
      </c>
      <c r="F55" t="s">
        <v>56</v>
      </c>
      <c r="H55" t="s">
        <v>60</v>
      </c>
      <c r="I55" t="s">
        <v>60</v>
      </c>
      <c r="J55" t="s">
        <v>69</v>
      </c>
      <c r="K55" t="s">
        <v>70</v>
      </c>
      <c r="L55" t="s">
        <v>60</v>
      </c>
      <c r="M55" t="s">
        <v>70</v>
      </c>
      <c r="N55" s="1"/>
      <c r="S55" t="s">
        <v>125</v>
      </c>
      <c r="T55" s="1"/>
      <c r="U55" t="s">
        <v>70</v>
      </c>
      <c r="V55" t="s">
        <v>354</v>
      </c>
      <c r="W55" t="s">
        <v>70</v>
      </c>
      <c r="X55" t="s">
        <v>70</v>
      </c>
      <c r="Y55" t="s">
        <v>70</v>
      </c>
      <c r="Z55" t="s">
        <v>70</v>
      </c>
      <c r="AA55" t="s">
        <v>70</v>
      </c>
      <c r="AB55" t="s">
        <v>70</v>
      </c>
      <c r="AD55" s="1"/>
      <c r="AE55" t="s">
        <v>70</v>
      </c>
      <c r="AF55" t="s">
        <v>355</v>
      </c>
      <c r="AG55" t="s">
        <v>356</v>
      </c>
      <c r="AH55" t="s">
        <v>83</v>
      </c>
      <c r="AI55" t="s">
        <v>84</v>
      </c>
      <c r="AJ55" t="s">
        <v>63</v>
      </c>
      <c r="AK55">
        <v>200</v>
      </c>
      <c r="AL55" t="s">
        <v>70</v>
      </c>
      <c r="AM55" t="s">
        <v>70</v>
      </c>
      <c r="AN55" t="s">
        <v>78</v>
      </c>
      <c r="AO55" t="s">
        <v>70</v>
      </c>
      <c r="AP55" t="b">
        <v>1</v>
      </c>
      <c r="AQ55" t="s">
        <v>79</v>
      </c>
      <c r="BA55" t="b">
        <v>0</v>
      </c>
    </row>
    <row r="56" spans="2:54" x14ac:dyDescent="0.2">
      <c r="B56" t="s">
        <v>357</v>
      </c>
      <c r="C56" t="s">
        <v>358</v>
      </c>
      <c r="D56" t="s">
        <v>66</v>
      </c>
      <c r="E56">
        <v>18100</v>
      </c>
      <c r="F56" t="s">
        <v>56</v>
      </c>
      <c r="H56" t="s">
        <v>88</v>
      </c>
      <c r="I56" t="s">
        <v>124</v>
      </c>
      <c r="J56" t="s">
        <v>69</v>
      </c>
      <c r="K56" t="s">
        <v>70</v>
      </c>
      <c r="L56" t="s">
        <v>60</v>
      </c>
      <c r="M56" t="s">
        <v>70</v>
      </c>
      <c r="N56" s="1"/>
      <c r="S56" t="s">
        <v>71</v>
      </c>
      <c r="T56" s="1"/>
      <c r="U56" t="s">
        <v>70</v>
      </c>
      <c r="V56" t="s">
        <v>359</v>
      </c>
      <c r="W56" t="s">
        <v>70</v>
      </c>
      <c r="X56" t="s">
        <v>70</v>
      </c>
      <c r="Y56" t="s">
        <v>70</v>
      </c>
      <c r="Z56" t="s">
        <v>70</v>
      </c>
      <c r="AA56" t="s">
        <v>70</v>
      </c>
      <c r="AB56" t="s">
        <v>70</v>
      </c>
      <c r="AC56">
        <v>2003</v>
      </c>
      <c r="AD56" s="1">
        <v>37622</v>
      </c>
      <c r="AE56" t="s">
        <v>360</v>
      </c>
      <c r="AF56" t="s">
        <v>82</v>
      </c>
      <c r="AG56" t="s">
        <v>361</v>
      </c>
      <c r="AH56" t="s">
        <v>102</v>
      </c>
      <c r="AI56" t="s">
        <v>84</v>
      </c>
      <c r="AJ56" t="s">
        <v>63</v>
      </c>
      <c r="AL56" t="s">
        <v>70</v>
      </c>
      <c r="AM56" t="s">
        <v>70</v>
      </c>
      <c r="AN56" t="s">
        <v>78</v>
      </c>
      <c r="AO56" t="s">
        <v>70</v>
      </c>
      <c r="AP56" t="b">
        <v>1</v>
      </c>
      <c r="AQ56" t="s">
        <v>79</v>
      </c>
      <c r="BA56" t="b">
        <v>0</v>
      </c>
    </row>
    <row r="57" spans="2:54" x14ac:dyDescent="0.2">
      <c r="B57" t="s">
        <v>362</v>
      </c>
      <c r="C57" t="s">
        <v>363</v>
      </c>
      <c r="D57" t="s">
        <v>66</v>
      </c>
      <c r="E57">
        <v>11830</v>
      </c>
      <c r="F57" t="s">
        <v>364</v>
      </c>
      <c r="G57" t="s">
        <v>365</v>
      </c>
      <c r="H57" t="s">
        <v>60</v>
      </c>
      <c r="I57" t="s">
        <v>219</v>
      </c>
      <c r="J57" t="s">
        <v>366</v>
      </c>
      <c r="K57" t="s">
        <v>70</v>
      </c>
      <c r="L57" t="s">
        <v>219</v>
      </c>
      <c r="M57" t="s">
        <v>70</v>
      </c>
      <c r="N57" s="1"/>
      <c r="S57" t="s">
        <v>125</v>
      </c>
      <c r="T57" s="1">
        <v>40305</v>
      </c>
      <c r="U57" t="s">
        <v>368</v>
      </c>
      <c r="V57" t="s">
        <v>369</v>
      </c>
      <c r="W57" t="s">
        <v>370</v>
      </c>
      <c r="X57" t="s">
        <v>371</v>
      </c>
      <c r="Y57" t="s">
        <v>372</v>
      </c>
      <c r="Z57" t="s">
        <v>373</v>
      </c>
      <c r="AA57" t="s">
        <v>374</v>
      </c>
      <c r="AB57" t="s">
        <v>3022</v>
      </c>
      <c r="AC57">
        <v>2014</v>
      </c>
      <c r="AD57" s="1"/>
      <c r="AE57" t="s">
        <v>375</v>
      </c>
      <c r="AF57" t="s">
        <v>82</v>
      </c>
      <c r="AG57" t="s">
        <v>376</v>
      </c>
      <c r="AH57" t="s">
        <v>76</v>
      </c>
      <c r="AI57" t="s">
        <v>108</v>
      </c>
      <c r="AJ57" t="s">
        <v>63</v>
      </c>
      <c r="AK57">
        <v>750</v>
      </c>
      <c r="AL57" t="s">
        <v>70</v>
      </c>
      <c r="AM57" t="s">
        <v>70</v>
      </c>
      <c r="AN57" t="s">
        <v>377</v>
      </c>
      <c r="AO57" t="s">
        <v>378</v>
      </c>
      <c r="AP57" t="b">
        <v>1</v>
      </c>
      <c r="AQ57" t="s">
        <v>79</v>
      </c>
      <c r="AS57" t="s">
        <v>379</v>
      </c>
      <c r="AT57" t="s">
        <v>380</v>
      </c>
      <c r="AV57" t="s">
        <v>381</v>
      </c>
      <c r="AW57" t="s">
        <v>382</v>
      </c>
      <c r="AX57" t="s">
        <v>383</v>
      </c>
      <c r="AY57" t="s">
        <v>384</v>
      </c>
      <c r="AZ57" t="s">
        <v>385</v>
      </c>
      <c r="BA57" t="b">
        <v>0</v>
      </c>
      <c r="BB57" t="s">
        <v>386</v>
      </c>
    </row>
    <row r="58" spans="2:54" x14ac:dyDescent="0.2">
      <c r="B58" t="s">
        <v>387</v>
      </c>
      <c r="C58" t="s">
        <v>388</v>
      </c>
      <c r="D58" t="s">
        <v>66</v>
      </c>
      <c r="E58">
        <v>0</v>
      </c>
      <c r="F58" t="s">
        <v>56</v>
      </c>
      <c r="H58" t="s">
        <v>88</v>
      </c>
      <c r="I58" t="s">
        <v>88</v>
      </c>
      <c r="N58" s="1"/>
      <c r="S58" t="s">
        <v>71</v>
      </c>
      <c r="T58" s="1"/>
      <c r="AD58" s="1"/>
      <c r="AF58" t="s">
        <v>82</v>
      </c>
      <c r="AG58" t="s">
        <v>389</v>
      </c>
      <c r="AH58" t="s">
        <v>390</v>
      </c>
      <c r="AI58" t="s">
        <v>108</v>
      </c>
      <c r="AJ58" t="s">
        <v>63</v>
      </c>
      <c r="AP58" t="b">
        <v>1</v>
      </c>
      <c r="AQ58" t="s">
        <v>79</v>
      </c>
      <c r="BA58" t="b">
        <v>0</v>
      </c>
    </row>
    <row r="59" spans="2:54" x14ac:dyDescent="0.2">
      <c r="B59" t="s">
        <v>391</v>
      </c>
      <c r="C59" t="s">
        <v>392</v>
      </c>
      <c r="D59" t="s">
        <v>66</v>
      </c>
      <c r="E59">
        <v>0</v>
      </c>
      <c r="F59" t="s">
        <v>67</v>
      </c>
      <c r="H59" t="s">
        <v>88</v>
      </c>
      <c r="I59" t="s">
        <v>68</v>
      </c>
      <c r="J59" t="s">
        <v>154</v>
      </c>
      <c r="K59" t="s">
        <v>393</v>
      </c>
      <c r="L59" t="s">
        <v>68</v>
      </c>
      <c r="M59" t="s">
        <v>70</v>
      </c>
      <c r="N59" s="1"/>
      <c r="S59" t="s">
        <v>71</v>
      </c>
      <c r="T59" s="1"/>
      <c r="U59" t="s">
        <v>70</v>
      </c>
      <c r="V59" t="s">
        <v>70</v>
      </c>
      <c r="W59" t="s">
        <v>70</v>
      </c>
      <c r="X59" t="s">
        <v>70</v>
      </c>
      <c r="Y59" t="s">
        <v>70</v>
      </c>
      <c r="Z59" t="s">
        <v>70</v>
      </c>
      <c r="AA59" t="s">
        <v>70</v>
      </c>
      <c r="AB59" t="s">
        <v>70</v>
      </c>
      <c r="AD59" s="1"/>
      <c r="AE59" t="s">
        <v>394</v>
      </c>
      <c r="AF59" t="s">
        <v>395</v>
      </c>
      <c r="AG59" t="s">
        <v>78</v>
      </c>
      <c r="AH59" t="s">
        <v>76</v>
      </c>
      <c r="AI59" t="s">
        <v>128</v>
      </c>
      <c r="AJ59" t="s">
        <v>63</v>
      </c>
      <c r="AL59" t="s">
        <v>70</v>
      </c>
      <c r="AM59" t="s">
        <v>70</v>
      </c>
      <c r="AN59" t="s">
        <v>78</v>
      </c>
      <c r="AO59" t="s">
        <v>70</v>
      </c>
      <c r="AP59" t="b">
        <v>1</v>
      </c>
      <c r="AQ59" t="s">
        <v>79</v>
      </c>
      <c r="BA59" t="b">
        <v>0</v>
      </c>
    </row>
    <row r="60" spans="2:54" x14ac:dyDescent="0.2">
      <c r="B60" t="s">
        <v>396</v>
      </c>
      <c r="C60" t="s">
        <v>397</v>
      </c>
      <c r="D60" t="s">
        <v>66</v>
      </c>
      <c r="E60">
        <v>0</v>
      </c>
      <c r="F60" t="s">
        <v>56</v>
      </c>
      <c r="H60" t="s">
        <v>60</v>
      </c>
      <c r="I60" t="s">
        <v>68</v>
      </c>
      <c r="N60" s="1"/>
      <c r="S60" t="s">
        <v>71</v>
      </c>
      <c r="T60" s="1"/>
      <c r="AD60" s="1"/>
      <c r="AF60" t="s">
        <v>398</v>
      </c>
      <c r="AH60" t="s">
        <v>149</v>
      </c>
      <c r="AI60" t="s">
        <v>128</v>
      </c>
      <c r="AJ60" t="s">
        <v>63</v>
      </c>
      <c r="AP60" t="b">
        <v>1</v>
      </c>
      <c r="AQ60" t="s">
        <v>79</v>
      </c>
      <c r="BA60" t="b">
        <v>0</v>
      </c>
    </row>
    <row r="61" spans="2:54" x14ac:dyDescent="0.2">
      <c r="B61" t="s">
        <v>399</v>
      </c>
      <c r="C61" t="s">
        <v>400</v>
      </c>
      <c r="D61" t="s">
        <v>66</v>
      </c>
      <c r="E61">
        <v>0</v>
      </c>
      <c r="F61" t="s">
        <v>56</v>
      </c>
      <c r="H61" t="s">
        <v>60</v>
      </c>
      <c r="I61" t="s">
        <v>219</v>
      </c>
      <c r="J61" t="s">
        <v>69</v>
      </c>
      <c r="K61" t="s">
        <v>70</v>
      </c>
      <c r="L61" t="s">
        <v>219</v>
      </c>
      <c r="M61" t="s">
        <v>70</v>
      </c>
      <c r="N61" s="1"/>
      <c r="S61" t="s">
        <v>71</v>
      </c>
      <c r="T61" s="1"/>
      <c r="U61" t="s">
        <v>70</v>
      </c>
      <c r="V61" t="s">
        <v>70</v>
      </c>
      <c r="W61" t="s">
        <v>70</v>
      </c>
      <c r="X61" t="s">
        <v>70</v>
      </c>
      <c r="Y61" t="s">
        <v>70</v>
      </c>
      <c r="Z61" t="s">
        <v>70</v>
      </c>
      <c r="AA61" t="s">
        <v>70</v>
      </c>
      <c r="AB61" t="s">
        <v>70</v>
      </c>
      <c r="AD61" s="1"/>
      <c r="AE61" t="s">
        <v>70</v>
      </c>
      <c r="AF61" t="s">
        <v>82</v>
      </c>
      <c r="AG61" t="s">
        <v>78</v>
      </c>
      <c r="AH61" t="s">
        <v>83</v>
      </c>
      <c r="AI61" t="s">
        <v>84</v>
      </c>
      <c r="AJ61" t="s">
        <v>63</v>
      </c>
      <c r="AL61" t="s">
        <v>70</v>
      </c>
      <c r="AM61" t="s">
        <v>70</v>
      </c>
      <c r="AN61" t="s">
        <v>78</v>
      </c>
      <c r="AO61" t="s">
        <v>70</v>
      </c>
      <c r="AP61" t="b">
        <v>0</v>
      </c>
      <c r="AQ61" t="s">
        <v>79</v>
      </c>
      <c r="BA61" t="b">
        <v>0</v>
      </c>
    </row>
    <row r="62" spans="2:54" x14ac:dyDescent="0.2">
      <c r="B62" t="s">
        <v>401</v>
      </c>
      <c r="C62" t="s">
        <v>402</v>
      </c>
      <c r="D62" t="s">
        <v>66</v>
      </c>
      <c r="E62">
        <v>4979</v>
      </c>
      <c r="F62" t="s">
        <v>403</v>
      </c>
      <c r="H62" t="s">
        <v>60</v>
      </c>
      <c r="I62" t="s">
        <v>220</v>
      </c>
      <c r="J62" t="s">
        <v>220</v>
      </c>
      <c r="K62" t="s">
        <v>70</v>
      </c>
      <c r="L62" t="s">
        <v>219</v>
      </c>
      <c r="M62" t="s">
        <v>70</v>
      </c>
      <c r="N62" s="1">
        <v>36984</v>
      </c>
      <c r="S62" t="s">
        <v>71</v>
      </c>
      <c r="T62" s="1"/>
      <c r="U62" t="s">
        <v>70</v>
      </c>
      <c r="V62" t="s">
        <v>404</v>
      </c>
      <c r="W62" t="s">
        <v>405</v>
      </c>
      <c r="X62" t="s">
        <v>406</v>
      </c>
      <c r="Y62" t="s">
        <v>407</v>
      </c>
      <c r="Z62" t="s">
        <v>408</v>
      </c>
      <c r="AA62" t="s">
        <v>409</v>
      </c>
      <c r="AB62" t="s">
        <v>70</v>
      </c>
      <c r="AC62">
        <v>2010</v>
      </c>
      <c r="AD62" s="1">
        <v>40359</v>
      </c>
      <c r="AE62" t="s">
        <v>410</v>
      </c>
      <c r="AF62" t="s">
        <v>411</v>
      </c>
      <c r="AG62" t="s">
        <v>412</v>
      </c>
      <c r="AH62" t="s">
        <v>76</v>
      </c>
      <c r="AI62" t="s">
        <v>77</v>
      </c>
      <c r="AJ62" t="s">
        <v>413</v>
      </c>
      <c r="AK62">
        <v>650</v>
      </c>
      <c r="AL62" t="s">
        <v>70</v>
      </c>
      <c r="AM62" t="s">
        <v>70</v>
      </c>
      <c r="AN62" t="s">
        <v>78</v>
      </c>
      <c r="AO62" t="s">
        <v>414</v>
      </c>
      <c r="AP62" t="b">
        <v>1</v>
      </c>
      <c r="AQ62" t="s">
        <v>79</v>
      </c>
      <c r="AR62" t="s">
        <v>70</v>
      </c>
      <c r="AU62" t="s">
        <v>415</v>
      </c>
      <c r="BA62" t="b">
        <v>0</v>
      </c>
      <c r="BB62" t="s">
        <v>416</v>
      </c>
    </row>
    <row r="63" spans="2:54" x14ac:dyDescent="0.2">
      <c r="B63" t="s">
        <v>417</v>
      </c>
      <c r="C63" t="s">
        <v>418</v>
      </c>
      <c r="D63" t="s">
        <v>66</v>
      </c>
      <c r="E63">
        <v>0</v>
      </c>
      <c r="F63" t="s">
        <v>56</v>
      </c>
      <c r="H63" t="s">
        <v>88</v>
      </c>
      <c r="I63" t="s">
        <v>88</v>
      </c>
      <c r="K63" t="s">
        <v>70</v>
      </c>
      <c r="M63" t="s">
        <v>70</v>
      </c>
      <c r="N63" s="1"/>
      <c r="S63" t="s">
        <v>71</v>
      </c>
      <c r="T63" s="1"/>
      <c r="U63" t="s">
        <v>70</v>
      </c>
      <c r="V63" t="s">
        <v>70</v>
      </c>
      <c r="W63" t="s">
        <v>70</v>
      </c>
      <c r="X63" t="s">
        <v>70</v>
      </c>
      <c r="Y63" t="s">
        <v>70</v>
      </c>
      <c r="Z63" t="s">
        <v>70</v>
      </c>
      <c r="AA63" t="s">
        <v>70</v>
      </c>
      <c r="AB63" t="s">
        <v>70</v>
      </c>
      <c r="AD63" s="1"/>
      <c r="AE63" t="s">
        <v>82</v>
      </c>
      <c r="AF63" t="s">
        <v>82</v>
      </c>
      <c r="AG63" t="s">
        <v>78</v>
      </c>
      <c r="AH63" t="s">
        <v>76</v>
      </c>
      <c r="AI63" t="s">
        <v>128</v>
      </c>
      <c r="AJ63" t="s">
        <v>63</v>
      </c>
      <c r="AL63" t="s">
        <v>70</v>
      </c>
      <c r="AM63" t="s">
        <v>70</v>
      </c>
      <c r="AN63" t="s">
        <v>78</v>
      </c>
      <c r="AO63" t="s">
        <v>70</v>
      </c>
      <c r="AP63" t="b">
        <v>1</v>
      </c>
      <c r="AQ63" t="s">
        <v>79</v>
      </c>
      <c r="BA63" t="b">
        <v>0</v>
      </c>
    </row>
    <row r="64" spans="2:54" x14ac:dyDescent="0.2">
      <c r="B64" t="s">
        <v>419</v>
      </c>
      <c r="C64" t="s">
        <v>420</v>
      </c>
      <c r="D64" t="s">
        <v>66</v>
      </c>
      <c r="H64" t="s">
        <v>60</v>
      </c>
      <c r="I64" t="s">
        <v>88</v>
      </c>
      <c r="N64" s="1"/>
      <c r="S64" t="s">
        <v>71</v>
      </c>
      <c r="T64" s="1"/>
      <c r="AD64" s="1"/>
      <c r="AF64" t="s">
        <v>82</v>
      </c>
      <c r="AH64" t="s">
        <v>76</v>
      </c>
      <c r="AI64" t="s">
        <v>128</v>
      </c>
      <c r="AJ64" t="s">
        <v>63</v>
      </c>
      <c r="AP64" t="b">
        <v>0</v>
      </c>
      <c r="AQ64" t="s">
        <v>79</v>
      </c>
      <c r="BA64" t="b">
        <v>0</v>
      </c>
    </row>
    <row r="65" spans="2:54" x14ac:dyDescent="0.2">
      <c r="B65" t="s">
        <v>421</v>
      </c>
      <c r="C65" t="s">
        <v>422</v>
      </c>
      <c r="D65" t="s">
        <v>66</v>
      </c>
      <c r="H65" t="s">
        <v>88</v>
      </c>
      <c r="I65" t="s">
        <v>88</v>
      </c>
      <c r="N65" s="1"/>
      <c r="S65" t="s">
        <v>71</v>
      </c>
      <c r="T65" s="1"/>
      <c r="AD65" s="1"/>
      <c r="AH65" t="s">
        <v>83</v>
      </c>
      <c r="AI65" t="s">
        <v>128</v>
      </c>
      <c r="AJ65" t="s">
        <v>63</v>
      </c>
      <c r="AP65" t="b">
        <v>1</v>
      </c>
      <c r="AQ65" t="s">
        <v>79</v>
      </c>
      <c r="BA65" t="b">
        <v>0</v>
      </c>
    </row>
    <row r="66" spans="2:54" x14ac:dyDescent="0.2">
      <c r="B66" t="s">
        <v>423</v>
      </c>
      <c r="C66" t="s">
        <v>424</v>
      </c>
      <c r="D66" t="s">
        <v>66</v>
      </c>
      <c r="E66">
        <v>0</v>
      </c>
      <c r="F66" t="s">
        <v>56</v>
      </c>
      <c r="H66" t="s">
        <v>60</v>
      </c>
      <c r="I66" t="s">
        <v>60</v>
      </c>
      <c r="J66" t="s">
        <v>336</v>
      </c>
      <c r="K66" t="s">
        <v>70</v>
      </c>
      <c r="L66" t="s">
        <v>60</v>
      </c>
      <c r="M66" t="s">
        <v>70</v>
      </c>
      <c r="N66" s="1"/>
      <c r="S66" t="s">
        <v>425</v>
      </c>
      <c r="T66" s="1"/>
      <c r="U66" t="s">
        <v>70</v>
      </c>
      <c r="V66" t="s">
        <v>426</v>
      </c>
      <c r="W66" t="s">
        <v>427</v>
      </c>
      <c r="X66" t="s">
        <v>70</v>
      </c>
      <c r="Y66" t="s">
        <v>70</v>
      </c>
      <c r="Z66" t="s">
        <v>70</v>
      </c>
      <c r="AA66" t="s">
        <v>70</v>
      </c>
      <c r="AB66" t="s">
        <v>70</v>
      </c>
      <c r="AD66" s="1"/>
      <c r="AE66" t="s">
        <v>428</v>
      </c>
      <c r="AF66" t="s">
        <v>429</v>
      </c>
      <c r="AG66" t="s">
        <v>430</v>
      </c>
      <c r="AH66" t="s">
        <v>76</v>
      </c>
      <c r="AI66" t="s">
        <v>84</v>
      </c>
      <c r="AJ66" t="s">
        <v>63</v>
      </c>
      <c r="AL66" t="s">
        <v>70</v>
      </c>
      <c r="AM66" t="s">
        <v>70</v>
      </c>
      <c r="AN66" t="s">
        <v>78</v>
      </c>
      <c r="AO66" t="s">
        <v>70</v>
      </c>
      <c r="AP66" t="b">
        <v>0</v>
      </c>
      <c r="AQ66" t="s">
        <v>79</v>
      </c>
      <c r="BA66" t="b">
        <v>0</v>
      </c>
    </row>
    <row r="67" spans="2:54" x14ac:dyDescent="0.2">
      <c r="B67" t="s">
        <v>431</v>
      </c>
      <c r="C67" t="s">
        <v>432</v>
      </c>
      <c r="D67" t="s">
        <v>66</v>
      </c>
      <c r="E67">
        <v>14000</v>
      </c>
      <c r="F67" t="s">
        <v>433</v>
      </c>
      <c r="H67" t="s">
        <v>60</v>
      </c>
      <c r="I67" t="s">
        <v>60</v>
      </c>
      <c r="J67" t="s">
        <v>69</v>
      </c>
      <c r="K67" t="s">
        <v>70</v>
      </c>
      <c r="L67" t="s">
        <v>60</v>
      </c>
      <c r="M67" t="s">
        <v>70</v>
      </c>
      <c r="N67" s="1"/>
      <c r="S67" t="s">
        <v>71</v>
      </c>
      <c r="T67" s="1"/>
      <c r="U67" t="s">
        <v>70</v>
      </c>
      <c r="V67" t="s">
        <v>434</v>
      </c>
      <c r="W67" t="s">
        <v>435</v>
      </c>
      <c r="X67" t="s">
        <v>70</v>
      </c>
      <c r="Y67" t="s">
        <v>70</v>
      </c>
      <c r="Z67" t="s">
        <v>70</v>
      </c>
      <c r="AA67" t="s">
        <v>70</v>
      </c>
      <c r="AB67" t="s">
        <v>70</v>
      </c>
      <c r="AC67">
        <v>2004</v>
      </c>
      <c r="AD67" s="1"/>
      <c r="AE67" t="s">
        <v>436</v>
      </c>
      <c r="AF67" t="s">
        <v>126</v>
      </c>
      <c r="AG67" t="s">
        <v>437</v>
      </c>
      <c r="AH67" t="s">
        <v>295</v>
      </c>
      <c r="AI67" t="s">
        <v>84</v>
      </c>
      <c r="AJ67" t="s">
        <v>63</v>
      </c>
      <c r="AL67" t="s">
        <v>70</v>
      </c>
      <c r="AM67" t="s">
        <v>438</v>
      </c>
      <c r="AN67" t="s">
        <v>78</v>
      </c>
      <c r="AO67" t="s">
        <v>70</v>
      </c>
      <c r="AP67" t="b">
        <v>1</v>
      </c>
      <c r="AQ67" t="s">
        <v>262</v>
      </c>
      <c r="AR67" t="s">
        <v>439</v>
      </c>
      <c r="BA67" t="b">
        <v>0</v>
      </c>
    </row>
    <row r="68" spans="2:54" x14ac:dyDescent="0.2">
      <c r="B68" t="s">
        <v>440</v>
      </c>
      <c r="C68" t="s">
        <v>441</v>
      </c>
      <c r="D68" t="s">
        <v>66</v>
      </c>
      <c r="E68">
        <v>0</v>
      </c>
      <c r="F68" t="s">
        <v>56</v>
      </c>
      <c r="H68" t="s">
        <v>60</v>
      </c>
      <c r="I68" t="s">
        <v>60</v>
      </c>
      <c r="J68" t="s">
        <v>69</v>
      </c>
      <c r="K68" t="s">
        <v>70</v>
      </c>
      <c r="L68" t="s">
        <v>60</v>
      </c>
      <c r="M68" t="s">
        <v>70</v>
      </c>
      <c r="N68" s="1"/>
      <c r="S68" t="s">
        <v>71</v>
      </c>
      <c r="T68" s="1"/>
      <c r="U68" t="s">
        <v>70</v>
      </c>
      <c r="V68" t="s">
        <v>442</v>
      </c>
      <c r="W68" t="s">
        <v>70</v>
      </c>
      <c r="X68" t="s">
        <v>70</v>
      </c>
      <c r="Y68" t="s">
        <v>70</v>
      </c>
      <c r="Z68" t="s">
        <v>70</v>
      </c>
      <c r="AA68" t="s">
        <v>70</v>
      </c>
      <c r="AB68" t="s">
        <v>70</v>
      </c>
      <c r="AC68">
        <v>2006</v>
      </c>
      <c r="AD68" s="1"/>
      <c r="AE68" t="s">
        <v>443</v>
      </c>
      <c r="AF68" t="s">
        <v>355</v>
      </c>
      <c r="AG68" t="s">
        <v>444</v>
      </c>
      <c r="AH68" t="s">
        <v>76</v>
      </c>
      <c r="AI68" t="s">
        <v>128</v>
      </c>
      <c r="AJ68" t="s">
        <v>63</v>
      </c>
      <c r="AL68" t="s">
        <v>70</v>
      </c>
      <c r="AM68" t="s">
        <v>70</v>
      </c>
      <c r="AN68" t="s">
        <v>78</v>
      </c>
      <c r="AO68" t="s">
        <v>70</v>
      </c>
      <c r="AP68" t="b">
        <v>1</v>
      </c>
      <c r="AQ68" t="s">
        <v>79</v>
      </c>
      <c r="BA68" t="b">
        <v>0</v>
      </c>
    </row>
    <row r="69" spans="2:54" x14ac:dyDescent="0.2">
      <c r="B69" t="s">
        <v>445</v>
      </c>
      <c r="C69" t="s">
        <v>446</v>
      </c>
      <c r="D69" t="s">
        <v>66</v>
      </c>
      <c r="E69">
        <v>5566</v>
      </c>
      <c r="F69" t="s">
        <v>447</v>
      </c>
      <c r="H69" t="s">
        <v>60</v>
      </c>
      <c r="I69" t="s">
        <v>448</v>
      </c>
      <c r="J69" t="s">
        <v>58</v>
      </c>
      <c r="K69" t="s">
        <v>70</v>
      </c>
      <c r="L69" t="s">
        <v>448</v>
      </c>
      <c r="M69" t="s">
        <v>70</v>
      </c>
      <c r="N69" s="1"/>
      <c r="S69" t="s">
        <v>125</v>
      </c>
      <c r="T69" s="1"/>
      <c r="U69" t="s">
        <v>70</v>
      </c>
      <c r="V69" t="s">
        <v>449</v>
      </c>
      <c r="W69" t="s">
        <v>450</v>
      </c>
      <c r="X69" t="s">
        <v>451</v>
      </c>
      <c r="Y69" t="s">
        <v>452</v>
      </c>
      <c r="Z69" t="s">
        <v>453</v>
      </c>
      <c r="AA69" t="s">
        <v>454</v>
      </c>
      <c r="AB69" t="s">
        <v>455</v>
      </c>
      <c r="AC69">
        <v>2014</v>
      </c>
      <c r="AD69" s="1"/>
      <c r="AE69" t="s">
        <v>456</v>
      </c>
      <c r="AF69" t="s">
        <v>457</v>
      </c>
      <c r="AG69" t="s">
        <v>458</v>
      </c>
      <c r="AH69" t="s">
        <v>76</v>
      </c>
      <c r="AI69" t="s">
        <v>84</v>
      </c>
      <c r="AJ69" t="s">
        <v>63</v>
      </c>
      <c r="AK69">
        <v>770</v>
      </c>
      <c r="AL69" t="s">
        <v>70</v>
      </c>
      <c r="AM69" t="s">
        <v>70</v>
      </c>
      <c r="AN69" t="s">
        <v>459</v>
      </c>
      <c r="AO69" t="s">
        <v>460</v>
      </c>
      <c r="AP69" t="b">
        <v>1</v>
      </c>
      <c r="AQ69" t="s">
        <v>79</v>
      </c>
      <c r="AW69" t="s">
        <v>461</v>
      </c>
      <c r="AX69" t="s">
        <v>462</v>
      </c>
      <c r="AY69" t="s">
        <v>463</v>
      </c>
      <c r="AZ69" t="s">
        <v>464</v>
      </c>
      <c r="BA69" t="b">
        <v>0</v>
      </c>
    </row>
    <row r="70" spans="2:54" x14ac:dyDescent="0.2">
      <c r="B70" t="s">
        <v>465</v>
      </c>
      <c r="C70" t="s">
        <v>466</v>
      </c>
      <c r="D70" t="s">
        <v>66</v>
      </c>
      <c r="H70" t="s">
        <v>60</v>
      </c>
      <c r="I70" t="s">
        <v>60</v>
      </c>
      <c r="J70" t="s">
        <v>467</v>
      </c>
      <c r="L70" t="s">
        <v>467</v>
      </c>
      <c r="N70" s="1"/>
      <c r="S70" t="s">
        <v>125</v>
      </c>
      <c r="T70" s="1"/>
      <c r="AD70" s="1"/>
      <c r="AF70" t="s">
        <v>467</v>
      </c>
      <c r="AH70" t="s">
        <v>468</v>
      </c>
      <c r="AI70" t="s">
        <v>84</v>
      </c>
      <c r="AJ70" t="s">
        <v>63</v>
      </c>
      <c r="AP70" t="b">
        <v>1</v>
      </c>
      <c r="AQ70" t="s">
        <v>262</v>
      </c>
      <c r="BA70" t="b">
        <v>0</v>
      </c>
    </row>
    <row r="71" spans="2:54" x14ac:dyDescent="0.2">
      <c r="B71" t="s">
        <v>469</v>
      </c>
      <c r="C71" t="s">
        <v>470</v>
      </c>
      <c r="D71" t="s">
        <v>471</v>
      </c>
      <c r="E71">
        <v>3061</v>
      </c>
      <c r="F71" t="s">
        <v>472</v>
      </c>
      <c r="G71" t="s">
        <v>473</v>
      </c>
      <c r="H71" t="s">
        <v>60</v>
      </c>
      <c r="I71" t="s">
        <v>244</v>
      </c>
      <c r="J71" t="s">
        <v>170</v>
      </c>
      <c r="K71" t="s">
        <v>70</v>
      </c>
      <c r="L71" t="s">
        <v>244</v>
      </c>
      <c r="M71" t="s">
        <v>70</v>
      </c>
      <c r="N71" s="1"/>
      <c r="S71" t="s">
        <v>71</v>
      </c>
      <c r="T71" s="1"/>
      <c r="U71" t="s">
        <v>70</v>
      </c>
      <c r="V71" t="s">
        <v>474</v>
      </c>
      <c r="W71" t="s">
        <v>475</v>
      </c>
      <c r="X71" t="s">
        <v>476</v>
      </c>
      <c r="Y71" t="s">
        <v>70</v>
      </c>
      <c r="Z71" t="s">
        <v>70</v>
      </c>
      <c r="AA71" t="s">
        <v>70</v>
      </c>
      <c r="AB71" t="s">
        <v>70</v>
      </c>
      <c r="AC71">
        <v>2007</v>
      </c>
      <c r="AD71" s="1">
        <v>39173</v>
      </c>
      <c r="AE71" t="s">
        <v>477</v>
      </c>
      <c r="AF71" t="s">
        <v>82</v>
      </c>
      <c r="AG71" t="s">
        <v>478</v>
      </c>
      <c r="AH71" t="s">
        <v>83</v>
      </c>
      <c r="AI71" t="s">
        <v>84</v>
      </c>
      <c r="AJ71" t="s">
        <v>479</v>
      </c>
      <c r="AL71" t="s">
        <v>70</v>
      </c>
      <c r="AM71" t="s">
        <v>70</v>
      </c>
      <c r="AN71" t="s">
        <v>78</v>
      </c>
      <c r="AO71" t="s">
        <v>70</v>
      </c>
      <c r="AP71" t="b">
        <v>1</v>
      </c>
      <c r="AQ71" t="s">
        <v>79</v>
      </c>
      <c r="AS71" t="s">
        <v>379</v>
      </c>
      <c r="AT71" t="s">
        <v>480</v>
      </c>
      <c r="BA71" t="b">
        <v>0</v>
      </c>
    </row>
    <row r="72" spans="2:54" x14ac:dyDescent="0.2">
      <c r="B72" t="s">
        <v>481</v>
      </c>
      <c r="C72" t="s">
        <v>482</v>
      </c>
      <c r="D72" t="s">
        <v>66</v>
      </c>
      <c r="H72" t="s">
        <v>88</v>
      </c>
      <c r="I72" t="s">
        <v>483</v>
      </c>
      <c r="J72" t="s">
        <v>89</v>
      </c>
      <c r="L72" t="s">
        <v>155</v>
      </c>
      <c r="N72" s="1"/>
      <c r="S72" t="s">
        <v>125</v>
      </c>
      <c r="T72" s="1"/>
      <c r="AD72" s="1"/>
      <c r="AF72" t="s">
        <v>82</v>
      </c>
      <c r="AH72" t="s">
        <v>115</v>
      </c>
      <c r="AI72" t="s">
        <v>128</v>
      </c>
      <c r="AJ72" t="s">
        <v>63</v>
      </c>
      <c r="AP72" t="b">
        <v>0</v>
      </c>
      <c r="AQ72" t="s">
        <v>79</v>
      </c>
      <c r="BA72" t="b">
        <v>0</v>
      </c>
    </row>
    <row r="73" spans="2:54" x14ac:dyDescent="0.2">
      <c r="B73" t="s">
        <v>484</v>
      </c>
      <c r="C73" t="s">
        <v>485</v>
      </c>
      <c r="D73" t="s">
        <v>66</v>
      </c>
      <c r="H73" t="s">
        <v>88</v>
      </c>
      <c r="I73" t="s">
        <v>60</v>
      </c>
      <c r="K73" t="s">
        <v>70</v>
      </c>
      <c r="M73" t="s">
        <v>70</v>
      </c>
      <c r="N73" s="1"/>
      <c r="S73" t="s">
        <v>71</v>
      </c>
      <c r="T73" s="1"/>
      <c r="U73" t="s">
        <v>70</v>
      </c>
      <c r="V73" t="s">
        <v>70</v>
      </c>
      <c r="W73" t="s">
        <v>70</v>
      </c>
      <c r="X73" t="s">
        <v>70</v>
      </c>
      <c r="Y73" t="s">
        <v>70</v>
      </c>
      <c r="Z73" t="s">
        <v>70</v>
      </c>
      <c r="AA73" t="s">
        <v>70</v>
      </c>
      <c r="AB73" t="s">
        <v>70</v>
      </c>
      <c r="AD73" s="1"/>
      <c r="AE73" t="s">
        <v>486</v>
      </c>
      <c r="AF73" t="s">
        <v>487</v>
      </c>
      <c r="AG73" t="s">
        <v>78</v>
      </c>
      <c r="AH73" t="s">
        <v>83</v>
      </c>
      <c r="AI73" t="s">
        <v>128</v>
      </c>
      <c r="AJ73" t="s">
        <v>63</v>
      </c>
      <c r="AL73" t="s">
        <v>70</v>
      </c>
      <c r="AM73" t="s">
        <v>70</v>
      </c>
      <c r="AN73" t="s">
        <v>78</v>
      </c>
      <c r="AO73" t="s">
        <v>70</v>
      </c>
      <c r="AP73" t="b">
        <v>1</v>
      </c>
      <c r="AQ73" t="s">
        <v>79</v>
      </c>
      <c r="BA73" t="b">
        <v>0</v>
      </c>
    </row>
    <row r="74" spans="2:54" x14ac:dyDescent="0.2">
      <c r="B74" t="s">
        <v>488</v>
      </c>
      <c r="C74" t="s">
        <v>489</v>
      </c>
      <c r="D74" t="s">
        <v>66</v>
      </c>
      <c r="E74">
        <v>5226</v>
      </c>
      <c r="F74" t="s">
        <v>490</v>
      </c>
      <c r="H74" t="s">
        <v>60</v>
      </c>
      <c r="I74" t="s">
        <v>244</v>
      </c>
      <c r="J74" t="s">
        <v>492</v>
      </c>
      <c r="K74" t="s">
        <v>220</v>
      </c>
      <c r="L74" t="s">
        <v>244</v>
      </c>
      <c r="M74" t="s">
        <v>70</v>
      </c>
      <c r="N74" s="1">
        <v>37073</v>
      </c>
      <c r="S74" t="s">
        <v>71</v>
      </c>
      <c r="T74" s="1"/>
      <c r="U74" t="s">
        <v>70</v>
      </c>
      <c r="V74" t="s">
        <v>493</v>
      </c>
      <c r="W74" t="s">
        <v>494</v>
      </c>
      <c r="X74" t="s">
        <v>495</v>
      </c>
      <c r="Y74" t="s">
        <v>496</v>
      </c>
      <c r="Z74" t="s">
        <v>497</v>
      </c>
      <c r="AA74" t="s">
        <v>498</v>
      </c>
      <c r="AB74" t="s">
        <v>70</v>
      </c>
      <c r="AC74">
        <v>2014</v>
      </c>
      <c r="AD74" s="1">
        <v>41789</v>
      </c>
      <c r="AE74" t="s">
        <v>499</v>
      </c>
      <c r="AF74" t="s">
        <v>82</v>
      </c>
      <c r="AG74" t="s">
        <v>500</v>
      </c>
      <c r="AH74" t="s">
        <v>76</v>
      </c>
      <c r="AI74" t="s">
        <v>128</v>
      </c>
      <c r="AJ74" t="s">
        <v>501</v>
      </c>
      <c r="AL74" t="s">
        <v>70</v>
      </c>
      <c r="AM74" t="s">
        <v>70</v>
      </c>
      <c r="AN74" t="s">
        <v>502</v>
      </c>
      <c r="AO74" t="s">
        <v>503</v>
      </c>
      <c r="AP74" t="b">
        <v>1</v>
      </c>
      <c r="AQ74" t="s">
        <v>79</v>
      </c>
      <c r="AR74" t="s">
        <v>504</v>
      </c>
      <c r="AV74" t="s">
        <v>505</v>
      </c>
      <c r="AW74" t="s">
        <v>506</v>
      </c>
      <c r="AX74" t="s">
        <v>507</v>
      </c>
      <c r="AY74" t="s">
        <v>508</v>
      </c>
      <c r="AZ74" t="s">
        <v>509</v>
      </c>
      <c r="BA74" t="b">
        <v>1</v>
      </c>
      <c r="BB74" t="s">
        <v>510</v>
      </c>
    </row>
    <row r="75" spans="2:54" x14ac:dyDescent="0.2">
      <c r="B75" t="s">
        <v>511</v>
      </c>
      <c r="C75" t="s">
        <v>512</v>
      </c>
      <c r="D75" t="s">
        <v>66</v>
      </c>
      <c r="H75" t="s">
        <v>88</v>
      </c>
      <c r="I75" t="s">
        <v>338</v>
      </c>
      <c r="J75" t="s">
        <v>69</v>
      </c>
      <c r="L75" t="s">
        <v>338</v>
      </c>
      <c r="N75" s="1"/>
      <c r="S75" t="s">
        <v>71</v>
      </c>
      <c r="T75" s="1"/>
      <c r="AD75" s="1"/>
      <c r="AF75" t="s">
        <v>513</v>
      </c>
      <c r="AH75" t="s">
        <v>93</v>
      </c>
      <c r="AI75" t="s">
        <v>128</v>
      </c>
      <c r="AJ75" t="s">
        <v>63</v>
      </c>
      <c r="AP75" t="b">
        <v>1</v>
      </c>
      <c r="AQ75" t="s">
        <v>79</v>
      </c>
      <c r="BA75" t="b">
        <v>0</v>
      </c>
    </row>
    <row r="76" spans="2:54" x14ac:dyDescent="0.2">
      <c r="B76" t="s">
        <v>514</v>
      </c>
      <c r="C76" t="s">
        <v>515</v>
      </c>
      <c r="D76" t="s">
        <v>66</v>
      </c>
      <c r="H76" t="s">
        <v>60</v>
      </c>
      <c r="I76" t="s">
        <v>60</v>
      </c>
      <c r="J76" t="s">
        <v>69</v>
      </c>
      <c r="K76" t="s">
        <v>70</v>
      </c>
      <c r="L76" t="s">
        <v>60</v>
      </c>
      <c r="M76" t="s">
        <v>70</v>
      </c>
      <c r="N76" s="1"/>
      <c r="S76" t="s">
        <v>71</v>
      </c>
      <c r="T76" s="1"/>
      <c r="U76" t="s">
        <v>70</v>
      </c>
      <c r="V76" t="s">
        <v>516</v>
      </c>
      <c r="W76" t="s">
        <v>70</v>
      </c>
      <c r="X76" t="s">
        <v>70</v>
      </c>
      <c r="Y76" t="s">
        <v>70</v>
      </c>
      <c r="Z76" t="s">
        <v>70</v>
      </c>
      <c r="AA76" t="s">
        <v>70</v>
      </c>
      <c r="AB76" t="s">
        <v>70</v>
      </c>
      <c r="AC76">
        <v>2003</v>
      </c>
      <c r="AD76" s="1">
        <v>37681</v>
      </c>
      <c r="AE76" t="s">
        <v>517</v>
      </c>
      <c r="AF76" t="s">
        <v>74</v>
      </c>
      <c r="AG76" t="s">
        <v>518</v>
      </c>
      <c r="AH76" t="s">
        <v>102</v>
      </c>
      <c r="AI76" t="s">
        <v>128</v>
      </c>
      <c r="AJ76" t="s">
        <v>519</v>
      </c>
      <c r="AL76" t="s">
        <v>70</v>
      </c>
      <c r="AM76" t="s">
        <v>70</v>
      </c>
      <c r="AN76" t="s">
        <v>78</v>
      </c>
      <c r="AO76" t="s">
        <v>70</v>
      </c>
      <c r="AP76" t="b">
        <v>1</v>
      </c>
      <c r="AQ76" t="s">
        <v>79</v>
      </c>
      <c r="BA76" t="b">
        <v>0</v>
      </c>
    </row>
    <row r="77" spans="2:54" x14ac:dyDescent="0.2">
      <c r="B77" t="s">
        <v>520</v>
      </c>
      <c r="C77" t="s">
        <v>521</v>
      </c>
      <c r="D77" t="s">
        <v>56</v>
      </c>
      <c r="H77" t="s">
        <v>88</v>
      </c>
      <c r="I77" t="s">
        <v>483</v>
      </c>
      <c r="J77" t="s">
        <v>69</v>
      </c>
      <c r="L77" t="s">
        <v>286</v>
      </c>
      <c r="N77" s="1"/>
      <c r="S77" t="s">
        <v>425</v>
      </c>
      <c r="T77" s="1"/>
      <c r="AD77" s="1"/>
      <c r="AH77" t="s">
        <v>156</v>
      </c>
      <c r="AI77" t="s">
        <v>128</v>
      </c>
      <c r="AJ77" t="s">
        <v>63</v>
      </c>
      <c r="AP77" t="b">
        <v>1</v>
      </c>
      <c r="AQ77" t="s">
        <v>79</v>
      </c>
      <c r="BA77" t="b">
        <v>0</v>
      </c>
    </row>
    <row r="78" spans="2:54" x14ac:dyDescent="0.2">
      <c r="B78" t="s">
        <v>522</v>
      </c>
      <c r="C78" t="s">
        <v>523</v>
      </c>
      <c r="D78" t="s">
        <v>66</v>
      </c>
      <c r="E78">
        <v>5657</v>
      </c>
      <c r="F78" t="s">
        <v>524</v>
      </c>
      <c r="H78" t="s">
        <v>60</v>
      </c>
      <c r="I78" t="s">
        <v>219</v>
      </c>
      <c r="J78" t="s">
        <v>220</v>
      </c>
      <c r="K78" t="s">
        <v>70</v>
      </c>
      <c r="L78" t="s">
        <v>219</v>
      </c>
      <c r="M78" t="s">
        <v>70</v>
      </c>
      <c r="N78" s="1"/>
      <c r="S78" t="s">
        <v>71</v>
      </c>
      <c r="T78" s="1">
        <v>40354</v>
      </c>
      <c r="U78" t="s">
        <v>525</v>
      </c>
      <c r="V78" t="s">
        <v>526</v>
      </c>
      <c r="W78" t="s">
        <v>527</v>
      </c>
      <c r="X78" t="s">
        <v>528</v>
      </c>
      <c r="Y78" t="s">
        <v>529</v>
      </c>
      <c r="Z78" t="s">
        <v>530</v>
      </c>
      <c r="AA78" t="s">
        <v>531</v>
      </c>
      <c r="AB78" t="s">
        <v>3814</v>
      </c>
      <c r="AC78">
        <v>2012</v>
      </c>
      <c r="AD78" s="1"/>
      <c r="AE78" t="s">
        <v>532</v>
      </c>
      <c r="AF78" t="s">
        <v>395</v>
      </c>
      <c r="AG78" t="s">
        <v>533</v>
      </c>
      <c r="AH78" t="s">
        <v>76</v>
      </c>
      <c r="AI78" t="s">
        <v>77</v>
      </c>
      <c r="AJ78" t="s">
        <v>534</v>
      </c>
      <c r="AK78">
        <v>700</v>
      </c>
      <c r="AL78" t="s">
        <v>70</v>
      </c>
      <c r="AM78" t="s">
        <v>70</v>
      </c>
      <c r="AN78" t="s">
        <v>535</v>
      </c>
      <c r="AO78" t="s">
        <v>536</v>
      </c>
      <c r="AP78" t="b">
        <v>1</v>
      </c>
      <c r="AQ78" t="s">
        <v>79</v>
      </c>
      <c r="AV78" t="s">
        <v>537</v>
      </c>
      <c r="AW78" t="s">
        <v>538</v>
      </c>
      <c r="AY78" t="s">
        <v>539</v>
      </c>
      <c r="BA78" t="b">
        <v>0</v>
      </c>
      <c r="BB78" t="s">
        <v>540</v>
      </c>
    </row>
    <row r="79" spans="2:54" x14ac:dyDescent="0.2">
      <c r="B79" t="s">
        <v>541</v>
      </c>
      <c r="C79" t="s">
        <v>542</v>
      </c>
      <c r="D79" t="s">
        <v>66</v>
      </c>
      <c r="E79">
        <v>0</v>
      </c>
      <c r="F79" t="s">
        <v>56</v>
      </c>
      <c r="H79" t="s">
        <v>60</v>
      </c>
      <c r="I79" t="s">
        <v>60</v>
      </c>
      <c r="J79" t="s">
        <v>70</v>
      </c>
      <c r="K79" t="s">
        <v>70</v>
      </c>
      <c r="L79" t="s">
        <v>60</v>
      </c>
      <c r="M79" t="s">
        <v>70</v>
      </c>
      <c r="N79" s="1"/>
      <c r="S79" t="s">
        <v>71</v>
      </c>
      <c r="T79" s="1"/>
      <c r="U79" t="s">
        <v>70</v>
      </c>
      <c r="V79" t="s">
        <v>543</v>
      </c>
      <c r="W79" t="s">
        <v>70</v>
      </c>
      <c r="X79" t="s">
        <v>70</v>
      </c>
      <c r="Y79" t="s">
        <v>70</v>
      </c>
      <c r="Z79" t="s">
        <v>70</v>
      </c>
      <c r="AA79" t="s">
        <v>70</v>
      </c>
      <c r="AB79" t="s">
        <v>70</v>
      </c>
      <c r="AC79">
        <v>2002</v>
      </c>
      <c r="AD79" s="1">
        <v>37347</v>
      </c>
      <c r="AE79" t="s">
        <v>513</v>
      </c>
      <c r="AF79" t="s">
        <v>513</v>
      </c>
      <c r="AG79" t="s">
        <v>544</v>
      </c>
      <c r="AH79" t="s">
        <v>545</v>
      </c>
      <c r="AI79" t="s">
        <v>128</v>
      </c>
      <c r="AJ79" t="s">
        <v>63</v>
      </c>
      <c r="AL79" t="s">
        <v>70</v>
      </c>
      <c r="AM79" t="s">
        <v>70</v>
      </c>
      <c r="AN79" t="s">
        <v>78</v>
      </c>
      <c r="AO79" t="s">
        <v>70</v>
      </c>
      <c r="AP79" t="b">
        <v>1</v>
      </c>
      <c r="AQ79" t="s">
        <v>79</v>
      </c>
      <c r="BA79" t="b">
        <v>0</v>
      </c>
    </row>
    <row r="80" spans="2:54" x14ac:dyDescent="0.2">
      <c r="B80" t="s">
        <v>546</v>
      </c>
      <c r="C80" t="s">
        <v>547</v>
      </c>
      <c r="D80" t="s">
        <v>66</v>
      </c>
      <c r="E80">
        <v>0</v>
      </c>
      <c r="F80" t="s">
        <v>67</v>
      </c>
      <c r="H80" t="s">
        <v>88</v>
      </c>
      <c r="I80" t="s">
        <v>88</v>
      </c>
      <c r="J80" t="s">
        <v>220</v>
      </c>
      <c r="K80" t="s">
        <v>70</v>
      </c>
      <c r="L80" t="s">
        <v>68</v>
      </c>
      <c r="M80" t="s">
        <v>70</v>
      </c>
      <c r="N80" s="1"/>
      <c r="S80" t="s">
        <v>71</v>
      </c>
      <c r="T80" s="1"/>
      <c r="U80" t="s">
        <v>70</v>
      </c>
      <c r="V80" t="s">
        <v>70</v>
      </c>
      <c r="W80" t="s">
        <v>70</v>
      </c>
      <c r="X80" t="s">
        <v>70</v>
      </c>
      <c r="Y80" t="s">
        <v>70</v>
      </c>
      <c r="Z80" t="s">
        <v>70</v>
      </c>
      <c r="AA80" t="s">
        <v>70</v>
      </c>
      <c r="AB80" t="s">
        <v>70</v>
      </c>
      <c r="AD80" s="1"/>
      <c r="AE80" t="s">
        <v>70</v>
      </c>
      <c r="AF80" t="s">
        <v>70</v>
      </c>
      <c r="AG80" t="s">
        <v>78</v>
      </c>
      <c r="AH80" t="s">
        <v>93</v>
      </c>
      <c r="AI80" t="s">
        <v>84</v>
      </c>
      <c r="AJ80" t="s">
        <v>63</v>
      </c>
      <c r="AL80" t="s">
        <v>70</v>
      </c>
      <c r="AM80" t="s">
        <v>70</v>
      </c>
      <c r="AO80" t="s">
        <v>70</v>
      </c>
      <c r="AP80" t="b">
        <v>1</v>
      </c>
      <c r="AQ80" t="s">
        <v>79</v>
      </c>
      <c r="BA80" t="b">
        <v>0</v>
      </c>
    </row>
    <row r="81" spans="2:53" x14ac:dyDescent="0.2">
      <c r="B81" t="s">
        <v>548</v>
      </c>
      <c r="C81" t="s">
        <v>549</v>
      </c>
      <c r="D81" t="s">
        <v>66</v>
      </c>
      <c r="H81" t="s">
        <v>88</v>
      </c>
      <c r="I81" t="s">
        <v>60</v>
      </c>
      <c r="K81" t="s">
        <v>70</v>
      </c>
      <c r="M81" t="s">
        <v>70</v>
      </c>
      <c r="N81" s="1"/>
      <c r="S81" t="s">
        <v>71</v>
      </c>
      <c r="T81" s="1"/>
      <c r="U81" t="s">
        <v>70</v>
      </c>
      <c r="V81" t="s">
        <v>550</v>
      </c>
      <c r="W81" t="s">
        <v>70</v>
      </c>
      <c r="X81" t="s">
        <v>70</v>
      </c>
      <c r="Y81" t="s">
        <v>70</v>
      </c>
      <c r="Z81" t="s">
        <v>70</v>
      </c>
      <c r="AA81" t="s">
        <v>70</v>
      </c>
      <c r="AB81" t="s">
        <v>70</v>
      </c>
      <c r="AC81">
        <v>2004</v>
      </c>
      <c r="AD81" s="1"/>
      <c r="AE81" t="s">
        <v>70</v>
      </c>
      <c r="AF81" t="s">
        <v>70</v>
      </c>
      <c r="AG81" t="s">
        <v>551</v>
      </c>
      <c r="AH81" t="s">
        <v>76</v>
      </c>
      <c r="AI81" t="s">
        <v>128</v>
      </c>
      <c r="AJ81" t="s">
        <v>552</v>
      </c>
      <c r="AL81" t="s">
        <v>70</v>
      </c>
      <c r="AM81" t="s">
        <v>70</v>
      </c>
      <c r="AN81" t="s">
        <v>78</v>
      </c>
      <c r="AO81" t="s">
        <v>70</v>
      </c>
      <c r="AP81" t="b">
        <v>1</v>
      </c>
      <c r="AQ81" t="s">
        <v>79</v>
      </c>
      <c r="BA81" t="b">
        <v>0</v>
      </c>
    </row>
    <row r="82" spans="2:53" x14ac:dyDescent="0.2">
      <c r="B82" t="s">
        <v>553</v>
      </c>
      <c r="C82" t="s">
        <v>554</v>
      </c>
      <c r="D82" t="s">
        <v>66</v>
      </c>
      <c r="H82" t="s">
        <v>88</v>
      </c>
      <c r="I82" t="s">
        <v>68</v>
      </c>
      <c r="J82" t="s">
        <v>69</v>
      </c>
      <c r="N82" s="1"/>
      <c r="S82" t="s">
        <v>71</v>
      </c>
      <c r="T82" s="1"/>
      <c r="AD82" s="1"/>
      <c r="AH82" t="s">
        <v>83</v>
      </c>
      <c r="AI82" t="s">
        <v>128</v>
      </c>
      <c r="AJ82" t="s">
        <v>63</v>
      </c>
      <c r="AP82" t="b">
        <v>1</v>
      </c>
      <c r="AQ82" t="s">
        <v>79</v>
      </c>
      <c r="BA82" t="b">
        <v>0</v>
      </c>
    </row>
    <row r="83" spans="2:53" x14ac:dyDescent="0.2">
      <c r="B83" t="s">
        <v>555</v>
      </c>
      <c r="C83" t="s">
        <v>556</v>
      </c>
      <c r="D83" t="s">
        <v>66</v>
      </c>
      <c r="H83" t="s">
        <v>60</v>
      </c>
      <c r="I83" t="s">
        <v>60</v>
      </c>
      <c r="K83" t="s">
        <v>70</v>
      </c>
      <c r="M83" t="s">
        <v>70</v>
      </c>
      <c r="N83" s="1"/>
      <c r="S83" t="s">
        <v>71</v>
      </c>
      <c r="T83" s="1"/>
      <c r="U83" t="s">
        <v>70</v>
      </c>
      <c r="V83" t="s">
        <v>557</v>
      </c>
      <c r="W83" t="s">
        <v>70</v>
      </c>
      <c r="X83" t="s">
        <v>70</v>
      </c>
      <c r="Y83" t="s">
        <v>70</v>
      </c>
      <c r="Z83" t="s">
        <v>70</v>
      </c>
      <c r="AA83" t="s">
        <v>70</v>
      </c>
      <c r="AB83" t="s">
        <v>70</v>
      </c>
      <c r="AC83">
        <v>2003</v>
      </c>
      <c r="AD83" s="1"/>
      <c r="AE83" t="s">
        <v>558</v>
      </c>
      <c r="AF83" t="s">
        <v>120</v>
      </c>
      <c r="AG83" t="s">
        <v>559</v>
      </c>
      <c r="AH83" t="s">
        <v>83</v>
      </c>
      <c r="AI83" t="s">
        <v>128</v>
      </c>
      <c r="AJ83" t="s">
        <v>63</v>
      </c>
      <c r="AL83" t="s">
        <v>70</v>
      </c>
      <c r="AM83" t="s">
        <v>70</v>
      </c>
      <c r="AN83" t="s">
        <v>78</v>
      </c>
      <c r="AO83" t="s">
        <v>70</v>
      </c>
      <c r="AP83" t="b">
        <v>1</v>
      </c>
      <c r="AQ83" t="s">
        <v>79</v>
      </c>
      <c r="BA83" t="b">
        <v>0</v>
      </c>
    </row>
    <row r="84" spans="2:53" x14ac:dyDescent="0.2">
      <c r="B84" t="s">
        <v>560</v>
      </c>
      <c r="C84" t="s">
        <v>561</v>
      </c>
      <c r="D84" t="s">
        <v>66</v>
      </c>
      <c r="E84">
        <v>2800</v>
      </c>
      <c r="F84" t="s">
        <v>562</v>
      </c>
      <c r="H84" t="s">
        <v>60</v>
      </c>
      <c r="I84" t="s">
        <v>60</v>
      </c>
      <c r="J84" t="s">
        <v>220</v>
      </c>
      <c r="K84" t="s">
        <v>70</v>
      </c>
      <c r="L84" t="s">
        <v>60</v>
      </c>
      <c r="M84" t="s">
        <v>70</v>
      </c>
      <c r="N84" s="1"/>
      <c r="S84" t="s">
        <v>71</v>
      </c>
      <c r="T84" s="1"/>
      <c r="U84" t="s">
        <v>70</v>
      </c>
      <c r="V84" t="s">
        <v>563</v>
      </c>
      <c r="W84" t="s">
        <v>564</v>
      </c>
      <c r="X84" t="s">
        <v>565</v>
      </c>
      <c r="Y84" t="s">
        <v>70</v>
      </c>
      <c r="Z84" t="s">
        <v>70</v>
      </c>
      <c r="AA84" t="s">
        <v>70</v>
      </c>
      <c r="AB84" t="s">
        <v>70</v>
      </c>
      <c r="AC84">
        <v>2005</v>
      </c>
      <c r="AD84" s="1">
        <v>38596</v>
      </c>
      <c r="AE84" t="s">
        <v>70</v>
      </c>
      <c r="AF84" t="s">
        <v>126</v>
      </c>
      <c r="AG84" t="s">
        <v>566</v>
      </c>
      <c r="AH84" t="s">
        <v>295</v>
      </c>
      <c r="AI84" t="s">
        <v>84</v>
      </c>
      <c r="AJ84" t="s">
        <v>63</v>
      </c>
      <c r="AL84" t="s">
        <v>70</v>
      </c>
      <c r="AM84" t="s">
        <v>567</v>
      </c>
      <c r="AN84" t="s">
        <v>78</v>
      </c>
      <c r="AO84" t="s">
        <v>70</v>
      </c>
      <c r="AP84" t="b">
        <v>1</v>
      </c>
      <c r="AQ84" t="s">
        <v>79</v>
      </c>
      <c r="AR84" t="s">
        <v>568</v>
      </c>
      <c r="BA84" t="b">
        <v>0</v>
      </c>
    </row>
    <row r="85" spans="2:53" x14ac:dyDescent="0.2">
      <c r="B85" t="s">
        <v>569</v>
      </c>
      <c r="C85" t="s">
        <v>570</v>
      </c>
      <c r="D85" t="s">
        <v>66</v>
      </c>
      <c r="E85">
        <v>0</v>
      </c>
      <c r="F85" t="s">
        <v>56</v>
      </c>
      <c r="H85" t="s">
        <v>88</v>
      </c>
      <c r="I85" t="s">
        <v>88</v>
      </c>
      <c r="N85" s="1"/>
      <c r="S85" t="s">
        <v>71</v>
      </c>
      <c r="T85" s="1"/>
      <c r="AD85" s="1"/>
      <c r="AF85" t="s">
        <v>513</v>
      </c>
      <c r="AH85" t="s">
        <v>93</v>
      </c>
      <c r="AI85" t="s">
        <v>128</v>
      </c>
      <c r="AJ85" t="s">
        <v>63</v>
      </c>
      <c r="AP85" t="b">
        <v>1</v>
      </c>
      <c r="AQ85" t="s">
        <v>79</v>
      </c>
      <c r="BA85" t="b">
        <v>0</v>
      </c>
    </row>
    <row r="86" spans="2:53" x14ac:dyDescent="0.2">
      <c r="B86" t="s">
        <v>571</v>
      </c>
      <c r="C86" t="s">
        <v>572</v>
      </c>
      <c r="D86" t="s">
        <v>66</v>
      </c>
      <c r="H86" t="s">
        <v>88</v>
      </c>
      <c r="I86" t="s">
        <v>88</v>
      </c>
      <c r="J86" t="s">
        <v>70</v>
      </c>
      <c r="K86" t="s">
        <v>70</v>
      </c>
      <c r="L86" t="s">
        <v>70</v>
      </c>
      <c r="M86" t="s">
        <v>70</v>
      </c>
      <c r="N86" s="1"/>
      <c r="S86" t="s">
        <v>71</v>
      </c>
      <c r="T86" s="1"/>
      <c r="U86" t="s">
        <v>70</v>
      </c>
      <c r="V86" t="s">
        <v>70</v>
      </c>
      <c r="W86" t="s">
        <v>70</v>
      </c>
      <c r="X86" t="s">
        <v>70</v>
      </c>
      <c r="Y86" t="s">
        <v>70</v>
      </c>
      <c r="Z86" t="s">
        <v>70</v>
      </c>
      <c r="AA86" t="s">
        <v>70</v>
      </c>
      <c r="AB86" t="s">
        <v>70</v>
      </c>
      <c r="AD86" s="1"/>
      <c r="AE86" t="s">
        <v>70</v>
      </c>
      <c r="AF86" t="s">
        <v>267</v>
      </c>
      <c r="AG86" t="s">
        <v>78</v>
      </c>
      <c r="AH86" t="s">
        <v>93</v>
      </c>
      <c r="AI86" t="s">
        <v>128</v>
      </c>
      <c r="AJ86" t="s">
        <v>63</v>
      </c>
      <c r="AL86" t="s">
        <v>70</v>
      </c>
      <c r="AM86" t="s">
        <v>70</v>
      </c>
      <c r="AN86" t="s">
        <v>78</v>
      </c>
      <c r="AO86" t="s">
        <v>70</v>
      </c>
      <c r="AP86" t="b">
        <v>1</v>
      </c>
      <c r="AQ86" t="s">
        <v>79</v>
      </c>
      <c r="BA86" t="b">
        <v>0</v>
      </c>
    </row>
    <row r="87" spans="2:53" x14ac:dyDescent="0.2">
      <c r="B87" t="s">
        <v>573</v>
      </c>
      <c r="C87" t="s">
        <v>574</v>
      </c>
      <c r="D87" t="s">
        <v>66</v>
      </c>
      <c r="H87" t="s">
        <v>60</v>
      </c>
      <c r="I87" t="s">
        <v>60</v>
      </c>
      <c r="K87" t="s">
        <v>70</v>
      </c>
      <c r="M87" t="s">
        <v>70</v>
      </c>
      <c r="N87" s="1"/>
      <c r="S87" t="s">
        <v>71</v>
      </c>
      <c r="T87" s="1"/>
      <c r="U87" t="s">
        <v>70</v>
      </c>
      <c r="V87" t="s">
        <v>70</v>
      </c>
      <c r="W87" t="s">
        <v>70</v>
      </c>
      <c r="X87" t="s">
        <v>70</v>
      </c>
      <c r="Y87" t="s">
        <v>70</v>
      </c>
      <c r="Z87" t="s">
        <v>70</v>
      </c>
      <c r="AA87" t="s">
        <v>70</v>
      </c>
      <c r="AB87" t="s">
        <v>70</v>
      </c>
      <c r="AD87" s="1"/>
      <c r="AE87" t="s">
        <v>70</v>
      </c>
      <c r="AF87" t="s">
        <v>82</v>
      </c>
      <c r="AG87" t="s">
        <v>575</v>
      </c>
      <c r="AH87" t="s">
        <v>76</v>
      </c>
      <c r="AI87" t="s">
        <v>128</v>
      </c>
      <c r="AJ87" t="s">
        <v>63</v>
      </c>
      <c r="AL87" t="s">
        <v>70</v>
      </c>
      <c r="AM87" t="s">
        <v>70</v>
      </c>
      <c r="AN87" t="s">
        <v>78</v>
      </c>
      <c r="AO87" t="s">
        <v>70</v>
      </c>
      <c r="AP87" t="b">
        <v>0</v>
      </c>
      <c r="AQ87" t="s">
        <v>79</v>
      </c>
      <c r="BA87" t="b">
        <v>0</v>
      </c>
    </row>
    <row r="88" spans="2:53" x14ac:dyDescent="0.2">
      <c r="B88" t="s">
        <v>576</v>
      </c>
      <c r="C88" t="s">
        <v>577</v>
      </c>
      <c r="D88" t="s">
        <v>66</v>
      </c>
      <c r="H88" t="s">
        <v>88</v>
      </c>
      <c r="I88" t="s">
        <v>578</v>
      </c>
      <c r="J88" t="s">
        <v>118</v>
      </c>
      <c r="L88" t="s">
        <v>60</v>
      </c>
      <c r="N88" s="1"/>
      <c r="S88" t="s">
        <v>71</v>
      </c>
      <c r="T88" s="1"/>
      <c r="AD88" s="1"/>
      <c r="AH88" t="s">
        <v>156</v>
      </c>
      <c r="AI88" t="s">
        <v>128</v>
      </c>
      <c r="AJ88" t="s">
        <v>63</v>
      </c>
      <c r="AP88" t="b">
        <v>1</v>
      </c>
      <c r="AQ88" t="s">
        <v>79</v>
      </c>
      <c r="BA88" t="b">
        <v>0</v>
      </c>
    </row>
    <row r="89" spans="2:53" x14ac:dyDescent="0.2">
      <c r="B89" t="s">
        <v>579</v>
      </c>
      <c r="C89" t="s">
        <v>580</v>
      </c>
      <c r="D89" t="s">
        <v>66</v>
      </c>
      <c r="E89">
        <v>0</v>
      </c>
      <c r="F89" t="s">
        <v>56</v>
      </c>
      <c r="H89" t="s">
        <v>88</v>
      </c>
      <c r="I89" t="s">
        <v>88</v>
      </c>
      <c r="J89" t="s">
        <v>70</v>
      </c>
      <c r="K89" t="s">
        <v>70</v>
      </c>
      <c r="L89" t="s">
        <v>70</v>
      </c>
      <c r="M89" t="s">
        <v>70</v>
      </c>
      <c r="N89" s="1"/>
      <c r="S89" t="s">
        <v>71</v>
      </c>
      <c r="T89" s="1"/>
      <c r="U89" t="s">
        <v>70</v>
      </c>
      <c r="V89" t="s">
        <v>70</v>
      </c>
      <c r="W89" t="s">
        <v>70</v>
      </c>
      <c r="X89" t="s">
        <v>70</v>
      </c>
      <c r="Y89" t="s">
        <v>70</v>
      </c>
      <c r="Z89" t="s">
        <v>70</v>
      </c>
      <c r="AA89" t="s">
        <v>70</v>
      </c>
      <c r="AB89" t="s">
        <v>70</v>
      </c>
      <c r="AD89" s="1"/>
      <c r="AE89" t="s">
        <v>581</v>
      </c>
      <c r="AF89" t="s">
        <v>82</v>
      </c>
      <c r="AG89" t="s">
        <v>582</v>
      </c>
      <c r="AH89" t="s">
        <v>76</v>
      </c>
      <c r="AI89" t="s">
        <v>128</v>
      </c>
      <c r="AJ89" t="s">
        <v>63</v>
      </c>
      <c r="AL89" t="s">
        <v>70</v>
      </c>
      <c r="AM89" t="s">
        <v>70</v>
      </c>
      <c r="AN89" t="s">
        <v>78</v>
      </c>
      <c r="AO89" t="s">
        <v>70</v>
      </c>
      <c r="AP89" t="b">
        <v>1</v>
      </c>
      <c r="AQ89" t="s">
        <v>79</v>
      </c>
      <c r="BA89" t="b">
        <v>0</v>
      </c>
    </row>
    <row r="90" spans="2:53" x14ac:dyDescent="0.2">
      <c r="B90" t="s">
        <v>583</v>
      </c>
      <c r="C90" t="s">
        <v>584</v>
      </c>
      <c r="D90" t="s">
        <v>66</v>
      </c>
      <c r="E90">
        <v>0</v>
      </c>
      <c r="H90" t="s">
        <v>88</v>
      </c>
      <c r="I90" t="s">
        <v>60</v>
      </c>
      <c r="K90" t="s">
        <v>70</v>
      </c>
      <c r="M90" t="s">
        <v>70</v>
      </c>
      <c r="N90" s="1"/>
      <c r="S90" t="s">
        <v>71</v>
      </c>
      <c r="T90" s="1"/>
      <c r="U90" t="s">
        <v>70</v>
      </c>
      <c r="V90" t="s">
        <v>70</v>
      </c>
      <c r="W90" t="s">
        <v>70</v>
      </c>
      <c r="X90" t="s">
        <v>70</v>
      </c>
      <c r="Y90" t="s">
        <v>70</v>
      </c>
      <c r="Z90" t="s">
        <v>70</v>
      </c>
      <c r="AA90" t="s">
        <v>70</v>
      </c>
      <c r="AB90" t="s">
        <v>70</v>
      </c>
      <c r="AD90" s="1"/>
      <c r="AE90" t="s">
        <v>70</v>
      </c>
      <c r="AF90" t="s">
        <v>82</v>
      </c>
      <c r="AG90" t="s">
        <v>585</v>
      </c>
      <c r="AH90" t="s">
        <v>586</v>
      </c>
      <c r="AI90" t="s">
        <v>128</v>
      </c>
      <c r="AJ90" t="s">
        <v>63</v>
      </c>
      <c r="AL90" t="s">
        <v>70</v>
      </c>
      <c r="AM90" t="s">
        <v>70</v>
      </c>
      <c r="AN90" t="s">
        <v>78</v>
      </c>
      <c r="AO90" t="s">
        <v>70</v>
      </c>
      <c r="AP90" t="b">
        <v>1</v>
      </c>
      <c r="AQ90" t="s">
        <v>79</v>
      </c>
      <c r="BA90" t="b">
        <v>0</v>
      </c>
    </row>
    <row r="91" spans="2:53" x14ac:dyDescent="0.2">
      <c r="B91" t="s">
        <v>587</v>
      </c>
      <c r="C91" t="s">
        <v>588</v>
      </c>
      <c r="D91" t="s">
        <v>66</v>
      </c>
      <c r="H91" t="s">
        <v>88</v>
      </c>
      <c r="I91" t="s">
        <v>89</v>
      </c>
      <c r="N91" s="1"/>
      <c r="S91" t="s">
        <v>71</v>
      </c>
      <c r="T91" s="1"/>
      <c r="AD91" s="1"/>
      <c r="AH91" t="s">
        <v>83</v>
      </c>
      <c r="AI91" t="s">
        <v>128</v>
      </c>
      <c r="AJ91" t="s">
        <v>63</v>
      </c>
      <c r="AP91" t="b">
        <v>1</v>
      </c>
      <c r="AQ91" t="s">
        <v>79</v>
      </c>
      <c r="BA91" t="b">
        <v>0</v>
      </c>
    </row>
    <row r="92" spans="2:53" x14ac:dyDescent="0.2">
      <c r="B92" t="s">
        <v>589</v>
      </c>
      <c r="C92" t="s">
        <v>590</v>
      </c>
      <c r="E92">
        <v>820</v>
      </c>
      <c r="F92" t="s">
        <v>591</v>
      </c>
      <c r="H92" t="s">
        <v>88</v>
      </c>
      <c r="I92" t="s">
        <v>68</v>
      </c>
      <c r="J92" t="s">
        <v>154</v>
      </c>
      <c r="K92" t="s">
        <v>70</v>
      </c>
      <c r="L92" t="s">
        <v>68</v>
      </c>
      <c r="M92" t="s">
        <v>70</v>
      </c>
      <c r="N92" s="1"/>
      <c r="S92" t="s">
        <v>71</v>
      </c>
      <c r="T92" s="1"/>
      <c r="U92" t="s">
        <v>70</v>
      </c>
      <c r="V92" t="s">
        <v>592</v>
      </c>
      <c r="W92" t="s">
        <v>70</v>
      </c>
      <c r="X92" t="s">
        <v>70</v>
      </c>
      <c r="Y92" t="s">
        <v>70</v>
      </c>
      <c r="Z92" t="s">
        <v>70</v>
      </c>
      <c r="AA92" t="s">
        <v>70</v>
      </c>
      <c r="AB92" t="s">
        <v>70</v>
      </c>
      <c r="AC92">
        <v>2005</v>
      </c>
      <c r="AD92" s="1"/>
      <c r="AE92" t="s">
        <v>593</v>
      </c>
      <c r="AF92" t="s">
        <v>594</v>
      </c>
      <c r="AG92" t="s">
        <v>78</v>
      </c>
      <c r="AH92" t="s">
        <v>156</v>
      </c>
      <c r="AI92" t="s">
        <v>108</v>
      </c>
      <c r="AJ92" t="s">
        <v>63</v>
      </c>
      <c r="AL92" t="s">
        <v>70</v>
      </c>
      <c r="AM92" t="s">
        <v>70</v>
      </c>
      <c r="AN92" t="s">
        <v>78</v>
      </c>
      <c r="AO92" t="s">
        <v>70</v>
      </c>
      <c r="AP92" t="b">
        <v>1</v>
      </c>
      <c r="AQ92" t="s">
        <v>79</v>
      </c>
      <c r="BA92" t="b">
        <v>0</v>
      </c>
    </row>
    <row r="93" spans="2:53" x14ac:dyDescent="0.2">
      <c r="B93" t="s">
        <v>595</v>
      </c>
      <c r="C93" t="s">
        <v>596</v>
      </c>
      <c r="D93" t="s">
        <v>66</v>
      </c>
      <c r="E93">
        <v>0</v>
      </c>
      <c r="F93" t="s">
        <v>56</v>
      </c>
      <c r="H93" t="s">
        <v>88</v>
      </c>
      <c r="I93" t="s">
        <v>88</v>
      </c>
      <c r="J93" t="s">
        <v>70</v>
      </c>
      <c r="K93" t="s">
        <v>70</v>
      </c>
      <c r="L93" t="s">
        <v>60</v>
      </c>
      <c r="M93" t="s">
        <v>70</v>
      </c>
      <c r="N93" s="1"/>
      <c r="S93" t="s">
        <v>71</v>
      </c>
      <c r="T93" s="1"/>
      <c r="U93" t="s">
        <v>70</v>
      </c>
      <c r="V93" t="s">
        <v>70</v>
      </c>
      <c r="W93" t="s">
        <v>70</v>
      </c>
      <c r="X93" t="s">
        <v>70</v>
      </c>
      <c r="Y93" t="s">
        <v>70</v>
      </c>
      <c r="Z93" t="s">
        <v>70</v>
      </c>
      <c r="AA93" t="s">
        <v>70</v>
      </c>
      <c r="AB93" t="s">
        <v>70</v>
      </c>
      <c r="AD93" s="1"/>
      <c r="AE93" t="s">
        <v>597</v>
      </c>
      <c r="AF93" t="s">
        <v>74</v>
      </c>
      <c r="AG93" t="s">
        <v>598</v>
      </c>
      <c r="AH93" t="s">
        <v>127</v>
      </c>
      <c r="AI93" t="s">
        <v>128</v>
      </c>
      <c r="AJ93" t="s">
        <v>63</v>
      </c>
      <c r="AL93" t="s">
        <v>70</v>
      </c>
      <c r="AM93" t="s">
        <v>70</v>
      </c>
      <c r="AN93" t="s">
        <v>78</v>
      </c>
      <c r="AO93" t="s">
        <v>70</v>
      </c>
      <c r="AP93" t="b">
        <v>1</v>
      </c>
      <c r="AQ93" t="s">
        <v>79</v>
      </c>
      <c r="BA93" t="b">
        <v>0</v>
      </c>
    </row>
    <row r="94" spans="2:53" x14ac:dyDescent="0.2">
      <c r="B94" t="s">
        <v>599</v>
      </c>
      <c r="C94" t="s">
        <v>600</v>
      </c>
      <c r="D94" t="s">
        <v>66</v>
      </c>
      <c r="E94">
        <v>0</v>
      </c>
      <c r="F94" t="s">
        <v>56</v>
      </c>
      <c r="H94" t="s">
        <v>88</v>
      </c>
      <c r="I94" t="s">
        <v>88</v>
      </c>
      <c r="N94" s="1"/>
      <c r="S94" t="s">
        <v>71</v>
      </c>
      <c r="T94" s="1"/>
      <c r="AD94" s="1"/>
      <c r="AH94" t="s">
        <v>93</v>
      </c>
      <c r="AI94" t="s">
        <v>128</v>
      </c>
      <c r="AJ94" t="s">
        <v>63</v>
      </c>
      <c r="AP94" t="b">
        <v>1</v>
      </c>
      <c r="AQ94" t="s">
        <v>79</v>
      </c>
      <c r="BA94" t="b">
        <v>0</v>
      </c>
    </row>
    <row r="95" spans="2:53" x14ac:dyDescent="0.2">
      <c r="B95" t="s">
        <v>601</v>
      </c>
      <c r="C95" t="s">
        <v>602</v>
      </c>
      <c r="D95" t="s">
        <v>66</v>
      </c>
      <c r="E95">
        <v>0</v>
      </c>
      <c r="F95" t="s">
        <v>603</v>
      </c>
      <c r="H95" t="s">
        <v>88</v>
      </c>
      <c r="I95" t="s">
        <v>88</v>
      </c>
      <c r="J95" t="s">
        <v>467</v>
      </c>
      <c r="K95" t="s">
        <v>70</v>
      </c>
      <c r="L95" t="s">
        <v>467</v>
      </c>
      <c r="M95" t="s">
        <v>70</v>
      </c>
      <c r="N95" s="1"/>
      <c r="S95" t="s">
        <v>71</v>
      </c>
      <c r="T95" s="1"/>
      <c r="U95" t="s">
        <v>70</v>
      </c>
      <c r="V95" t="s">
        <v>604</v>
      </c>
      <c r="W95" t="s">
        <v>70</v>
      </c>
      <c r="X95" t="s">
        <v>70</v>
      </c>
      <c r="Y95" t="s">
        <v>70</v>
      </c>
      <c r="Z95" t="s">
        <v>70</v>
      </c>
      <c r="AA95" t="s">
        <v>70</v>
      </c>
      <c r="AB95" t="s">
        <v>70</v>
      </c>
      <c r="AC95">
        <v>2008</v>
      </c>
      <c r="AD95" s="1"/>
      <c r="AE95" t="s">
        <v>605</v>
      </c>
      <c r="AF95" t="s">
        <v>606</v>
      </c>
      <c r="AG95" t="s">
        <v>607</v>
      </c>
      <c r="AH95" t="s">
        <v>93</v>
      </c>
      <c r="AI95" t="s">
        <v>77</v>
      </c>
      <c r="AJ95" t="s">
        <v>63</v>
      </c>
      <c r="AL95" t="s">
        <v>70</v>
      </c>
      <c r="AM95" t="s">
        <v>70</v>
      </c>
      <c r="AN95" t="s">
        <v>78</v>
      </c>
      <c r="AO95" t="s">
        <v>70</v>
      </c>
      <c r="AP95" t="b">
        <v>1</v>
      </c>
      <c r="AQ95" t="s">
        <v>79</v>
      </c>
      <c r="AR95" t="s">
        <v>608</v>
      </c>
      <c r="BA95" t="b">
        <v>0</v>
      </c>
    </row>
    <row r="96" spans="2:53" x14ac:dyDescent="0.2">
      <c r="B96" t="s">
        <v>609</v>
      </c>
      <c r="C96" t="s">
        <v>610</v>
      </c>
      <c r="D96" t="s">
        <v>66</v>
      </c>
      <c r="E96">
        <v>0</v>
      </c>
      <c r="F96" t="s">
        <v>56</v>
      </c>
      <c r="H96" t="s">
        <v>60</v>
      </c>
      <c r="I96" t="s">
        <v>68</v>
      </c>
      <c r="N96" s="1"/>
      <c r="S96" t="s">
        <v>125</v>
      </c>
      <c r="T96" s="1"/>
      <c r="AD96" s="1"/>
      <c r="AF96" t="s">
        <v>82</v>
      </c>
      <c r="AH96" t="s">
        <v>83</v>
      </c>
      <c r="AI96" t="s">
        <v>84</v>
      </c>
      <c r="AJ96" t="s">
        <v>63</v>
      </c>
      <c r="AP96" t="b">
        <v>0</v>
      </c>
      <c r="AQ96" t="s">
        <v>79</v>
      </c>
      <c r="BA96" t="b">
        <v>0</v>
      </c>
    </row>
    <row r="97" spans="2:53" x14ac:dyDescent="0.2">
      <c r="B97" t="s">
        <v>611</v>
      </c>
      <c r="C97" t="s">
        <v>612</v>
      </c>
      <c r="D97" t="s">
        <v>66</v>
      </c>
      <c r="F97" t="s">
        <v>613</v>
      </c>
      <c r="H97" t="s">
        <v>60</v>
      </c>
      <c r="I97" t="s">
        <v>60</v>
      </c>
      <c r="J97" t="s">
        <v>70</v>
      </c>
      <c r="K97" t="s">
        <v>70</v>
      </c>
      <c r="L97" t="s">
        <v>60</v>
      </c>
      <c r="M97" t="s">
        <v>70</v>
      </c>
      <c r="N97" s="1"/>
      <c r="S97" t="s">
        <v>71</v>
      </c>
      <c r="T97" s="1"/>
      <c r="U97" t="s">
        <v>70</v>
      </c>
      <c r="V97" t="s">
        <v>70</v>
      </c>
      <c r="W97" t="s">
        <v>70</v>
      </c>
      <c r="X97" t="s">
        <v>70</v>
      </c>
      <c r="Y97" t="s">
        <v>70</v>
      </c>
      <c r="Z97" t="s">
        <v>70</v>
      </c>
      <c r="AA97" t="s">
        <v>70</v>
      </c>
      <c r="AB97" t="s">
        <v>70</v>
      </c>
      <c r="AD97" s="1"/>
      <c r="AE97" t="s">
        <v>614</v>
      </c>
      <c r="AF97" t="s">
        <v>82</v>
      </c>
      <c r="AG97" t="s">
        <v>78</v>
      </c>
      <c r="AH97" t="s">
        <v>149</v>
      </c>
      <c r="AI97" t="s">
        <v>128</v>
      </c>
      <c r="AJ97" t="s">
        <v>63</v>
      </c>
      <c r="AL97" t="s">
        <v>70</v>
      </c>
      <c r="AM97" t="s">
        <v>70</v>
      </c>
      <c r="AN97" t="s">
        <v>78</v>
      </c>
      <c r="AO97" t="s">
        <v>70</v>
      </c>
      <c r="AP97" t="b">
        <v>0</v>
      </c>
      <c r="AQ97" t="s">
        <v>79</v>
      </c>
      <c r="BA97" t="b">
        <v>0</v>
      </c>
    </row>
    <row r="98" spans="2:53" x14ac:dyDescent="0.2">
      <c r="B98" t="s">
        <v>615</v>
      </c>
      <c r="C98" t="s">
        <v>616</v>
      </c>
      <c r="D98" t="s">
        <v>66</v>
      </c>
      <c r="E98">
        <v>0</v>
      </c>
      <c r="F98" t="s">
        <v>617</v>
      </c>
      <c r="H98" t="s">
        <v>60</v>
      </c>
      <c r="I98" t="s">
        <v>60</v>
      </c>
      <c r="K98" t="s">
        <v>70</v>
      </c>
      <c r="L98" t="s">
        <v>60</v>
      </c>
      <c r="M98" t="s">
        <v>70</v>
      </c>
      <c r="N98" s="1"/>
      <c r="S98" t="s">
        <v>71</v>
      </c>
      <c r="T98" s="1"/>
      <c r="U98" t="s">
        <v>70</v>
      </c>
      <c r="V98" t="s">
        <v>618</v>
      </c>
      <c r="W98" t="s">
        <v>70</v>
      </c>
      <c r="X98" t="s">
        <v>70</v>
      </c>
      <c r="Y98" t="s">
        <v>70</v>
      </c>
      <c r="Z98" t="s">
        <v>70</v>
      </c>
      <c r="AA98" t="s">
        <v>70</v>
      </c>
      <c r="AB98" t="s">
        <v>70</v>
      </c>
      <c r="AC98">
        <v>2002</v>
      </c>
      <c r="AD98" s="1"/>
      <c r="AE98" t="s">
        <v>619</v>
      </c>
      <c r="AF98" t="s">
        <v>620</v>
      </c>
      <c r="AG98" t="s">
        <v>621</v>
      </c>
      <c r="AH98" t="s">
        <v>149</v>
      </c>
      <c r="AI98" t="s">
        <v>128</v>
      </c>
      <c r="AJ98" t="s">
        <v>63</v>
      </c>
      <c r="AL98" t="s">
        <v>70</v>
      </c>
      <c r="AM98" t="s">
        <v>70</v>
      </c>
      <c r="AN98" t="s">
        <v>78</v>
      </c>
      <c r="AO98" t="s">
        <v>70</v>
      </c>
      <c r="AP98" t="b">
        <v>0</v>
      </c>
      <c r="AQ98" t="s">
        <v>79</v>
      </c>
      <c r="BA98" t="b">
        <v>0</v>
      </c>
    </row>
    <row r="99" spans="2:53" x14ac:dyDescent="0.2">
      <c r="B99" t="s">
        <v>622</v>
      </c>
      <c r="C99" t="s">
        <v>623</v>
      </c>
      <c r="D99" t="s">
        <v>66</v>
      </c>
      <c r="E99">
        <v>0</v>
      </c>
      <c r="F99" t="s">
        <v>624</v>
      </c>
      <c r="H99" t="s">
        <v>60</v>
      </c>
      <c r="I99" t="s">
        <v>60</v>
      </c>
      <c r="J99" t="s">
        <v>70</v>
      </c>
      <c r="K99" t="s">
        <v>70</v>
      </c>
      <c r="L99" t="s">
        <v>60</v>
      </c>
      <c r="M99" t="s">
        <v>70</v>
      </c>
      <c r="N99" s="1"/>
      <c r="S99" t="s">
        <v>71</v>
      </c>
      <c r="T99" s="1"/>
      <c r="U99" t="s">
        <v>70</v>
      </c>
      <c r="V99" t="s">
        <v>618</v>
      </c>
      <c r="W99" t="s">
        <v>70</v>
      </c>
      <c r="X99" t="s">
        <v>70</v>
      </c>
      <c r="Y99" t="s">
        <v>70</v>
      </c>
      <c r="Z99" t="s">
        <v>70</v>
      </c>
      <c r="AA99" t="s">
        <v>70</v>
      </c>
      <c r="AB99" t="s">
        <v>70</v>
      </c>
      <c r="AC99">
        <v>2002</v>
      </c>
      <c r="AD99" s="1"/>
      <c r="AE99" t="s">
        <v>625</v>
      </c>
      <c r="AF99" t="s">
        <v>82</v>
      </c>
      <c r="AG99" t="s">
        <v>626</v>
      </c>
      <c r="AH99" t="s">
        <v>149</v>
      </c>
      <c r="AI99" t="s">
        <v>128</v>
      </c>
      <c r="AJ99" t="s">
        <v>63</v>
      </c>
      <c r="AL99" t="s">
        <v>70</v>
      </c>
      <c r="AM99" t="s">
        <v>70</v>
      </c>
      <c r="AN99" t="s">
        <v>78</v>
      </c>
      <c r="AO99" t="s">
        <v>70</v>
      </c>
      <c r="AP99" t="b">
        <v>0</v>
      </c>
      <c r="AQ99" t="s">
        <v>79</v>
      </c>
      <c r="BA99" t="b">
        <v>0</v>
      </c>
    </row>
    <row r="100" spans="2:53" x14ac:dyDescent="0.2">
      <c r="B100" t="s">
        <v>627</v>
      </c>
      <c r="C100" t="s">
        <v>628</v>
      </c>
      <c r="D100" t="s">
        <v>66</v>
      </c>
      <c r="E100">
        <v>0</v>
      </c>
      <c r="F100" t="s">
        <v>56</v>
      </c>
      <c r="H100" t="s">
        <v>60</v>
      </c>
      <c r="I100" t="s">
        <v>60</v>
      </c>
      <c r="J100" t="s">
        <v>70</v>
      </c>
      <c r="K100" t="s">
        <v>70</v>
      </c>
      <c r="L100" t="s">
        <v>219</v>
      </c>
      <c r="M100" t="s">
        <v>70</v>
      </c>
      <c r="N100" s="1"/>
      <c r="S100" t="s">
        <v>71</v>
      </c>
      <c r="T100" s="1"/>
      <c r="U100" t="s">
        <v>70</v>
      </c>
      <c r="V100" t="s">
        <v>629</v>
      </c>
      <c r="W100" t="s">
        <v>70</v>
      </c>
      <c r="X100" t="s">
        <v>70</v>
      </c>
      <c r="Y100" t="s">
        <v>70</v>
      </c>
      <c r="Z100" t="s">
        <v>70</v>
      </c>
      <c r="AA100" t="s">
        <v>70</v>
      </c>
      <c r="AB100" t="s">
        <v>70</v>
      </c>
      <c r="AC100">
        <v>2005</v>
      </c>
      <c r="AD100" s="1"/>
      <c r="AE100" t="s">
        <v>630</v>
      </c>
      <c r="AF100" t="s">
        <v>631</v>
      </c>
      <c r="AG100" t="s">
        <v>632</v>
      </c>
      <c r="AH100" t="s">
        <v>76</v>
      </c>
      <c r="AI100" t="s">
        <v>128</v>
      </c>
      <c r="AJ100" t="s">
        <v>63</v>
      </c>
      <c r="AL100" t="s">
        <v>70</v>
      </c>
      <c r="AM100" t="s">
        <v>70</v>
      </c>
      <c r="AN100" t="s">
        <v>78</v>
      </c>
      <c r="AO100" t="s">
        <v>70</v>
      </c>
      <c r="AP100" t="b">
        <v>0</v>
      </c>
      <c r="AQ100" t="s">
        <v>79</v>
      </c>
      <c r="BA100" t="b">
        <v>0</v>
      </c>
    </row>
    <row r="101" spans="2:53" x14ac:dyDescent="0.2">
      <c r="B101" t="s">
        <v>633</v>
      </c>
      <c r="C101" t="s">
        <v>634</v>
      </c>
      <c r="D101" t="s">
        <v>66</v>
      </c>
      <c r="E101">
        <v>0</v>
      </c>
      <c r="F101" t="s">
        <v>56</v>
      </c>
      <c r="H101" t="s">
        <v>60</v>
      </c>
      <c r="I101" t="s">
        <v>60</v>
      </c>
      <c r="J101" t="s">
        <v>70</v>
      </c>
      <c r="K101" t="s">
        <v>70</v>
      </c>
      <c r="L101" t="s">
        <v>219</v>
      </c>
      <c r="M101" t="s">
        <v>70</v>
      </c>
      <c r="N101" s="1"/>
      <c r="S101" t="s">
        <v>71</v>
      </c>
      <c r="T101" s="1"/>
      <c r="U101" t="s">
        <v>70</v>
      </c>
      <c r="V101" t="s">
        <v>635</v>
      </c>
      <c r="W101" t="s">
        <v>70</v>
      </c>
      <c r="X101" t="s">
        <v>70</v>
      </c>
      <c r="Y101" t="s">
        <v>70</v>
      </c>
      <c r="Z101" t="s">
        <v>70</v>
      </c>
      <c r="AA101" t="s">
        <v>70</v>
      </c>
      <c r="AB101" t="s">
        <v>70</v>
      </c>
      <c r="AC101">
        <v>2006</v>
      </c>
      <c r="AD101" s="1"/>
      <c r="AE101" t="s">
        <v>636</v>
      </c>
      <c r="AF101" t="s">
        <v>631</v>
      </c>
      <c r="AG101" t="s">
        <v>637</v>
      </c>
      <c r="AH101" t="s">
        <v>149</v>
      </c>
      <c r="AI101" t="s">
        <v>128</v>
      </c>
      <c r="AJ101" t="s">
        <v>63</v>
      </c>
      <c r="AL101" t="s">
        <v>70</v>
      </c>
      <c r="AM101" t="s">
        <v>70</v>
      </c>
      <c r="AN101" t="s">
        <v>78</v>
      </c>
      <c r="AO101" t="s">
        <v>70</v>
      </c>
      <c r="AP101" t="b">
        <v>0</v>
      </c>
      <c r="AQ101" t="s">
        <v>79</v>
      </c>
      <c r="BA101" t="b">
        <v>0</v>
      </c>
    </row>
    <row r="102" spans="2:53" x14ac:dyDescent="0.2">
      <c r="B102" t="s">
        <v>638</v>
      </c>
      <c r="C102" t="s">
        <v>639</v>
      </c>
      <c r="D102" t="s">
        <v>66</v>
      </c>
      <c r="E102">
        <v>0</v>
      </c>
      <c r="F102" t="s">
        <v>56</v>
      </c>
      <c r="H102" t="s">
        <v>60</v>
      </c>
      <c r="I102" t="s">
        <v>60</v>
      </c>
      <c r="N102" s="1"/>
      <c r="S102" t="s">
        <v>71</v>
      </c>
      <c r="T102" s="1"/>
      <c r="AD102" s="1"/>
      <c r="AH102" t="s">
        <v>149</v>
      </c>
      <c r="AI102" t="s">
        <v>84</v>
      </c>
      <c r="AJ102" t="s">
        <v>63</v>
      </c>
      <c r="AP102" t="b">
        <v>0</v>
      </c>
      <c r="AQ102" t="s">
        <v>79</v>
      </c>
      <c r="BA102" t="b">
        <v>0</v>
      </c>
    </row>
    <row r="103" spans="2:53" x14ac:dyDescent="0.2">
      <c r="B103" t="s">
        <v>640</v>
      </c>
      <c r="C103" t="s">
        <v>641</v>
      </c>
      <c r="D103" t="s">
        <v>66</v>
      </c>
      <c r="E103">
        <v>0</v>
      </c>
      <c r="F103" t="s">
        <v>56</v>
      </c>
      <c r="H103" t="s">
        <v>60</v>
      </c>
      <c r="I103" t="s">
        <v>60</v>
      </c>
      <c r="J103" t="s">
        <v>70</v>
      </c>
      <c r="K103" t="s">
        <v>70</v>
      </c>
      <c r="L103" t="s">
        <v>219</v>
      </c>
      <c r="M103" t="s">
        <v>70</v>
      </c>
      <c r="N103" s="1"/>
      <c r="S103" t="s">
        <v>71</v>
      </c>
      <c r="T103" s="1"/>
      <c r="U103" t="s">
        <v>70</v>
      </c>
      <c r="V103" t="s">
        <v>618</v>
      </c>
      <c r="W103" t="s">
        <v>70</v>
      </c>
      <c r="X103" t="s">
        <v>70</v>
      </c>
      <c r="Y103" t="s">
        <v>70</v>
      </c>
      <c r="Z103" t="s">
        <v>70</v>
      </c>
      <c r="AA103" t="s">
        <v>70</v>
      </c>
      <c r="AB103" t="s">
        <v>70</v>
      </c>
      <c r="AC103">
        <v>2002</v>
      </c>
      <c r="AD103" s="1"/>
      <c r="AE103" t="s">
        <v>642</v>
      </c>
      <c r="AF103" t="s">
        <v>82</v>
      </c>
      <c r="AG103" t="s">
        <v>643</v>
      </c>
      <c r="AH103" t="s">
        <v>76</v>
      </c>
      <c r="AI103" t="s">
        <v>128</v>
      </c>
      <c r="AJ103" t="s">
        <v>63</v>
      </c>
      <c r="AL103" t="s">
        <v>70</v>
      </c>
      <c r="AM103" t="s">
        <v>70</v>
      </c>
      <c r="AN103" t="s">
        <v>78</v>
      </c>
      <c r="AO103" t="s">
        <v>70</v>
      </c>
      <c r="AP103" t="b">
        <v>0</v>
      </c>
      <c r="AQ103" t="s">
        <v>79</v>
      </c>
      <c r="BA103" t="b">
        <v>0</v>
      </c>
    </row>
    <row r="104" spans="2:53" x14ac:dyDescent="0.2">
      <c r="B104" t="s">
        <v>644</v>
      </c>
      <c r="C104" t="s">
        <v>645</v>
      </c>
      <c r="D104" t="s">
        <v>66</v>
      </c>
      <c r="E104">
        <v>0</v>
      </c>
      <c r="F104" t="s">
        <v>646</v>
      </c>
      <c r="H104" t="s">
        <v>60</v>
      </c>
      <c r="I104" t="s">
        <v>60</v>
      </c>
      <c r="J104" t="s">
        <v>70</v>
      </c>
      <c r="K104" t="s">
        <v>70</v>
      </c>
      <c r="L104" t="s">
        <v>70</v>
      </c>
      <c r="M104" t="s">
        <v>70</v>
      </c>
      <c r="N104" s="1"/>
      <c r="S104" t="s">
        <v>71</v>
      </c>
      <c r="T104" s="1"/>
      <c r="U104" t="s">
        <v>70</v>
      </c>
      <c r="V104" t="s">
        <v>647</v>
      </c>
      <c r="W104" t="s">
        <v>70</v>
      </c>
      <c r="X104" t="s">
        <v>70</v>
      </c>
      <c r="Y104" t="s">
        <v>70</v>
      </c>
      <c r="Z104" t="s">
        <v>70</v>
      </c>
      <c r="AA104" t="s">
        <v>70</v>
      </c>
      <c r="AB104" t="s">
        <v>70</v>
      </c>
      <c r="AC104">
        <v>2004</v>
      </c>
      <c r="AD104" s="1"/>
      <c r="AE104" t="s">
        <v>648</v>
      </c>
      <c r="AF104" t="s">
        <v>631</v>
      </c>
      <c r="AG104" t="s">
        <v>649</v>
      </c>
      <c r="AH104" t="s">
        <v>76</v>
      </c>
      <c r="AI104" t="s">
        <v>128</v>
      </c>
      <c r="AJ104" t="s">
        <v>63</v>
      </c>
      <c r="AL104" t="s">
        <v>70</v>
      </c>
      <c r="AM104" t="s">
        <v>70</v>
      </c>
      <c r="AN104" t="s">
        <v>78</v>
      </c>
      <c r="AO104" t="s">
        <v>70</v>
      </c>
      <c r="AP104" t="b">
        <v>0</v>
      </c>
      <c r="AQ104" t="s">
        <v>79</v>
      </c>
      <c r="BA104" t="b">
        <v>0</v>
      </c>
    </row>
    <row r="105" spans="2:53" x14ac:dyDescent="0.2">
      <c r="B105" t="s">
        <v>650</v>
      </c>
      <c r="C105" t="s">
        <v>651</v>
      </c>
      <c r="D105" t="s">
        <v>66</v>
      </c>
      <c r="F105" t="s">
        <v>652</v>
      </c>
      <c r="H105" t="s">
        <v>60</v>
      </c>
      <c r="I105" t="s">
        <v>60</v>
      </c>
      <c r="J105" t="s">
        <v>70</v>
      </c>
      <c r="K105" t="s">
        <v>70</v>
      </c>
      <c r="L105" t="s">
        <v>155</v>
      </c>
      <c r="M105" t="s">
        <v>70</v>
      </c>
      <c r="N105" s="1"/>
      <c r="S105" t="s">
        <v>71</v>
      </c>
      <c r="T105" s="1"/>
      <c r="U105" t="s">
        <v>70</v>
      </c>
      <c r="V105" t="s">
        <v>70</v>
      </c>
      <c r="W105" t="s">
        <v>70</v>
      </c>
      <c r="X105" t="s">
        <v>70</v>
      </c>
      <c r="Y105" t="s">
        <v>70</v>
      </c>
      <c r="Z105" t="s">
        <v>70</v>
      </c>
      <c r="AA105" t="s">
        <v>70</v>
      </c>
      <c r="AB105" t="s">
        <v>70</v>
      </c>
      <c r="AD105" s="1"/>
      <c r="AE105" t="s">
        <v>70</v>
      </c>
      <c r="AF105" t="s">
        <v>70</v>
      </c>
      <c r="AG105" t="s">
        <v>78</v>
      </c>
      <c r="AH105" t="s">
        <v>149</v>
      </c>
      <c r="AI105" t="s">
        <v>128</v>
      </c>
      <c r="AJ105" t="s">
        <v>63</v>
      </c>
      <c r="AL105" t="s">
        <v>70</v>
      </c>
      <c r="AM105" t="s">
        <v>70</v>
      </c>
      <c r="AN105" t="s">
        <v>78</v>
      </c>
      <c r="AO105" t="s">
        <v>70</v>
      </c>
      <c r="AP105" t="b">
        <v>0</v>
      </c>
      <c r="AQ105" t="s">
        <v>79</v>
      </c>
      <c r="BA105" t="b">
        <v>0</v>
      </c>
    </row>
    <row r="106" spans="2:53" x14ac:dyDescent="0.2">
      <c r="B106" t="s">
        <v>653</v>
      </c>
      <c r="C106" t="s">
        <v>654</v>
      </c>
      <c r="D106" t="s">
        <v>66</v>
      </c>
      <c r="E106">
        <v>0</v>
      </c>
      <c r="F106" t="s">
        <v>56</v>
      </c>
      <c r="H106" t="s">
        <v>60</v>
      </c>
      <c r="I106" t="s">
        <v>60</v>
      </c>
      <c r="J106" t="s">
        <v>70</v>
      </c>
      <c r="K106" t="s">
        <v>70</v>
      </c>
      <c r="L106" t="s">
        <v>60</v>
      </c>
      <c r="M106" t="s">
        <v>70</v>
      </c>
      <c r="N106" s="1"/>
      <c r="S106" t="s">
        <v>71</v>
      </c>
      <c r="T106" s="1"/>
      <c r="U106" t="s">
        <v>70</v>
      </c>
      <c r="V106" t="s">
        <v>655</v>
      </c>
      <c r="W106" t="s">
        <v>70</v>
      </c>
      <c r="X106" t="s">
        <v>70</v>
      </c>
      <c r="Y106" t="s">
        <v>70</v>
      </c>
      <c r="Z106" t="s">
        <v>70</v>
      </c>
      <c r="AA106" t="s">
        <v>70</v>
      </c>
      <c r="AB106" t="s">
        <v>70</v>
      </c>
      <c r="AC106">
        <v>2005</v>
      </c>
      <c r="AD106" s="1"/>
      <c r="AE106" t="s">
        <v>656</v>
      </c>
      <c r="AF106" t="s">
        <v>82</v>
      </c>
      <c r="AG106" t="s">
        <v>657</v>
      </c>
      <c r="AH106" t="s">
        <v>76</v>
      </c>
      <c r="AI106" t="s">
        <v>128</v>
      </c>
      <c r="AJ106" t="s">
        <v>63</v>
      </c>
      <c r="AL106" t="s">
        <v>70</v>
      </c>
      <c r="AM106" t="s">
        <v>70</v>
      </c>
      <c r="AN106" t="s">
        <v>78</v>
      </c>
      <c r="AO106" t="s">
        <v>70</v>
      </c>
      <c r="AP106" t="b">
        <v>0</v>
      </c>
      <c r="AQ106" t="s">
        <v>79</v>
      </c>
      <c r="BA106" t="b">
        <v>0</v>
      </c>
    </row>
    <row r="107" spans="2:53" x14ac:dyDescent="0.2">
      <c r="B107" t="s">
        <v>658</v>
      </c>
      <c r="C107" t="s">
        <v>659</v>
      </c>
      <c r="D107" t="s">
        <v>66</v>
      </c>
      <c r="E107">
        <v>0</v>
      </c>
      <c r="F107" t="s">
        <v>56</v>
      </c>
      <c r="H107" t="s">
        <v>88</v>
      </c>
      <c r="I107" t="s">
        <v>60</v>
      </c>
      <c r="N107" s="1"/>
      <c r="S107" t="s">
        <v>71</v>
      </c>
      <c r="T107" s="1"/>
      <c r="AD107" s="1"/>
      <c r="AF107" t="s">
        <v>355</v>
      </c>
      <c r="AH107" t="s">
        <v>149</v>
      </c>
      <c r="AI107" t="s">
        <v>84</v>
      </c>
      <c r="AJ107" t="s">
        <v>63</v>
      </c>
      <c r="AP107" t="b">
        <v>0</v>
      </c>
      <c r="AQ107" t="s">
        <v>79</v>
      </c>
      <c r="BA107" t="b">
        <v>0</v>
      </c>
    </row>
    <row r="108" spans="2:53" x14ac:dyDescent="0.2">
      <c r="B108" t="s">
        <v>660</v>
      </c>
      <c r="C108" t="s">
        <v>661</v>
      </c>
      <c r="D108" t="s">
        <v>66</v>
      </c>
      <c r="E108">
        <v>0</v>
      </c>
      <c r="F108" t="s">
        <v>56</v>
      </c>
      <c r="H108" t="s">
        <v>60</v>
      </c>
      <c r="I108" t="s">
        <v>60</v>
      </c>
      <c r="J108" t="s">
        <v>70</v>
      </c>
      <c r="K108" t="s">
        <v>70</v>
      </c>
      <c r="L108" t="s">
        <v>60</v>
      </c>
      <c r="M108" t="s">
        <v>70</v>
      </c>
      <c r="N108" s="1"/>
      <c r="S108" t="s">
        <v>71</v>
      </c>
      <c r="T108" s="1"/>
      <c r="U108" t="s">
        <v>70</v>
      </c>
      <c r="V108" t="s">
        <v>662</v>
      </c>
      <c r="W108" t="s">
        <v>70</v>
      </c>
      <c r="X108" t="s">
        <v>70</v>
      </c>
      <c r="Y108" t="s">
        <v>70</v>
      </c>
      <c r="Z108" t="s">
        <v>70</v>
      </c>
      <c r="AA108" t="s">
        <v>70</v>
      </c>
      <c r="AB108" t="s">
        <v>70</v>
      </c>
      <c r="AC108">
        <v>2003</v>
      </c>
      <c r="AD108" s="1"/>
      <c r="AE108" t="s">
        <v>663</v>
      </c>
      <c r="AF108" t="s">
        <v>664</v>
      </c>
      <c r="AG108" t="s">
        <v>665</v>
      </c>
      <c r="AH108" t="s">
        <v>76</v>
      </c>
      <c r="AI108" t="s">
        <v>128</v>
      </c>
      <c r="AJ108" t="s">
        <v>63</v>
      </c>
      <c r="AL108" t="s">
        <v>70</v>
      </c>
      <c r="AM108" t="s">
        <v>70</v>
      </c>
      <c r="AN108" t="s">
        <v>78</v>
      </c>
      <c r="AO108" t="s">
        <v>70</v>
      </c>
      <c r="AP108" t="b">
        <v>0</v>
      </c>
      <c r="AQ108" t="s">
        <v>79</v>
      </c>
      <c r="BA108" t="b">
        <v>0</v>
      </c>
    </row>
    <row r="109" spans="2:53" x14ac:dyDescent="0.2">
      <c r="B109" t="s">
        <v>666</v>
      </c>
      <c r="C109" t="s">
        <v>667</v>
      </c>
      <c r="D109" t="s">
        <v>66</v>
      </c>
      <c r="E109">
        <v>0</v>
      </c>
      <c r="F109" t="s">
        <v>56</v>
      </c>
      <c r="H109" t="s">
        <v>88</v>
      </c>
      <c r="I109" t="s">
        <v>68</v>
      </c>
      <c r="K109" t="s">
        <v>70</v>
      </c>
      <c r="M109" t="s">
        <v>70</v>
      </c>
      <c r="N109" s="1"/>
      <c r="S109" t="s">
        <v>71</v>
      </c>
      <c r="T109" s="1"/>
      <c r="U109" t="s">
        <v>70</v>
      </c>
      <c r="V109" t="s">
        <v>668</v>
      </c>
      <c r="W109" t="s">
        <v>70</v>
      </c>
      <c r="X109" t="s">
        <v>70</v>
      </c>
      <c r="Y109" t="s">
        <v>70</v>
      </c>
      <c r="Z109" t="s">
        <v>70</v>
      </c>
      <c r="AA109" t="s">
        <v>70</v>
      </c>
      <c r="AB109" t="s">
        <v>70</v>
      </c>
      <c r="AD109" s="1"/>
      <c r="AE109" t="s">
        <v>669</v>
      </c>
      <c r="AF109" t="s">
        <v>670</v>
      </c>
      <c r="AG109" t="s">
        <v>671</v>
      </c>
      <c r="AH109" t="s">
        <v>76</v>
      </c>
      <c r="AI109" t="s">
        <v>108</v>
      </c>
      <c r="AJ109" t="s">
        <v>63</v>
      </c>
      <c r="AL109" t="s">
        <v>70</v>
      </c>
      <c r="AM109" t="s">
        <v>70</v>
      </c>
      <c r="AN109" t="s">
        <v>78</v>
      </c>
      <c r="AO109" t="s">
        <v>70</v>
      </c>
      <c r="AP109" t="b">
        <v>0</v>
      </c>
      <c r="AQ109" t="s">
        <v>79</v>
      </c>
      <c r="BA109" t="b">
        <v>0</v>
      </c>
    </row>
    <row r="110" spans="2:53" x14ac:dyDescent="0.2">
      <c r="B110" t="s">
        <v>672</v>
      </c>
      <c r="C110" t="s">
        <v>673</v>
      </c>
      <c r="D110" t="s">
        <v>66</v>
      </c>
      <c r="E110">
        <v>0</v>
      </c>
      <c r="F110" t="s">
        <v>674</v>
      </c>
      <c r="H110" t="s">
        <v>60</v>
      </c>
      <c r="I110" t="s">
        <v>60</v>
      </c>
      <c r="J110" t="s">
        <v>70</v>
      </c>
      <c r="K110" t="s">
        <v>70</v>
      </c>
      <c r="L110" t="s">
        <v>60</v>
      </c>
      <c r="M110" t="s">
        <v>70</v>
      </c>
      <c r="N110" s="1"/>
      <c r="S110" t="s">
        <v>71</v>
      </c>
      <c r="T110" s="1"/>
      <c r="U110" t="s">
        <v>70</v>
      </c>
      <c r="V110" t="s">
        <v>618</v>
      </c>
      <c r="W110" t="s">
        <v>70</v>
      </c>
      <c r="X110" t="s">
        <v>70</v>
      </c>
      <c r="Y110" t="s">
        <v>70</v>
      </c>
      <c r="Z110" t="s">
        <v>70</v>
      </c>
      <c r="AA110" t="s">
        <v>70</v>
      </c>
      <c r="AB110" t="s">
        <v>70</v>
      </c>
      <c r="AC110">
        <v>2002</v>
      </c>
      <c r="AD110" s="1"/>
      <c r="AE110" t="s">
        <v>675</v>
      </c>
      <c r="AF110" t="s">
        <v>82</v>
      </c>
      <c r="AG110" t="s">
        <v>626</v>
      </c>
      <c r="AH110" t="s">
        <v>149</v>
      </c>
      <c r="AI110" t="s">
        <v>128</v>
      </c>
      <c r="AJ110" t="s">
        <v>63</v>
      </c>
      <c r="AL110" t="s">
        <v>70</v>
      </c>
      <c r="AM110" t="s">
        <v>70</v>
      </c>
      <c r="AN110" t="s">
        <v>78</v>
      </c>
      <c r="AO110" t="s">
        <v>70</v>
      </c>
      <c r="AP110" t="b">
        <v>0</v>
      </c>
      <c r="AQ110" t="s">
        <v>79</v>
      </c>
      <c r="BA110" t="b">
        <v>0</v>
      </c>
    </row>
    <row r="111" spans="2:53" x14ac:dyDescent="0.2">
      <c r="B111" t="s">
        <v>676</v>
      </c>
      <c r="C111" t="s">
        <v>677</v>
      </c>
      <c r="D111" t="s">
        <v>66</v>
      </c>
      <c r="E111">
        <v>0</v>
      </c>
      <c r="F111" t="s">
        <v>56</v>
      </c>
      <c r="H111" t="s">
        <v>60</v>
      </c>
      <c r="I111" t="s">
        <v>60</v>
      </c>
      <c r="J111" t="s">
        <v>70</v>
      </c>
      <c r="K111" t="s">
        <v>70</v>
      </c>
      <c r="L111" t="s">
        <v>60</v>
      </c>
      <c r="M111" t="s">
        <v>70</v>
      </c>
      <c r="N111" s="1"/>
      <c r="S111" t="s">
        <v>71</v>
      </c>
      <c r="T111" s="1"/>
      <c r="U111" t="s">
        <v>70</v>
      </c>
      <c r="V111" t="s">
        <v>678</v>
      </c>
      <c r="W111" t="s">
        <v>70</v>
      </c>
      <c r="X111" t="s">
        <v>70</v>
      </c>
      <c r="Y111" t="s">
        <v>70</v>
      </c>
      <c r="Z111" t="s">
        <v>70</v>
      </c>
      <c r="AA111" t="s">
        <v>70</v>
      </c>
      <c r="AB111" t="s">
        <v>70</v>
      </c>
      <c r="AC111">
        <v>2002</v>
      </c>
      <c r="AD111" s="1"/>
      <c r="AE111" t="s">
        <v>82</v>
      </c>
      <c r="AF111" t="s">
        <v>82</v>
      </c>
      <c r="AG111" t="s">
        <v>679</v>
      </c>
      <c r="AH111" t="s">
        <v>149</v>
      </c>
      <c r="AI111" t="s">
        <v>128</v>
      </c>
      <c r="AJ111" t="s">
        <v>63</v>
      </c>
      <c r="AL111" t="s">
        <v>70</v>
      </c>
      <c r="AM111" t="s">
        <v>70</v>
      </c>
      <c r="AN111" t="s">
        <v>78</v>
      </c>
      <c r="AO111" t="s">
        <v>70</v>
      </c>
      <c r="AP111" t="b">
        <v>0</v>
      </c>
      <c r="AQ111" t="s">
        <v>79</v>
      </c>
      <c r="BA111" t="b">
        <v>0</v>
      </c>
    </row>
    <row r="112" spans="2:53" x14ac:dyDescent="0.2">
      <c r="B112" t="s">
        <v>680</v>
      </c>
      <c r="C112" t="s">
        <v>681</v>
      </c>
      <c r="D112" t="s">
        <v>66</v>
      </c>
      <c r="F112" t="s">
        <v>682</v>
      </c>
      <c r="H112" t="s">
        <v>60</v>
      </c>
      <c r="I112" t="s">
        <v>60</v>
      </c>
      <c r="J112" t="s">
        <v>70</v>
      </c>
      <c r="K112" t="s">
        <v>70</v>
      </c>
      <c r="L112" t="s">
        <v>155</v>
      </c>
      <c r="M112" t="s">
        <v>70</v>
      </c>
      <c r="N112" s="1"/>
      <c r="S112" t="s">
        <v>71</v>
      </c>
      <c r="T112" s="1"/>
      <c r="U112" t="s">
        <v>70</v>
      </c>
      <c r="V112" t="s">
        <v>618</v>
      </c>
      <c r="W112" t="s">
        <v>70</v>
      </c>
      <c r="X112" t="s">
        <v>70</v>
      </c>
      <c r="Y112" t="s">
        <v>70</v>
      </c>
      <c r="Z112" t="s">
        <v>70</v>
      </c>
      <c r="AA112" t="s">
        <v>70</v>
      </c>
      <c r="AB112" t="s">
        <v>70</v>
      </c>
      <c r="AC112">
        <v>2002</v>
      </c>
      <c r="AD112" s="1"/>
      <c r="AE112" t="s">
        <v>683</v>
      </c>
      <c r="AF112" t="s">
        <v>664</v>
      </c>
      <c r="AG112" t="s">
        <v>684</v>
      </c>
      <c r="AH112" t="s">
        <v>149</v>
      </c>
      <c r="AI112" t="s">
        <v>128</v>
      </c>
      <c r="AJ112" t="s">
        <v>63</v>
      </c>
      <c r="AL112" t="s">
        <v>70</v>
      </c>
      <c r="AM112" t="s">
        <v>70</v>
      </c>
      <c r="AN112" t="s">
        <v>78</v>
      </c>
      <c r="AO112" t="s">
        <v>70</v>
      </c>
      <c r="AP112" t="b">
        <v>0</v>
      </c>
      <c r="AQ112" t="s">
        <v>79</v>
      </c>
      <c r="BA112" t="b">
        <v>0</v>
      </c>
    </row>
    <row r="113" spans="2:53" x14ac:dyDescent="0.2">
      <c r="B113" t="s">
        <v>685</v>
      </c>
      <c r="C113" t="s">
        <v>686</v>
      </c>
      <c r="D113" t="s">
        <v>66</v>
      </c>
      <c r="E113">
        <v>0</v>
      </c>
      <c r="F113" t="s">
        <v>687</v>
      </c>
      <c r="H113" t="s">
        <v>60</v>
      </c>
      <c r="I113" t="s">
        <v>60</v>
      </c>
      <c r="J113" t="s">
        <v>70</v>
      </c>
      <c r="K113" t="s">
        <v>70</v>
      </c>
      <c r="L113" t="s">
        <v>60</v>
      </c>
      <c r="M113" t="s">
        <v>70</v>
      </c>
      <c r="N113" s="1"/>
      <c r="S113" t="s">
        <v>71</v>
      </c>
      <c r="T113" s="1"/>
      <c r="U113" t="s">
        <v>70</v>
      </c>
      <c r="V113" t="s">
        <v>618</v>
      </c>
      <c r="W113" t="s">
        <v>70</v>
      </c>
      <c r="X113" t="s">
        <v>70</v>
      </c>
      <c r="Y113" t="s">
        <v>70</v>
      </c>
      <c r="Z113" t="s">
        <v>70</v>
      </c>
      <c r="AA113" t="s">
        <v>70</v>
      </c>
      <c r="AB113" t="s">
        <v>70</v>
      </c>
      <c r="AC113">
        <v>2002</v>
      </c>
      <c r="AD113" s="1"/>
      <c r="AE113" t="s">
        <v>688</v>
      </c>
      <c r="AF113" t="s">
        <v>82</v>
      </c>
      <c r="AG113" t="s">
        <v>689</v>
      </c>
      <c r="AH113" t="s">
        <v>76</v>
      </c>
      <c r="AI113" t="s">
        <v>128</v>
      </c>
      <c r="AJ113" t="s">
        <v>63</v>
      </c>
      <c r="AL113" t="s">
        <v>70</v>
      </c>
      <c r="AM113" t="s">
        <v>70</v>
      </c>
      <c r="AN113" t="s">
        <v>78</v>
      </c>
      <c r="AO113" t="s">
        <v>70</v>
      </c>
      <c r="AP113" t="b">
        <v>0</v>
      </c>
      <c r="AQ113" t="s">
        <v>79</v>
      </c>
      <c r="BA113" t="b">
        <v>0</v>
      </c>
    </row>
    <row r="114" spans="2:53" x14ac:dyDescent="0.2">
      <c r="B114" t="s">
        <v>690</v>
      </c>
      <c r="C114" t="s">
        <v>691</v>
      </c>
      <c r="D114" t="s">
        <v>66</v>
      </c>
      <c r="F114" t="s">
        <v>692</v>
      </c>
      <c r="H114" t="s">
        <v>60</v>
      </c>
      <c r="I114" t="s">
        <v>60</v>
      </c>
      <c r="J114" t="s">
        <v>70</v>
      </c>
      <c r="K114" t="s">
        <v>70</v>
      </c>
      <c r="L114" t="s">
        <v>60</v>
      </c>
      <c r="M114" t="s">
        <v>70</v>
      </c>
      <c r="N114" s="1"/>
      <c r="S114" t="s">
        <v>71</v>
      </c>
      <c r="T114" s="1"/>
      <c r="U114" t="s">
        <v>70</v>
      </c>
      <c r="V114" t="s">
        <v>618</v>
      </c>
      <c r="W114" t="s">
        <v>70</v>
      </c>
      <c r="X114" t="s">
        <v>70</v>
      </c>
      <c r="Y114" t="s">
        <v>70</v>
      </c>
      <c r="Z114" t="s">
        <v>70</v>
      </c>
      <c r="AA114" t="s">
        <v>70</v>
      </c>
      <c r="AB114" t="s">
        <v>70</v>
      </c>
      <c r="AC114">
        <v>2002</v>
      </c>
      <c r="AD114" s="1"/>
      <c r="AE114" t="s">
        <v>693</v>
      </c>
      <c r="AF114" t="s">
        <v>82</v>
      </c>
      <c r="AG114" t="s">
        <v>78</v>
      </c>
      <c r="AH114" t="s">
        <v>149</v>
      </c>
      <c r="AI114" t="s">
        <v>128</v>
      </c>
      <c r="AJ114" t="s">
        <v>63</v>
      </c>
      <c r="AL114" t="s">
        <v>70</v>
      </c>
      <c r="AM114" t="s">
        <v>70</v>
      </c>
      <c r="AN114" t="s">
        <v>78</v>
      </c>
      <c r="AO114" t="s">
        <v>70</v>
      </c>
      <c r="AP114" t="b">
        <v>0</v>
      </c>
      <c r="AQ114" t="s">
        <v>79</v>
      </c>
      <c r="BA114" t="b">
        <v>0</v>
      </c>
    </row>
    <row r="115" spans="2:53" x14ac:dyDescent="0.2">
      <c r="B115" t="s">
        <v>694</v>
      </c>
      <c r="C115" t="s">
        <v>695</v>
      </c>
      <c r="D115" t="s">
        <v>66</v>
      </c>
      <c r="E115">
        <v>3500</v>
      </c>
      <c r="F115" t="s">
        <v>696</v>
      </c>
      <c r="G115" t="s">
        <v>697</v>
      </c>
      <c r="H115" t="s">
        <v>60</v>
      </c>
      <c r="I115" t="s">
        <v>244</v>
      </c>
      <c r="J115" t="s">
        <v>287</v>
      </c>
      <c r="K115" t="s">
        <v>70</v>
      </c>
      <c r="L115" t="s">
        <v>244</v>
      </c>
      <c r="M115" t="s">
        <v>70</v>
      </c>
      <c r="N115" s="1"/>
      <c r="S115" t="s">
        <v>71</v>
      </c>
      <c r="T115" s="1"/>
      <c r="U115" t="s">
        <v>70</v>
      </c>
      <c r="V115" t="s">
        <v>698</v>
      </c>
      <c r="W115" t="s">
        <v>699</v>
      </c>
      <c r="X115" t="s">
        <v>70</v>
      </c>
      <c r="Y115" t="s">
        <v>70</v>
      </c>
      <c r="Z115" t="s">
        <v>70</v>
      </c>
      <c r="AA115" t="s">
        <v>70</v>
      </c>
      <c r="AB115" t="s">
        <v>70</v>
      </c>
      <c r="AC115">
        <v>2008</v>
      </c>
      <c r="AD115" s="1">
        <v>39692</v>
      </c>
      <c r="AE115" t="s">
        <v>70</v>
      </c>
      <c r="AF115" t="s">
        <v>82</v>
      </c>
      <c r="AG115" t="s">
        <v>700</v>
      </c>
      <c r="AH115" t="s">
        <v>83</v>
      </c>
      <c r="AI115" t="s">
        <v>84</v>
      </c>
      <c r="AJ115" t="s">
        <v>63</v>
      </c>
      <c r="AL115" t="s">
        <v>70</v>
      </c>
      <c r="AM115" t="s">
        <v>70</v>
      </c>
      <c r="AN115" t="s">
        <v>78</v>
      </c>
      <c r="AO115" t="s">
        <v>70</v>
      </c>
      <c r="AP115" t="b">
        <v>1</v>
      </c>
      <c r="AQ115" t="s">
        <v>79</v>
      </c>
      <c r="AR115" t="s">
        <v>701</v>
      </c>
      <c r="AS115" t="s">
        <v>702</v>
      </c>
      <c r="AT115" t="s">
        <v>703</v>
      </c>
      <c r="AY115" t="s">
        <v>704</v>
      </c>
      <c r="AZ115" t="s">
        <v>705</v>
      </c>
      <c r="BA115" t="b">
        <v>0</v>
      </c>
    </row>
    <row r="116" spans="2:53" x14ac:dyDescent="0.2">
      <c r="B116" t="s">
        <v>706</v>
      </c>
      <c r="C116" t="s">
        <v>707</v>
      </c>
      <c r="D116" t="s">
        <v>66</v>
      </c>
      <c r="E116">
        <v>8000</v>
      </c>
      <c r="H116" t="s">
        <v>88</v>
      </c>
      <c r="I116" t="s">
        <v>89</v>
      </c>
      <c r="J116" t="s">
        <v>89</v>
      </c>
      <c r="L116" t="s">
        <v>483</v>
      </c>
      <c r="N116" s="1"/>
      <c r="S116" t="s">
        <v>71</v>
      </c>
      <c r="T116" s="1"/>
      <c r="AD116" s="1"/>
      <c r="AF116" t="s">
        <v>429</v>
      </c>
      <c r="AH116" t="s">
        <v>83</v>
      </c>
      <c r="AI116" t="s">
        <v>128</v>
      </c>
      <c r="AJ116" t="s">
        <v>63</v>
      </c>
      <c r="AP116" t="b">
        <v>1</v>
      </c>
      <c r="AQ116" t="s">
        <v>79</v>
      </c>
      <c r="BA116" t="b">
        <v>0</v>
      </c>
    </row>
    <row r="117" spans="2:53" x14ac:dyDescent="0.2">
      <c r="B117" t="s">
        <v>708</v>
      </c>
      <c r="C117" t="s">
        <v>709</v>
      </c>
      <c r="D117" t="s">
        <v>66</v>
      </c>
      <c r="E117">
        <v>6676</v>
      </c>
      <c r="F117" t="s">
        <v>710</v>
      </c>
      <c r="H117" t="s">
        <v>88</v>
      </c>
      <c r="I117" t="s">
        <v>68</v>
      </c>
      <c r="J117" t="s">
        <v>336</v>
      </c>
      <c r="K117" t="s">
        <v>70</v>
      </c>
      <c r="L117" t="s">
        <v>68</v>
      </c>
      <c r="M117" t="s">
        <v>70</v>
      </c>
      <c r="N117" s="1"/>
      <c r="S117" t="s">
        <v>125</v>
      </c>
      <c r="T117" s="1"/>
      <c r="U117" t="s">
        <v>70</v>
      </c>
      <c r="V117" t="s">
        <v>711</v>
      </c>
      <c r="W117" t="s">
        <v>712</v>
      </c>
      <c r="X117" t="s">
        <v>70</v>
      </c>
      <c r="Y117" t="s">
        <v>70</v>
      </c>
      <c r="Z117" t="s">
        <v>70</v>
      </c>
      <c r="AA117" t="s">
        <v>70</v>
      </c>
      <c r="AB117" t="s">
        <v>70</v>
      </c>
      <c r="AC117">
        <v>2006</v>
      </c>
      <c r="AD117" s="1"/>
      <c r="AE117" t="s">
        <v>713</v>
      </c>
      <c r="AF117" t="s">
        <v>714</v>
      </c>
      <c r="AG117" t="s">
        <v>715</v>
      </c>
      <c r="AH117" t="s">
        <v>76</v>
      </c>
      <c r="AI117" t="s">
        <v>84</v>
      </c>
      <c r="AJ117" t="s">
        <v>63</v>
      </c>
      <c r="AK117">
        <v>650</v>
      </c>
      <c r="AL117" t="s">
        <v>70</v>
      </c>
      <c r="AM117" t="s">
        <v>70</v>
      </c>
      <c r="AN117" t="s">
        <v>78</v>
      </c>
      <c r="AO117" t="s">
        <v>70</v>
      </c>
      <c r="AP117" t="b">
        <v>1</v>
      </c>
      <c r="AQ117" t="s">
        <v>79</v>
      </c>
      <c r="AR117" t="s">
        <v>716</v>
      </c>
      <c r="BA117" t="b">
        <v>0</v>
      </c>
    </row>
    <row r="118" spans="2:53" x14ac:dyDescent="0.2">
      <c r="B118" t="s">
        <v>717</v>
      </c>
      <c r="C118" t="s">
        <v>718</v>
      </c>
      <c r="D118" t="s">
        <v>66</v>
      </c>
      <c r="E118">
        <v>3828</v>
      </c>
      <c r="F118" t="s">
        <v>242</v>
      </c>
      <c r="H118" t="s">
        <v>88</v>
      </c>
      <c r="I118" t="s">
        <v>483</v>
      </c>
      <c r="J118" t="s">
        <v>89</v>
      </c>
      <c r="L118" t="s">
        <v>155</v>
      </c>
      <c r="N118" s="1"/>
      <c r="S118" t="s">
        <v>71</v>
      </c>
      <c r="T118" s="1"/>
      <c r="V118" t="s">
        <v>719</v>
      </c>
      <c r="AC118">
        <v>2005</v>
      </c>
      <c r="AD118" s="1"/>
      <c r="AF118" t="s">
        <v>429</v>
      </c>
      <c r="AG118" t="s">
        <v>720</v>
      </c>
      <c r="AH118" t="s">
        <v>295</v>
      </c>
      <c r="AI118" t="s">
        <v>84</v>
      </c>
      <c r="AJ118" t="s">
        <v>63</v>
      </c>
      <c r="AP118" t="b">
        <v>1</v>
      </c>
      <c r="AQ118" t="s">
        <v>79</v>
      </c>
      <c r="BA118" t="b">
        <v>0</v>
      </c>
    </row>
    <row r="119" spans="2:53" x14ac:dyDescent="0.2">
      <c r="B119" t="s">
        <v>721</v>
      </c>
      <c r="C119" t="s">
        <v>722</v>
      </c>
      <c r="D119" t="s">
        <v>66</v>
      </c>
      <c r="H119" t="s">
        <v>60</v>
      </c>
      <c r="I119" t="s">
        <v>88</v>
      </c>
      <c r="J119" t="s">
        <v>69</v>
      </c>
      <c r="L119" t="s">
        <v>60</v>
      </c>
      <c r="N119" s="1"/>
      <c r="S119" t="s">
        <v>71</v>
      </c>
      <c r="T119" s="1"/>
      <c r="AD119" s="1"/>
      <c r="AF119" t="s">
        <v>723</v>
      </c>
      <c r="AH119" t="s">
        <v>156</v>
      </c>
      <c r="AI119" t="s">
        <v>84</v>
      </c>
      <c r="AJ119" t="s">
        <v>63</v>
      </c>
      <c r="AP119" t="b">
        <v>1</v>
      </c>
      <c r="AQ119" t="s">
        <v>79</v>
      </c>
      <c r="BA119" t="b">
        <v>0</v>
      </c>
    </row>
    <row r="120" spans="2:53" x14ac:dyDescent="0.2">
      <c r="B120" t="s">
        <v>724</v>
      </c>
      <c r="C120" t="s">
        <v>725</v>
      </c>
      <c r="D120" t="s">
        <v>66</v>
      </c>
      <c r="E120">
        <v>1928</v>
      </c>
      <c r="F120" t="s">
        <v>726</v>
      </c>
      <c r="H120" t="s">
        <v>88</v>
      </c>
      <c r="I120" t="s">
        <v>88</v>
      </c>
      <c r="J120" t="s">
        <v>118</v>
      </c>
      <c r="K120" t="s">
        <v>70</v>
      </c>
      <c r="L120" t="s">
        <v>68</v>
      </c>
      <c r="M120" t="s">
        <v>70</v>
      </c>
      <c r="N120" s="1"/>
      <c r="S120" t="s">
        <v>71</v>
      </c>
      <c r="T120" s="1"/>
      <c r="U120" t="s">
        <v>70</v>
      </c>
      <c r="V120" t="s">
        <v>727</v>
      </c>
      <c r="W120" t="s">
        <v>728</v>
      </c>
      <c r="X120" t="s">
        <v>70</v>
      </c>
      <c r="Y120" t="s">
        <v>70</v>
      </c>
      <c r="Z120" t="s">
        <v>70</v>
      </c>
      <c r="AA120" t="s">
        <v>70</v>
      </c>
      <c r="AB120" t="s">
        <v>70</v>
      </c>
      <c r="AC120">
        <v>2004</v>
      </c>
      <c r="AD120" s="1"/>
      <c r="AE120" t="s">
        <v>729</v>
      </c>
      <c r="AF120" t="s">
        <v>293</v>
      </c>
      <c r="AG120" t="s">
        <v>730</v>
      </c>
      <c r="AH120" t="s">
        <v>156</v>
      </c>
      <c r="AI120" t="s">
        <v>84</v>
      </c>
      <c r="AJ120" t="s">
        <v>63</v>
      </c>
      <c r="AL120" t="s">
        <v>70</v>
      </c>
      <c r="AM120" t="s">
        <v>70</v>
      </c>
      <c r="AN120" t="s">
        <v>78</v>
      </c>
      <c r="AO120" t="s">
        <v>70</v>
      </c>
      <c r="AP120" t="b">
        <v>1</v>
      </c>
      <c r="AQ120" t="s">
        <v>79</v>
      </c>
      <c r="AR120" t="s">
        <v>731</v>
      </c>
      <c r="BA120" t="b">
        <v>0</v>
      </c>
    </row>
    <row r="121" spans="2:53" x14ac:dyDescent="0.2">
      <c r="B121" t="s">
        <v>732</v>
      </c>
      <c r="C121" t="s">
        <v>733</v>
      </c>
      <c r="D121" t="s">
        <v>734</v>
      </c>
      <c r="E121">
        <v>3911</v>
      </c>
      <c r="F121" t="s">
        <v>735</v>
      </c>
      <c r="H121" t="s">
        <v>60</v>
      </c>
      <c r="I121" t="s">
        <v>60</v>
      </c>
      <c r="J121" t="s">
        <v>69</v>
      </c>
      <c r="K121" t="s">
        <v>70</v>
      </c>
      <c r="L121" t="s">
        <v>60</v>
      </c>
      <c r="M121" t="s">
        <v>70</v>
      </c>
      <c r="N121" s="1"/>
      <c r="S121" t="s">
        <v>71</v>
      </c>
      <c r="T121" s="1"/>
      <c r="U121" t="s">
        <v>70</v>
      </c>
      <c r="V121" t="s">
        <v>736</v>
      </c>
      <c r="W121" t="s">
        <v>737</v>
      </c>
      <c r="X121" t="s">
        <v>70</v>
      </c>
      <c r="Y121" t="s">
        <v>70</v>
      </c>
      <c r="Z121" t="s">
        <v>70</v>
      </c>
      <c r="AA121" t="s">
        <v>70</v>
      </c>
      <c r="AB121" t="s">
        <v>70</v>
      </c>
      <c r="AC121">
        <v>2005</v>
      </c>
      <c r="AD121" s="1">
        <v>38610</v>
      </c>
      <c r="AE121" t="s">
        <v>738</v>
      </c>
      <c r="AF121" t="s">
        <v>74</v>
      </c>
      <c r="AG121" t="s">
        <v>739</v>
      </c>
      <c r="AH121" t="s">
        <v>295</v>
      </c>
      <c r="AI121" t="s">
        <v>84</v>
      </c>
      <c r="AJ121" t="s">
        <v>740</v>
      </c>
      <c r="AK121">
        <v>512</v>
      </c>
      <c r="AL121" t="s">
        <v>70</v>
      </c>
      <c r="AM121" t="s">
        <v>741</v>
      </c>
      <c r="AN121" t="s">
        <v>78</v>
      </c>
      <c r="AO121" t="s">
        <v>70</v>
      </c>
      <c r="AP121" t="b">
        <v>1</v>
      </c>
      <c r="AQ121" t="s">
        <v>79</v>
      </c>
      <c r="AR121" t="s">
        <v>349</v>
      </c>
      <c r="BA121" t="b">
        <v>0</v>
      </c>
    </row>
    <row r="122" spans="2:53" x14ac:dyDescent="0.2">
      <c r="B122" t="s">
        <v>742</v>
      </c>
      <c r="C122" t="s">
        <v>743</v>
      </c>
      <c r="D122" t="s">
        <v>744</v>
      </c>
      <c r="E122">
        <v>2630</v>
      </c>
      <c r="F122" t="s">
        <v>745</v>
      </c>
      <c r="H122" t="s">
        <v>60</v>
      </c>
      <c r="I122" t="s">
        <v>60</v>
      </c>
      <c r="J122" t="s">
        <v>69</v>
      </c>
      <c r="K122" t="s">
        <v>70</v>
      </c>
      <c r="L122" t="s">
        <v>60</v>
      </c>
      <c r="M122" t="s">
        <v>70</v>
      </c>
      <c r="N122" s="1"/>
      <c r="S122" t="s">
        <v>71</v>
      </c>
      <c r="T122" s="1"/>
      <c r="U122" t="s">
        <v>70</v>
      </c>
      <c r="V122" t="s">
        <v>698</v>
      </c>
      <c r="W122" t="s">
        <v>324</v>
      </c>
      <c r="X122" t="s">
        <v>70</v>
      </c>
      <c r="Y122" t="s">
        <v>70</v>
      </c>
      <c r="Z122" t="s">
        <v>70</v>
      </c>
      <c r="AA122" t="s">
        <v>70</v>
      </c>
      <c r="AB122" t="s">
        <v>70</v>
      </c>
      <c r="AC122">
        <v>2005</v>
      </c>
      <c r="AD122" s="1">
        <v>38596</v>
      </c>
      <c r="AE122" t="s">
        <v>746</v>
      </c>
      <c r="AF122" t="s">
        <v>74</v>
      </c>
      <c r="AG122" t="s">
        <v>747</v>
      </c>
      <c r="AH122" t="s">
        <v>295</v>
      </c>
      <c r="AI122" t="s">
        <v>84</v>
      </c>
      <c r="AJ122" t="s">
        <v>63</v>
      </c>
      <c r="AL122" t="s">
        <v>70</v>
      </c>
      <c r="AM122" t="s">
        <v>70</v>
      </c>
      <c r="AN122" t="s">
        <v>78</v>
      </c>
      <c r="AO122" t="s">
        <v>70</v>
      </c>
      <c r="AP122" t="b">
        <v>1</v>
      </c>
      <c r="AQ122" t="s">
        <v>79</v>
      </c>
      <c r="BA122" t="b">
        <v>0</v>
      </c>
    </row>
    <row r="123" spans="2:53" x14ac:dyDescent="0.2">
      <c r="B123" t="s">
        <v>748</v>
      </c>
      <c r="C123" t="s">
        <v>749</v>
      </c>
      <c r="D123" t="s">
        <v>66</v>
      </c>
      <c r="E123">
        <v>0</v>
      </c>
      <c r="F123" t="s">
        <v>56</v>
      </c>
      <c r="H123" t="s">
        <v>88</v>
      </c>
      <c r="I123" t="s">
        <v>88</v>
      </c>
      <c r="N123" s="1"/>
      <c r="S123" t="s">
        <v>71</v>
      </c>
      <c r="T123" s="1"/>
      <c r="AD123" s="1"/>
      <c r="AF123" t="s">
        <v>82</v>
      </c>
      <c r="AH123" t="s">
        <v>750</v>
      </c>
      <c r="AI123" t="s">
        <v>128</v>
      </c>
      <c r="AJ123" t="s">
        <v>63</v>
      </c>
      <c r="AP123" t="b">
        <v>1</v>
      </c>
      <c r="AQ123" t="s">
        <v>79</v>
      </c>
      <c r="BA123" t="b">
        <v>0</v>
      </c>
    </row>
    <row r="124" spans="2:53" x14ac:dyDescent="0.2">
      <c r="B124" t="s">
        <v>751</v>
      </c>
      <c r="C124" t="s">
        <v>752</v>
      </c>
      <c r="D124" t="s">
        <v>66</v>
      </c>
      <c r="E124">
        <v>0</v>
      </c>
      <c r="F124" t="s">
        <v>753</v>
      </c>
      <c r="H124" t="s">
        <v>60</v>
      </c>
      <c r="I124" t="s">
        <v>60</v>
      </c>
      <c r="J124" t="s">
        <v>70</v>
      </c>
      <c r="K124" t="s">
        <v>70</v>
      </c>
      <c r="L124" t="s">
        <v>60</v>
      </c>
      <c r="M124" t="s">
        <v>70</v>
      </c>
      <c r="N124" s="1"/>
      <c r="S124" t="s">
        <v>71</v>
      </c>
      <c r="T124" s="1"/>
      <c r="U124" t="s">
        <v>70</v>
      </c>
      <c r="V124" t="s">
        <v>754</v>
      </c>
      <c r="W124" t="s">
        <v>70</v>
      </c>
      <c r="X124" t="s">
        <v>70</v>
      </c>
      <c r="Y124" t="s">
        <v>70</v>
      </c>
      <c r="Z124" t="s">
        <v>70</v>
      </c>
      <c r="AA124" t="s">
        <v>70</v>
      </c>
      <c r="AB124" t="s">
        <v>70</v>
      </c>
      <c r="AC124">
        <v>2004</v>
      </c>
      <c r="AD124" s="1"/>
      <c r="AE124" t="s">
        <v>755</v>
      </c>
      <c r="AF124" t="s">
        <v>756</v>
      </c>
      <c r="AG124" t="s">
        <v>757</v>
      </c>
      <c r="AH124" t="s">
        <v>83</v>
      </c>
      <c r="AI124" t="s">
        <v>128</v>
      </c>
      <c r="AJ124" t="s">
        <v>63</v>
      </c>
      <c r="AL124" t="s">
        <v>70</v>
      </c>
      <c r="AM124" t="s">
        <v>70</v>
      </c>
      <c r="AN124" t="s">
        <v>78</v>
      </c>
      <c r="AO124" t="s">
        <v>378</v>
      </c>
      <c r="AP124" t="b">
        <v>1</v>
      </c>
      <c r="AQ124" t="s">
        <v>79</v>
      </c>
      <c r="BA124" t="b">
        <v>0</v>
      </c>
    </row>
    <row r="125" spans="2:53" x14ac:dyDescent="0.2">
      <c r="B125" t="s">
        <v>758</v>
      </c>
      <c r="C125" t="s">
        <v>759</v>
      </c>
      <c r="D125" t="s">
        <v>66</v>
      </c>
      <c r="E125">
        <v>0</v>
      </c>
      <c r="F125" t="s">
        <v>56</v>
      </c>
      <c r="H125" t="s">
        <v>88</v>
      </c>
      <c r="I125" t="s">
        <v>88</v>
      </c>
      <c r="N125" s="1"/>
      <c r="S125" t="s">
        <v>71</v>
      </c>
      <c r="T125" s="1"/>
      <c r="AD125" s="1"/>
      <c r="AF125" t="s">
        <v>513</v>
      </c>
      <c r="AH125" t="s">
        <v>93</v>
      </c>
      <c r="AI125" t="s">
        <v>128</v>
      </c>
      <c r="AJ125" t="s">
        <v>63</v>
      </c>
      <c r="AP125" t="b">
        <v>1</v>
      </c>
      <c r="AQ125" t="s">
        <v>79</v>
      </c>
      <c r="BA125" t="b">
        <v>0</v>
      </c>
    </row>
    <row r="126" spans="2:53" x14ac:dyDescent="0.2">
      <c r="B126" t="s">
        <v>760</v>
      </c>
      <c r="C126" t="s">
        <v>761</v>
      </c>
      <c r="D126" t="s">
        <v>66</v>
      </c>
      <c r="E126">
        <v>0</v>
      </c>
      <c r="F126" t="s">
        <v>762</v>
      </c>
      <c r="H126" t="s">
        <v>60</v>
      </c>
      <c r="I126" t="s">
        <v>60</v>
      </c>
      <c r="J126" t="s">
        <v>70</v>
      </c>
      <c r="K126" t="s">
        <v>70</v>
      </c>
      <c r="L126" t="s">
        <v>68</v>
      </c>
      <c r="M126" t="s">
        <v>70</v>
      </c>
      <c r="N126" s="1"/>
      <c r="S126" t="s">
        <v>71</v>
      </c>
      <c r="T126" s="1"/>
      <c r="U126" t="s">
        <v>70</v>
      </c>
      <c r="V126" t="s">
        <v>763</v>
      </c>
      <c r="W126" t="s">
        <v>70</v>
      </c>
      <c r="X126" t="s">
        <v>70</v>
      </c>
      <c r="Y126" t="s">
        <v>70</v>
      </c>
      <c r="Z126" t="s">
        <v>70</v>
      </c>
      <c r="AA126" t="s">
        <v>70</v>
      </c>
      <c r="AB126" t="s">
        <v>70</v>
      </c>
      <c r="AC126">
        <v>2003</v>
      </c>
      <c r="AD126" s="1"/>
      <c r="AE126" t="s">
        <v>764</v>
      </c>
      <c r="AF126" t="s">
        <v>765</v>
      </c>
      <c r="AG126" t="s">
        <v>766</v>
      </c>
      <c r="AH126" t="s">
        <v>83</v>
      </c>
      <c r="AI126" t="s">
        <v>128</v>
      </c>
      <c r="AJ126" t="s">
        <v>63</v>
      </c>
      <c r="AL126" t="s">
        <v>70</v>
      </c>
      <c r="AM126" t="s">
        <v>70</v>
      </c>
      <c r="AN126" t="s">
        <v>78</v>
      </c>
      <c r="AO126" t="s">
        <v>70</v>
      </c>
      <c r="AP126" t="b">
        <v>1</v>
      </c>
      <c r="AQ126" t="s">
        <v>79</v>
      </c>
      <c r="BA126" t="b">
        <v>0</v>
      </c>
    </row>
    <row r="127" spans="2:53" x14ac:dyDescent="0.2">
      <c r="B127" t="s">
        <v>767</v>
      </c>
      <c r="C127" t="s">
        <v>768</v>
      </c>
      <c r="D127" t="s">
        <v>66</v>
      </c>
      <c r="E127">
        <v>0</v>
      </c>
      <c r="F127" t="s">
        <v>56</v>
      </c>
      <c r="H127" t="s">
        <v>88</v>
      </c>
      <c r="I127" t="s">
        <v>88</v>
      </c>
      <c r="N127" s="1"/>
      <c r="S127" t="s">
        <v>71</v>
      </c>
      <c r="T127" s="1"/>
      <c r="AD127" s="1"/>
      <c r="AH127" t="s">
        <v>76</v>
      </c>
      <c r="AI127" t="s">
        <v>84</v>
      </c>
      <c r="AJ127" t="s">
        <v>63</v>
      </c>
      <c r="AP127" t="b">
        <v>1</v>
      </c>
      <c r="AQ127" t="s">
        <v>79</v>
      </c>
      <c r="BA127" t="b">
        <v>0</v>
      </c>
    </row>
    <row r="128" spans="2:53" ht="51" x14ac:dyDescent="0.2">
      <c r="B128" t="s">
        <v>769</v>
      </c>
      <c r="C128" t="s">
        <v>770</v>
      </c>
      <c r="D128" t="s">
        <v>66</v>
      </c>
      <c r="E128">
        <v>681</v>
      </c>
      <c r="F128" t="s">
        <v>771</v>
      </c>
      <c r="H128" t="s">
        <v>88</v>
      </c>
      <c r="I128" t="s">
        <v>68</v>
      </c>
      <c r="K128" t="s">
        <v>70</v>
      </c>
      <c r="M128" t="s">
        <v>70</v>
      </c>
      <c r="N128" s="1"/>
      <c r="S128" t="s">
        <v>71</v>
      </c>
      <c r="T128" s="1"/>
      <c r="U128" t="s">
        <v>70</v>
      </c>
      <c r="V128" t="s">
        <v>772</v>
      </c>
      <c r="W128" t="s">
        <v>773</v>
      </c>
      <c r="X128" t="s">
        <v>70</v>
      </c>
      <c r="Y128" t="s">
        <v>70</v>
      </c>
      <c r="Z128" t="s">
        <v>70</v>
      </c>
      <c r="AA128" t="s">
        <v>70</v>
      </c>
      <c r="AB128" t="s">
        <v>70</v>
      </c>
      <c r="AC128">
        <v>2007</v>
      </c>
      <c r="AD128" s="1"/>
      <c r="AE128" t="s">
        <v>774</v>
      </c>
      <c r="AF128" t="s">
        <v>775</v>
      </c>
      <c r="AG128" t="s">
        <v>776</v>
      </c>
      <c r="AH128" t="s">
        <v>83</v>
      </c>
      <c r="AI128" t="s">
        <v>108</v>
      </c>
      <c r="AJ128" t="s">
        <v>63</v>
      </c>
      <c r="AK128">
        <v>40</v>
      </c>
      <c r="AL128" t="s">
        <v>70</v>
      </c>
      <c r="AM128" t="s">
        <v>70</v>
      </c>
      <c r="AN128" s="12" t="s">
        <v>78</v>
      </c>
      <c r="AO128" t="s">
        <v>70</v>
      </c>
      <c r="AP128" t="b">
        <v>1</v>
      </c>
      <c r="AQ128" t="s">
        <v>79</v>
      </c>
      <c r="BA128" t="b">
        <v>0</v>
      </c>
    </row>
    <row r="129" spans="2:53" x14ac:dyDescent="0.2">
      <c r="B129" t="s">
        <v>777</v>
      </c>
      <c r="C129" t="s">
        <v>778</v>
      </c>
      <c r="D129" t="s">
        <v>66</v>
      </c>
      <c r="E129">
        <v>0</v>
      </c>
      <c r="F129" t="s">
        <v>56</v>
      </c>
      <c r="H129" t="s">
        <v>60</v>
      </c>
      <c r="I129" t="s">
        <v>68</v>
      </c>
      <c r="N129" s="1"/>
      <c r="S129" t="s">
        <v>71</v>
      </c>
      <c r="T129" s="1"/>
      <c r="AD129" s="1"/>
      <c r="AH129" t="s">
        <v>76</v>
      </c>
      <c r="AI129" t="s">
        <v>128</v>
      </c>
      <c r="AJ129" t="s">
        <v>63</v>
      </c>
      <c r="AP129" t="b">
        <v>0</v>
      </c>
      <c r="AQ129" t="s">
        <v>79</v>
      </c>
      <c r="BA129" t="b">
        <v>0</v>
      </c>
    </row>
    <row r="130" spans="2:53" x14ac:dyDescent="0.2">
      <c r="B130" t="s">
        <v>779</v>
      </c>
      <c r="C130" t="s">
        <v>780</v>
      </c>
      <c r="D130" t="s">
        <v>66</v>
      </c>
      <c r="E130">
        <v>4700</v>
      </c>
      <c r="F130" t="s">
        <v>781</v>
      </c>
      <c r="H130" t="s">
        <v>60</v>
      </c>
      <c r="I130" t="s">
        <v>60</v>
      </c>
      <c r="J130" t="s">
        <v>118</v>
      </c>
      <c r="K130" t="s">
        <v>70</v>
      </c>
      <c r="L130" t="s">
        <v>286</v>
      </c>
      <c r="M130" t="s">
        <v>70</v>
      </c>
      <c r="N130" s="1"/>
      <c r="S130" t="s">
        <v>71</v>
      </c>
      <c r="T130" s="1"/>
      <c r="U130" t="s">
        <v>70</v>
      </c>
      <c r="V130" t="s">
        <v>782</v>
      </c>
      <c r="W130" t="s">
        <v>783</v>
      </c>
      <c r="X130" t="s">
        <v>70</v>
      </c>
      <c r="Y130" t="s">
        <v>70</v>
      </c>
      <c r="Z130" t="s">
        <v>70</v>
      </c>
      <c r="AA130" t="s">
        <v>70</v>
      </c>
      <c r="AB130" t="s">
        <v>70</v>
      </c>
      <c r="AC130">
        <v>2006</v>
      </c>
      <c r="AD130" s="1"/>
      <c r="AE130" t="s">
        <v>784</v>
      </c>
      <c r="AF130" t="s">
        <v>293</v>
      </c>
      <c r="AG130" t="s">
        <v>785</v>
      </c>
      <c r="AH130" t="s">
        <v>295</v>
      </c>
      <c r="AI130" t="s">
        <v>84</v>
      </c>
      <c r="AJ130" t="s">
        <v>63</v>
      </c>
      <c r="AL130" t="s">
        <v>70</v>
      </c>
      <c r="AM130" t="s">
        <v>70</v>
      </c>
      <c r="AN130" t="s">
        <v>78</v>
      </c>
      <c r="AO130" t="s">
        <v>70</v>
      </c>
      <c r="AP130" t="b">
        <v>1</v>
      </c>
      <c r="AQ130" t="s">
        <v>79</v>
      </c>
      <c r="AR130" t="s">
        <v>786</v>
      </c>
      <c r="BA130" t="b">
        <v>0</v>
      </c>
    </row>
    <row r="131" spans="2:53" x14ac:dyDescent="0.2">
      <c r="B131" t="s">
        <v>787</v>
      </c>
      <c r="C131" t="s">
        <v>788</v>
      </c>
      <c r="E131">
        <v>2393</v>
      </c>
      <c r="F131" t="s">
        <v>789</v>
      </c>
      <c r="H131" t="s">
        <v>60</v>
      </c>
      <c r="I131" t="s">
        <v>286</v>
      </c>
      <c r="J131" t="s">
        <v>220</v>
      </c>
      <c r="K131" t="s">
        <v>70</v>
      </c>
      <c r="L131" t="s">
        <v>286</v>
      </c>
      <c r="M131" t="s">
        <v>70</v>
      </c>
      <c r="N131" s="1">
        <v>37699</v>
      </c>
      <c r="S131" t="s">
        <v>71</v>
      </c>
      <c r="T131" s="1">
        <v>39763</v>
      </c>
      <c r="U131" t="s">
        <v>790</v>
      </c>
      <c r="V131" t="s">
        <v>791</v>
      </c>
      <c r="W131" t="s">
        <v>792</v>
      </c>
      <c r="X131" t="s">
        <v>793</v>
      </c>
      <c r="Y131" t="s">
        <v>794</v>
      </c>
      <c r="Z131" t="s">
        <v>795</v>
      </c>
      <c r="AA131" t="s">
        <v>796</v>
      </c>
      <c r="AB131" t="s">
        <v>797</v>
      </c>
      <c r="AC131">
        <v>2009</v>
      </c>
      <c r="AD131" s="1">
        <v>40087</v>
      </c>
      <c r="AE131" t="s">
        <v>798</v>
      </c>
      <c r="AF131" t="s">
        <v>799</v>
      </c>
      <c r="AG131" t="s">
        <v>800</v>
      </c>
      <c r="AH131" t="s">
        <v>93</v>
      </c>
      <c r="AI131" t="s">
        <v>77</v>
      </c>
      <c r="AJ131" t="s">
        <v>801</v>
      </c>
      <c r="AK131">
        <v>50</v>
      </c>
      <c r="AL131" t="s">
        <v>70</v>
      </c>
      <c r="AM131" t="s">
        <v>70</v>
      </c>
      <c r="AN131" t="s">
        <v>802</v>
      </c>
      <c r="AO131" t="s">
        <v>803</v>
      </c>
      <c r="AP131" t="b">
        <v>1</v>
      </c>
      <c r="AQ131" t="s">
        <v>79</v>
      </c>
      <c r="AR131" t="s">
        <v>804</v>
      </c>
      <c r="BA131" t="b">
        <v>0</v>
      </c>
    </row>
    <row r="132" spans="2:53" x14ac:dyDescent="0.2">
      <c r="B132" t="s">
        <v>805</v>
      </c>
      <c r="C132" t="s">
        <v>806</v>
      </c>
      <c r="D132" t="s">
        <v>66</v>
      </c>
      <c r="F132" t="s">
        <v>807</v>
      </c>
      <c r="H132" t="s">
        <v>60</v>
      </c>
      <c r="I132" t="s">
        <v>60</v>
      </c>
      <c r="J132" t="s">
        <v>70</v>
      </c>
      <c r="K132" t="s">
        <v>70</v>
      </c>
      <c r="L132" t="s">
        <v>155</v>
      </c>
      <c r="M132" t="s">
        <v>70</v>
      </c>
      <c r="N132" s="1"/>
      <c r="S132" t="s">
        <v>71</v>
      </c>
      <c r="T132" s="1"/>
      <c r="U132" t="s">
        <v>70</v>
      </c>
      <c r="V132" t="s">
        <v>808</v>
      </c>
      <c r="W132" t="s">
        <v>70</v>
      </c>
      <c r="X132" t="s">
        <v>70</v>
      </c>
      <c r="Y132" t="s">
        <v>70</v>
      </c>
      <c r="Z132" t="s">
        <v>70</v>
      </c>
      <c r="AA132" t="s">
        <v>70</v>
      </c>
      <c r="AB132" t="s">
        <v>70</v>
      </c>
      <c r="AC132">
        <v>2003</v>
      </c>
      <c r="AD132" s="1"/>
      <c r="AE132" t="s">
        <v>809</v>
      </c>
      <c r="AF132" t="s">
        <v>82</v>
      </c>
      <c r="AG132" t="s">
        <v>810</v>
      </c>
      <c r="AH132" t="s">
        <v>149</v>
      </c>
      <c r="AI132" t="s">
        <v>128</v>
      </c>
      <c r="AJ132" t="s">
        <v>63</v>
      </c>
      <c r="AL132" t="s">
        <v>70</v>
      </c>
      <c r="AM132" t="s">
        <v>70</v>
      </c>
      <c r="AN132" t="s">
        <v>78</v>
      </c>
      <c r="AO132" t="s">
        <v>70</v>
      </c>
      <c r="AP132" t="b">
        <v>0</v>
      </c>
      <c r="AQ132" t="s">
        <v>79</v>
      </c>
      <c r="BA132" t="b">
        <v>0</v>
      </c>
    </row>
    <row r="133" spans="2:53" ht="51" x14ac:dyDescent="0.2">
      <c r="B133" t="s">
        <v>811</v>
      </c>
      <c r="C133" t="s">
        <v>812</v>
      </c>
      <c r="D133" t="s">
        <v>66</v>
      </c>
      <c r="E133">
        <v>0</v>
      </c>
      <c r="F133" t="s">
        <v>813</v>
      </c>
      <c r="H133" t="s">
        <v>60</v>
      </c>
      <c r="I133" t="s">
        <v>60</v>
      </c>
      <c r="J133" t="s">
        <v>70</v>
      </c>
      <c r="K133" t="s">
        <v>70</v>
      </c>
      <c r="L133" t="s">
        <v>60</v>
      </c>
      <c r="M133" t="s">
        <v>70</v>
      </c>
      <c r="N133" s="1"/>
      <c r="S133" t="s">
        <v>71</v>
      </c>
      <c r="T133" s="1"/>
      <c r="U133" t="s">
        <v>70</v>
      </c>
      <c r="V133" t="s">
        <v>814</v>
      </c>
      <c r="W133" t="s">
        <v>70</v>
      </c>
      <c r="X133" t="s">
        <v>70</v>
      </c>
      <c r="Y133" t="s">
        <v>70</v>
      </c>
      <c r="Z133" t="s">
        <v>70</v>
      </c>
      <c r="AA133" t="s">
        <v>70</v>
      </c>
      <c r="AB133" t="s">
        <v>70</v>
      </c>
      <c r="AC133">
        <v>2004</v>
      </c>
      <c r="AD133" s="1"/>
      <c r="AE133" t="s">
        <v>398</v>
      </c>
      <c r="AF133" t="s">
        <v>398</v>
      </c>
      <c r="AG133" t="s">
        <v>815</v>
      </c>
      <c r="AH133" t="s">
        <v>149</v>
      </c>
      <c r="AI133" t="s">
        <v>128</v>
      </c>
      <c r="AJ133" t="s">
        <v>63</v>
      </c>
      <c r="AL133" t="s">
        <v>70</v>
      </c>
      <c r="AM133" t="s">
        <v>70</v>
      </c>
      <c r="AN133" s="12" t="s">
        <v>78</v>
      </c>
      <c r="AO133" t="s">
        <v>70</v>
      </c>
      <c r="AP133" t="b">
        <v>0</v>
      </c>
      <c r="AQ133" t="s">
        <v>79</v>
      </c>
      <c r="BA133" t="b">
        <v>0</v>
      </c>
    </row>
    <row r="134" spans="2:53" x14ac:dyDescent="0.2">
      <c r="B134" t="s">
        <v>816</v>
      </c>
      <c r="C134" t="s">
        <v>817</v>
      </c>
      <c r="D134" t="s">
        <v>66</v>
      </c>
      <c r="E134">
        <v>0</v>
      </c>
      <c r="F134" t="s">
        <v>56</v>
      </c>
      <c r="H134" t="s">
        <v>60</v>
      </c>
      <c r="I134" t="s">
        <v>60</v>
      </c>
      <c r="J134" t="s">
        <v>70</v>
      </c>
      <c r="K134" t="s">
        <v>70</v>
      </c>
      <c r="L134" t="s">
        <v>155</v>
      </c>
      <c r="M134" t="s">
        <v>70</v>
      </c>
      <c r="N134" s="1"/>
      <c r="S134" t="s">
        <v>71</v>
      </c>
      <c r="T134" s="1"/>
      <c r="U134" t="s">
        <v>70</v>
      </c>
      <c r="V134" t="s">
        <v>618</v>
      </c>
      <c r="W134" t="s">
        <v>70</v>
      </c>
      <c r="X134" t="s">
        <v>70</v>
      </c>
      <c r="Y134" t="s">
        <v>70</v>
      </c>
      <c r="Z134" t="s">
        <v>70</v>
      </c>
      <c r="AA134" t="s">
        <v>70</v>
      </c>
      <c r="AB134" t="s">
        <v>70</v>
      </c>
      <c r="AC134">
        <v>2002</v>
      </c>
      <c r="AD134" s="1"/>
      <c r="AE134" t="s">
        <v>818</v>
      </c>
      <c r="AF134" t="s">
        <v>82</v>
      </c>
      <c r="AG134" t="s">
        <v>819</v>
      </c>
      <c r="AH134" t="s">
        <v>83</v>
      </c>
      <c r="AI134" t="s">
        <v>108</v>
      </c>
      <c r="AJ134" t="s">
        <v>63</v>
      </c>
      <c r="AL134" t="s">
        <v>70</v>
      </c>
      <c r="AM134" t="s">
        <v>70</v>
      </c>
      <c r="AN134" t="s">
        <v>78</v>
      </c>
      <c r="AO134" t="s">
        <v>70</v>
      </c>
      <c r="AP134" t="b">
        <v>0</v>
      </c>
      <c r="AQ134" t="s">
        <v>79</v>
      </c>
      <c r="BA134" t="b">
        <v>0</v>
      </c>
    </row>
    <row r="135" spans="2:53" x14ac:dyDescent="0.2">
      <c r="B135" t="s">
        <v>820</v>
      </c>
      <c r="C135" t="s">
        <v>821</v>
      </c>
      <c r="D135" t="s">
        <v>66</v>
      </c>
      <c r="H135" t="s">
        <v>88</v>
      </c>
      <c r="I135" t="s">
        <v>88</v>
      </c>
      <c r="N135" s="1"/>
      <c r="S135" t="s">
        <v>71</v>
      </c>
      <c r="T135" s="1"/>
      <c r="AD135" s="1"/>
      <c r="AF135" t="s">
        <v>82</v>
      </c>
      <c r="AH135" t="s">
        <v>164</v>
      </c>
      <c r="AI135" t="s">
        <v>128</v>
      </c>
      <c r="AJ135" t="s">
        <v>63</v>
      </c>
      <c r="AP135" t="b">
        <v>1</v>
      </c>
      <c r="AQ135" t="s">
        <v>79</v>
      </c>
      <c r="BA135" t="b">
        <v>0</v>
      </c>
    </row>
    <row r="136" spans="2:53" x14ac:dyDescent="0.2">
      <c r="B136" t="s">
        <v>822</v>
      </c>
      <c r="C136" t="s">
        <v>823</v>
      </c>
      <c r="D136" t="s">
        <v>824</v>
      </c>
      <c r="H136" t="s">
        <v>88</v>
      </c>
      <c r="I136" t="s">
        <v>483</v>
      </c>
      <c r="J136" t="s">
        <v>69</v>
      </c>
      <c r="K136" t="s">
        <v>70</v>
      </c>
      <c r="M136" t="s">
        <v>70</v>
      </c>
      <c r="N136" s="1"/>
      <c r="S136" t="s">
        <v>425</v>
      </c>
      <c r="T136" s="1"/>
      <c r="U136" t="s">
        <v>70</v>
      </c>
      <c r="V136" t="s">
        <v>70</v>
      </c>
      <c r="W136" t="s">
        <v>70</v>
      </c>
      <c r="X136" t="s">
        <v>70</v>
      </c>
      <c r="Y136" t="s">
        <v>70</v>
      </c>
      <c r="Z136" t="s">
        <v>70</v>
      </c>
      <c r="AA136" t="s">
        <v>70</v>
      </c>
      <c r="AB136" t="s">
        <v>70</v>
      </c>
      <c r="AD136" s="1"/>
      <c r="AE136" t="s">
        <v>70</v>
      </c>
      <c r="AF136" t="s">
        <v>82</v>
      </c>
      <c r="AG136" t="s">
        <v>78</v>
      </c>
      <c r="AH136" t="s">
        <v>76</v>
      </c>
      <c r="AI136" t="s">
        <v>128</v>
      </c>
      <c r="AJ136" t="s">
        <v>63</v>
      </c>
      <c r="AL136" t="s">
        <v>70</v>
      </c>
      <c r="AM136" t="s">
        <v>70</v>
      </c>
      <c r="AN136" t="s">
        <v>78</v>
      </c>
      <c r="AO136" t="s">
        <v>70</v>
      </c>
      <c r="AP136" t="b">
        <v>1</v>
      </c>
      <c r="AQ136" t="s">
        <v>79</v>
      </c>
      <c r="BA136" t="b">
        <v>0</v>
      </c>
    </row>
    <row r="137" spans="2:53" x14ac:dyDescent="0.2">
      <c r="B137" t="s">
        <v>825</v>
      </c>
      <c r="C137" t="s">
        <v>826</v>
      </c>
      <c r="D137" t="s">
        <v>66</v>
      </c>
      <c r="E137">
        <v>0</v>
      </c>
      <c r="F137" t="s">
        <v>56</v>
      </c>
      <c r="H137" t="s">
        <v>88</v>
      </c>
      <c r="I137" t="s">
        <v>68</v>
      </c>
      <c r="N137" s="1"/>
      <c r="S137" t="s">
        <v>71</v>
      </c>
      <c r="T137" s="1"/>
      <c r="AD137" s="1"/>
      <c r="AH137" t="s">
        <v>149</v>
      </c>
      <c r="AI137" t="s">
        <v>128</v>
      </c>
      <c r="AJ137" t="s">
        <v>63</v>
      </c>
      <c r="AP137" t="b">
        <v>0</v>
      </c>
      <c r="AQ137" t="s">
        <v>79</v>
      </c>
      <c r="BA137" t="b">
        <v>0</v>
      </c>
    </row>
    <row r="138" spans="2:53" x14ac:dyDescent="0.2">
      <c r="B138" t="s">
        <v>827</v>
      </c>
      <c r="C138" t="s">
        <v>828</v>
      </c>
      <c r="D138" t="s">
        <v>66</v>
      </c>
      <c r="E138">
        <v>310</v>
      </c>
      <c r="F138" t="s">
        <v>56</v>
      </c>
      <c r="H138" t="s">
        <v>88</v>
      </c>
      <c r="I138" t="s">
        <v>68</v>
      </c>
      <c r="K138" t="s">
        <v>70</v>
      </c>
      <c r="M138" t="s">
        <v>70</v>
      </c>
      <c r="N138" s="1"/>
      <c r="S138" t="s">
        <v>71</v>
      </c>
      <c r="T138" s="1"/>
      <c r="U138" t="s">
        <v>70</v>
      </c>
      <c r="V138" t="s">
        <v>70</v>
      </c>
      <c r="W138" t="s">
        <v>70</v>
      </c>
      <c r="X138" t="s">
        <v>70</v>
      </c>
      <c r="Y138" t="s">
        <v>70</v>
      </c>
      <c r="Z138" t="s">
        <v>70</v>
      </c>
      <c r="AA138" t="s">
        <v>70</v>
      </c>
      <c r="AB138" t="s">
        <v>70</v>
      </c>
      <c r="AD138" s="1"/>
      <c r="AE138" t="s">
        <v>829</v>
      </c>
      <c r="AF138" t="s">
        <v>830</v>
      </c>
      <c r="AG138" t="s">
        <v>78</v>
      </c>
      <c r="AH138" t="s">
        <v>93</v>
      </c>
      <c r="AI138" t="s">
        <v>77</v>
      </c>
      <c r="AJ138" t="s">
        <v>63</v>
      </c>
      <c r="AL138" t="s">
        <v>70</v>
      </c>
      <c r="AM138" t="s">
        <v>70</v>
      </c>
      <c r="AN138" t="s">
        <v>78</v>
      </c>
      <c r="AO138" t="s">
        <v>70</v>
      </c>
      <c r="AP138" t="b">
        <v>0</v>
      </c>
      <c r="AQ138" t="s">
        <v>79</v>
      </c>
      <c r="BA138" t="b">
        <v>0</v>
      </c>
    </row>
    <row r="139" spans="2:53" x14ac:dyDescent="0.2">
      <c r="B139" t="s">
        <v>831</v>
      </c>
      <c r="C139" t="s">
        <v>832</v>
      </c>
      <c r="D139" t="s">
        <v>66</v>
      </c>
      <c r="E139">
        <v>0</v>
      </c>
      <c r="F139" t="s">
        <v>56</v>
      </c>
      <c r="H139" t="s">
        <v>60</v>
      </c>
      <c r="I139" t="s">
        <v>60</v>
      </c>
      <c r="N139" s="1"/>
      <c r="S139" t="s">
        <v>125</v>
      </c>
      <c r="T139" s="1"/>
      <c r="AD139" s="1"/>
      <c r="AF139" t="s">
        <v>833</v>
      </c>
      <c r="AH139" t="s">
        <v>76</v>
      </c>
      <c r="AI139" t="s">
        <v>84</v>
      </c>
      <c r="AJ139" t="s">
        <v>63</v>
      </c>
      <c r="AP139" t="b">
        <v>1</v>
      </c>
      <c r="AQ139" t="s">
        <v>79</v>
      </c>
      <c r="BA139" t="b">
        <v>0</v>
      </c>
    </row>
    <row r="140" spans="2:53" x14ac:dyDescent="0.2">
      <c r="B140" t="s">
        <v>834</v>
      </c>
      <c r="C140" t="s">
        <v>835</v>
      </c>
      <c r="D140" t="s">
        <v>66</v>
      </c>
      <c r="E140">
        <v>0</v>
      </c>
      <c r="F140" t="s">
        <v>56</v>
      </c>
      <c r="H140" t="s">
        <v>88</v>
      </c>
      <c r="I140" t="s">
        <v>88</v>
      </c>
      <c r="J140" t="s">
        <v>154</v>
      </c>
      <c r="L140" t="s">
        <v>68</v>
      </c>
      <c r="N140" s="1"/>
      <c r="S140" t="s">
        <v>71</v>
      </c>
      <c r="T140" s="1"/>
      <c r="AD140" s="1"/>
      <c r="AF140" t="s">
        <v>126</v>
      </c>
      <c r="AH140" t="s">
        <v>750</v>
      </c>
      <c r="AI140" t="s">
        <v>84</v>
      </c>
      <c r="AJ140" t="s">
        <v>63</v>
      </c>
      <c r="AP140" t="b">
        <v>1</v>
      </c>
      <c r="AQ140" t="s">
        <v>79</v>
      </c>
      <c r="BA140" t="b">
        <v>0</v>
      </c>
    </row>
    <row r="141" spans="2:53" x14ac:dyDescent="0.2">
      <c r="B141" t="s">
        <v>836</v>
      </c>
      <c r="C141" t="s">
        <v>837</v>
      </c>
      <c r="D141" t="s">
        <v>66</v>
      </c>
      <c r="E141">
        <v>0</v>
      </c>
      <c r="F141" t="s">
        <v>56</v>
      </c>
      <c r="H141" t="s">
        <v>88</v>
      </c>
      <c r="I141" t="s">
        <v>88</v>
      </c>
      <c r="N141" s="1"/>
      <c r="S141" t="s">
        <v>71</v>
      </c>
      <c r="T141" s="1"/>
      <c r="AD141" s="1"/>
      <c r="AH141" t="s">
        <v>468</v>
      </c>
      <c r="AI141" t="s">
        <v>128</v>
      </c>
      <c r="AJ141" t="s">
        <v>63</v>
      </c>
      <c r="AP141" t="b">
        <v>1</v>
      </c>
      <c r="AQ141" t="s">
        <v>79</v>
      </c>
      <c r="BA141" t="b">
        <v>0</v>
      </c>
    </row>
    <row r="142" spans="2:53" x14ac:dyDescent="0.2">
      <c r="B142" t="s">
        <v>838</v>
      </c>
      <c r="C142" t="s">
        <v>839</v>
      </c>
      <c r="D142" t="s">
        <v>66</v>
      </c>
      <c r="E142">
        <v>0</v>
      </c>
      <c r="F142" t="s">
        <v>56</v>
      </c>
      <c r="H142" t="s">
        <v>60</v>
      </c>
      <c r="I142" t="s">
        <v>60</v>
      </c>
      <c r="N142" s="1"/>
      <c r="S142" t="s">
        <v>125</v>
      </c>
      <c r="T142" s="1"/>
      <c r="AD142" s="1"/>
      <c r="AF142" t="s">
        <v>840</v>
      </c>
      <c r="AG142" t="s">
        <v>841</v>
      </c>
      <c r="AH142" t="s">
        <v>156</v>
      </c>
      <c r="AI142" t="s">
        <v>84</v>
      </c>
      <c r="AJ142" t="s">
        <v>63</v>
      </c>
      <c r="AP142" t="b">
        <v>1</v>
      </c>
      <c r="AQ142" t="s">
        <v>79</v>
      </c>
      <c r="BA142" t="b">
        <v>0</v>
      </c>
    </row>
    <row r="143" spans="2:53" x14ac:dyDescent="0.2">
      <c r="B143" t="s">
        <v>842</v>
      </c>
      <c r="C143" t="s">
        <v>843</v>
      </c>
      <c r="E143">
        <v>0</v>
      </c>
      <c r="G143" t="s">
        <v>70</v>
      </c>
      <c r="H143" t="s">
        <v>60</v>
      </c>
      <c r="I143" t="s">
        <v>219</v>
      </c>
      <c r="J143" t="s">
        <v>220</v>
      </c>
      <c r="K143" t="s">
        <v>70</v>
      </c>
      <c r="L143" t="s">
        <v>60</v>
      </c>
      <c r="M143" t="s">
        <v>70</v>
      </c>
      <c r="N143" s="1"/>
      <c r="S143" t="s">
        <v>425</v>
      </c>
      <c r="T143" s="1"/>
      <c r="U143" t="s">
        <v>70</v>
      </c>
      <c r="V143" t="s">
        <v>844</v>
      </c>
      <c r="W143" t="s">
        <v>70</v>
      </c>
      <c r="X143" t="s">
        <v>70</v>
      </c>
      <c r="Y143" t="s">
        <v>70</v>
      </c>
      <c r="Z143" t="s">
        <v>70</v>
      </c>
      <c r="AA143" t="s">
        <v>70</v>
      </c>
      <c r="AB143" t="s">
        <v>70</v>
      </c>
      <c r="AD143" s="1"/>
      <c r="AF143" t="s">
        <v>293</v>
      </c>
      <c r="AH143" t="s">
        <v>127</v>
      </c>
      <c r="AI143" t="s">
        <v>128</v>
      </c>
      <c r="AJ143" t="s">
        <v>63</v>
      </c>
      <c r="AP143" t="b">
        <v>1</v>
      </c>
      <c r="AQ143" t="s">
        <v>79</v>
      </c>
      <c r="BA143" t="b">
        <v>0</v>
      </c>
    </row>
    <row r="144" spans="2:53" x14ac:dyDescent="0.2">
      <c r="B144" t="s">
        <v>845</v>
      </c>
      <c r="C144" t="s">
        <v>846</v>
      </c>
      <c r="F144" t="s">
        <v>847</v>
      </c>
      <c r="H144" t="s">
        <v>60</v>
      </c>
      <c r="I144" t="s">
        <v>60</v>
      </c>
      <c r="J144" t="s">
        <v>69</v>
      </c>
      <c r="K144" t="s">
        <v>70</v>
      </c>
      <c r="L144" t="s">
        <v>60</v>
      </c>
      <c r="M144" t="s">
        <v>70</v>
      </c>
      <c r="N144" s="1"/>
      <c r="S144" t="s">
        <v>71</v>
      </c>
      <c r="T144" s="1"/>
      <c r="U144" t="s">
        <v>70</v>
      </c>
      <c r="V144" t="s">
        <v>848</v>
      </c>
      <c r="W144" t="s">
        <v>70</v>
      </c>
      <c r="X144" t="s">
        <v>70</v>
      </c>
      <c r="Y144" t="s">
        <v>70</v>
      </c>
      <c r="Z144" t="s">
        <v>70</v>
      </c>
      <c r="AA144" t="s">
        <v>70</v>
      </c>
      <c r="AB144" t="s">
        <v>70</v>
      </c>
      <c r="AC144">
        <v>2004</v>
      </c>
      <c r="AD144" s="1"/>
      <c r="AE144" t="s">
        <v>849</v>
      </c>
      <c r="AF144" t="s">
        <v>850</v>
      </c>
      <c r="AG144" t="s">
        <v>851</v>
      </c>
      <c r="AH144" t="s">
        <v>83</v>
      </c>
      <c r="AI144" t="s">
        <v>128</v>
      </c>
      <c r="AJ144" t="s">
        <v>852</v>
      </c>
      <c r="AL144" t="s">
        <v>70</v>
      </c>
      <c r="AM144" t="s">
        <v>70</v>
      </c>
      <c r="AN144" t="s">
        <v>78</v>
      </c>
      <c r="AO144" t="s">
        <v>70</v>
      </c>
      <c r="AP144" t="b">
        <v>0</v>
      </c>
      <c r="AQ144" t="s">
        <v>79</v>
      </c>
      <c r="BA144" t="b">
        <v>0</v>
      </c>
    </row>
    <row r="145" spans="2:53" x14ac:dyDescent="0.2">
      <c r="B145" t="s">
        <v>853</v>
      </c>
      <c r="C145" t="s">
        <v>854</v>
      </c>
      <c r="D145" t="s">
        <v>66</v>
      </c>
      <c r="E145">
        <v>0</v>
      </c>
      <c r="F145" t="s">
        <v>56</v>
      </c>
      <c r="H145" t="s">
        <v>88</v>
      </c>
      <c r="I145" t="s">
        <v>60</v>
      </c>
      <c r="N145" s="1"/>
      <c r="S145" t="s">
        <v>125</v>
      </c>
      <c r="T145" s="1"/>
      <c r="AD145" s="1"/>
      <c r="AF145" t="s">
        <v>833</v>
      </c>
      <c r="AH145" t="s">
        <v>102</v>
      </c>
      <c r="AI145" t="s">
        <v>84</v>
      </c>
      <c r="AJ145" t="s">
        <v>63</v>
      </c>
      <c r="AP145" t="b">
        <v>1</v>
      </c>
      <c r="AQ145" t="s">
        <v>79</v>
      </c>
      <c r="BA145" t="b">
        <v>0</v>
      </c>
    </row>
    <row r="146" spans="2:53" x14ac:dyDescent="0.2">
      <c r="B146" t="s">
        <v>855</v>
      </c>
      <c r="C146" t="s">
        <v>856</v>
      </c>
      <c r="D146" t="s">
        <v>66</v>
      </c>
      <c r="E146">
        <v>0</v>
      </c>
      <c r="F146" t="s">
        <v>56</v>
      </c>
      <c r="H146" t="s">
        <v>60</v>
      </c>
      <c r="I146" t="s">
        <v>88</v>
      </c>
      <c r="N146" s="1"/>
      <c r="S146" t="s">
        <v>125</v>
      </c>
      <c r="T146" s="1"/>
      <c r="AD146" s="1"/>
      <c r="AF146" t="s">
        <v>355</v>
      </c>
      <c r="AH146" t="s">
        <v>102</v>
      </c>
      <c r="AI146" t="s">
        <v>84</v>
      </c>
      <c r="AJ146" t="s">
        <v>63</v>
      </c>
      <c r="AP146" t="b">
        <v>0</v>
      </c>
      <c r="AQ146" t="s">
        <v>79</v>
      </c>
      <c r="BA146" t="b">
        <v>0</v>
      </c>
    </row>
    <row r="147" spans="2:53" x14ac:dyDescent="0.2">
      <c r="B147" t="s">
        <v>857</v>
      </c>
      <c r="C147" t="s">
        <v>858</v>
      </c>
      <c r="D147" t="s">
        <v>66</v>
      </c>
      <c r="E147">
        <v>0</v>
      </c>
      <c r="F147" t="s">
        <v>56</v>
      </c>
      <c r="H147" t="s">
        <v>88</v>
      </c>
      <c r="I147" t="s">
        <v>578</v>
      </c>
      <c r="N147" s="1"/>
      <c r="S147" t="s">
        <v>125</v>
      </c>
      <c r="T147" s="1"/>
      <c r="AD147" s="1"/>
      <c r="AF147" t="s">
        <v>126</v>
      </c>
      <c r="AH147" t="s">
        <v>859</v>
      </c>
      <c r="AI147" t="s">
        <v>128</v>
      </c>
      <c r="AJ147" t="s">
        <v>63</v>
      </c>
      <c r="AP147" t="b">
        <v>0</v>
      </c>
      <c r="AQ147" t="s">
        <v>79</v>
      </c>
      <c r="BA147" t="b">
        <v>0</v>
      </c>
    </row>
    <row r="148" spans="2:53" x14ac:dyDescent="0.2">
      <c r="B148" t="s">
        <v>860</v>
      </c>
      <c r="C148" t="s">
        <v>861</v>
      </c>
      <c r="D148" t="s">
        <v>66</v>
      </c>
      <c r="E148">
        <v>0</v>
      </c>
      <c r="F148" t="s">
        <v>56</v>
      </c>
      <c r="H148" t="s">
        <v>60</v>
      </c>
      <c r="I148" t="s">
        <v>88</v>
      </c>
      <c r="J148" t="s">
        <v>467</v>
      </c>
      <c r="L148" t="s">
        <v>467</v>
      </c>
      <c r="N148" s="1"/>
      <c r="S148" t="s">
        <v>125</v>
      </c>
      <c r="T148" s="1"/>
      <c r="AD148" s="1"/>
      <c r="AF148" t="s">
        <v>467</v>
      </c>
      <c r="AH148" t="s">
        <v>468</v>
      </c>
      <c r="AI148" t="s">
        <v>84</v>
      </c>
      <c r="AJ148" t="s">
        <v>63</v>
      </c>
      <c r="AP148" t="b">
        <v>1</v>
      </c>
      <c r="AQ148" t="s">
        <v>262</v>
      </c>
      <c r="BA148" t="b">
        <v>0</v>
      </c>
    </row>
    <row r="149" spans="2:53" x14ac:dyDescent="0.2">
      <c r="B149" t="s">
        <v>862</v>
      </c>
      <c r="C149" t="s">
        <v>863</v>
      </c>
      <c r="D149" t="s">
        <v>66</v>
      </c>
      <c r="E149">
        <v>0</v>
      </c>
      <c r="F149" t="s">
        <v>56</v>
      </c>
      <c r="H149" t="s">
        <v>60</v>
      </c>
      <c r="I149" t="s">
        <v>578</v>
      </c>
      <c r="J149" t="s">
        <v>69</v>
      </c>
      <c r="L149" t="s">
        <v>60</v>
      </c>
      <c r="N149" s="1"/>
      <c r="S149" t="s">
        <v>425</v>
      </c>
      <c r="T149" s="1"/>
      <c r="AD149" s="1"/>
      <c r="AF149" t="s">
        <v>293</v>
      </c>
      <c r="AH149" t="s">
        <v>156</v>
      </c>
      <c r="AI149" t="s">
        <v>128</v>
      </c>
      <c r="AJ149" t="s">
        <v>63</v>
      </c>
      <c r="AP149" t="b">
        <v>1</v>
      </c>
      <c r="AQ149" t="s">
        <v>79</v>
      </c>
      <c r="BA149" t="b">
        <v>0</v>
      </c>
    </row>
    <row r="150" spans="2:53" x14ac:dyDescent="0.2">
      <c r="B150" t="s">
        <v>864</v>
      </c>
      <c r="C150" t="s">
        <v>865</v>
      </c>
      <c r="E150">
        <v>928</v>
      </c>
      <c r="F150" t="s">
        <v>866</v>
      </c>
      <c r="H150" t="s">
        <v>60</v>
      </c>
      <c r="I150" t="s">
        <v>60</v>
      </c>
      <c r="J150" t="s">
        <v>69</v>
      </c>
      <c r="K150" t="s">
        <v>70</v>
      </c>
      <c r="L150" t="s">
        <v>219</v>
      </c>
      <c r="M150" t="s">
        <v>70</v>
      </c>
      <c r="N150" s="1"/>
      <c r="S150" t="s">
        <v>71</v>
      </c>
      <c r="T150" s="1"/>
      <c r="U150" t="s">
        <v>70</v>
      </c>
      <c r="V150" t="s">
        <v>867</v>
      </c>
      <c r="W150" t="s">
        <v>70</v>
      </c>
      <c r="X150" t="s">
        <v>70</v>
      </c>
      <c r="Y150" t="s">
        <v>70</v>
      </c>
      <c r="Z150" t="s">
        <v>70</v>
      </c>
      <c r="AA150" t="s">
        <v>70</v>
      </c>
      <c r="AB150" t="s">
        <v>70</v>
      </c>
      <c r="AC150">
        <v>2006</v>
      </c>
      <c r="AD150" s="1"/>
      <c r="AE150" t="s">
        <v>868</v>
      </c>
      <c r="AF150" t="s">
        <v>293</v>
      </c>
      <c r="AG150" t="s">
        <v>869</v>
      </c>
      <c r="AH150" t="s">
        <v>184</v>
      </c>
      <c r="AI150" t="s">
        <v>84</v>
      </c>
      <c r="AJ150" t="s">
        <v>870</v>
      </c>
      <c r="AL150" t="s">
        <v>70</v>
      </c>
      <c r="AM150" t="s">
        <v>70</v>
      </c>
      <c r="AN150" t="s">
        <v>78</v>
      </c>
      <c r="AO150" t="s">
        <v>871</v>
      </c>
      <c r="AP150" t="b">
        <v>1</v>
      </c>
      <c r="AQ150" t="s">
        <v>79</v>
      </c>
      <c r="AR150" t="s">
        <v>872</v>
      </c>
      <c r="BA150" t="b">
        <v>0</v>
      </c>
    </row>
    <row r="151" spans="2:53" x14ac:dyDescent="0.2">
      <c r="B151" t="s">
        <v>873</v>
      </c>
      <c r="C151" t="s">
        <v>874</v>
      </c>
      <c r="E151">
        <v>3015</v>
      </c>
      <c r="F151" t="s">
        <v>875</v>
      </c>
      <c r="H151" t="s">
        <v>60</v>
      </c>
      <c r="I151" t="s">
        <v>219</v>
      </c>
      <c r="J151" t="s">
        <v>220</v>
      </c>
      <c r="K151" t="s">
        <v>70</v>
      </c>
      <c r="L151" t="s">
        <v>219</v>
      </c>
      <c r="M151" t="s">
        <v>70</v>
      </c>
      <c r="N151" s="1"/>
      <c r="S151" t="s">
        <v>125</v>
      </c>
      <c r="T151" s="1">
        <v>39931</v>
      </c>
      <c r="U151" t="s">
        <v>70</v>
      </c>
      <c r="V151" t="s">
        <v>876</v>
      </c>
      <c r="W151" t="s">
        <v>877</v>
      </c>
      <c r="X151" t="s">
        <v>878</v>
      </c>
      <c r="Y151" t="s">
        <v>879</v>
      </c>
      <c r="Z151" t="s">
        <v>880</v>
      </c>
      <c r="AA151" t="s">
        <v>4348</v>
      </c>
      <c r="AB151" t="s">
        <v>70</v>
      </c>
      <c r="AC151">
        <v>2011</v>
      </c>
      <c r="AD151" s="1"/>
      <c r="AE151" t="s">
        <v>881</v>
      </c>
      <c r="AF151" t="s">
        <v>293</v>
      </c>
      <c r="AG151" t="s">
        <v>882</v>
      </c>
      <c r="AH151" t="s">
        <v>76</v>
      </c>
      <c r="AI151" t="s">
        <v>84</v>
      </c>
      <c r="AJ151" t="s">
        <v>63</v>
      </c>
      <c r="AL151" t="s">
        <v>70</v>
      </c>
      <c r="AM151" t="s">
        <v>70</v>
      </c>
      <c r="AN151" t="s">
        <v>883</v>
      </c>
      <c r="AO151" t="s">
        <v>70</v>
      </c>
      <c r="AP151" t="b">
        <v>1</v>
      </c>
      <c r="AQ151" t="s">
        <v>79</v>
      </c>
      <c r="AV151" t="s">
        <v>381</v>
      </c>
      <c r="AW151" t="s">
        <v>884</v>
      </c>
      <c r="AX151" t="s">
        <v>885</v>
      </c>
      <c r="AY151" t="s">
        <v>886</v>
      </c>
      <c r="AZ151" t="s">
        <v>887</v>
      </c>
      <c r="BA151" t="b">
        <v>0</v>
      </c>
    </row>
    <row r="152" spans="2:53" x14ac:dyDescent="0.2">
      <c r="B152" t="s">
        <v>888</v>
      </c>
      <c r="C152" t="s">
        <v>889</v>
      </c>
      <c r="D152" t="s">
        <v>66</v>
      </c>
      <c r="F152" t="s">
        <v>890</v>
      </c>
      <c r="H152" t="s">
        <v>60</v>
      </c>
      <c r="I152" t="s">
        <v>60</v>
      </c>
      <c r="J152" t="s">
        <v>70</v>
      </c>
      <c r="K152" t="s">
        <v>70</v>
      </c>
      <c r="L152" t="s">
        <v>68</v>
      </c>
      <c r="M152" t="s">
        <v>70</v>
      </c>
      <c r="N152" s="1"/>
      <c r="S152" t="s">
        <v>71</v>
      </c>
      <c r="T152" s="1"/>
      <c r="U152" t="s">
        <v>70</v>
      </c>
      <c r="V152" t="s">
        <v>891</v>
      </c>
      <c r="W152" t="s">
        <v>70</v>
      </c>
      <c r="X152" t="s">
        <v>70</v>
      </c>
      <c r="Y152" t="s">
        <v>70</v>
      </c>
      <c r="Z152" t="s">
        <v>70</v>
      </c>
      <c r="AA152" t="s">
        <v>70</v>
      </c>
      <c r="AB152" t="s">
        <v>70</v>
      </c>
      <c r="AC152">
        <v>2006</v>
      </c>
      <c r="AD152" s="1"/>
      <c r="AE152" t="s">
        <v>70</v>
      </c>
      <c r="AF152" t="s">
        <v>82</v>
      </c>
      <c r="AG152" t="s">
        <v>892</v>
      </c>
      <c r="AH152" t="s">
        <v>83</v>
      </c>
      <c r="AI152" t="s">
        <v>128</v>
      </c>
      <c r="AJ152" t="s">
        <v>63</v>
      </c>
      <c r="AL152" t="s">
        <v>70</v>
      </c>
      <c r="AM152" t="s">
        <v>70</v>
      </c>
      <c r="AN152" t="s">
        <v>78</v>
      </c>
      <c r="AO152" t="s">
        <v>70</v>
      </c>
      <c r="AP152" t="b">
        <v>1</v>
      </c>
      <c r="AQ152" t="s">
        <v>79</v>
      </c>
      <c r="BA152" t="b">
        <v>0</v>
      </c>
    </row>
    <row r="153" spans="2:53" x14ac:dyDescent="0.2">
      <c r="B153" t="s">
        <v>893</v>
      </c>
      <c r="C153" t="s">
        <v>894</v>
      </c>
      <c r="D153" t="s">
        <v>66</v>
      </c>
      <c r="E153">
        <v>0</v>
      </c>
      <c r="F153" t="s">
        <v>895</v>
      </c>
      <c r="H153" t="s">
        <v>88</v>
      </c>
      <c r="I153" t="s">
        <v>60</v>
      </c>
      <c r="J153" t="s">
        <v>170</v>
      </c>
      <c r="K153" t="s">
        <v>69</v>
      </c>
      <c r="L153" t="s">
        <v>60</v>
      </c>
      <c r="M153" t="s">
        <v>70</v>
      </c>
      <c r="N153" s="1"/>
      <c r="S153" t="s">
        <v>71</v>
      </c>
      <c r="T153" s="1"/>
      <c r="U153" t="s">
        <v>70</v>
      </c>
      <c r="V153" t="s">
        <v>896</v>
      </c>
      <c r="W153" t="s">
        <v>897</v>
      </c>
      <c r="X153" t="s">
        <v>70</v>
      </c>
      <c r="Y153" t="s">
        <v>70</v>
      </c>
      <c r="Z153" t="s">
        <v>70</v>
      </c>
      <c r="AA153" t="s">
        <v>70</v>
      </c>
      <c r="AB153" t="s">
        <v>70</v>
      </c>
      <c r="AC153">
        <v>2006</v>
      </c>
      <c r="AD153" s="1"/>
      <c r="AE153" t="s">
        <v>898</v>
      </c>
      <c r="AF153" t="s">
        <v>899</v>
      </c>
      <c r="AG153" t="s">
        <v>900</v>
      </c>
      <c r="AH153" t="s">
        <v>901</v>
      </c>
      <c r="AI153" t="s">
        <v>84</v>
      </c>
      <c r="AJ153" t="s">
        <v>902</v>
      </c>
      <c r="AK153">
        <v>480</v>
      </c>
      <c r="AL153" t="s">
        <v>903</v>
      </c>
      <c r="AM153" t="s">
        <v>904</v>
      </c>
      <c r="AN153" t="s">
        <v>78</v>
      </c>
      <c r="AO153" t="s">
        <v>70</v>
      </c>
      <c r="AP153" t="b">
        <v>1</v>
      </c>
      <c r="AQ153" t="s">
        <v>79</v>
      </c>
      <c r="AR153" t="s">
        <v>177</v>
      </c>
      <c r="BA153" t="b">
        <v>0</v>
      </c>
    </row>
    <row r="154" spans="2:53" x14ac:dyDescent="0.2">
      <c r="B154" t="s">
        <v>905</v>
      </c>
      <c r="C154" t="s">
        <v>906</v>
      </c>
      <c r="F154" t="s">
        <v>907</v>
      </c>
      <c r="H154" t="s">
        <v>60</v>
      </c>
      <c r="I154" t="s">
        <v>60</v>
      </c>
      <c r="J154" t="s">
        <v>69</v>
      </c>
      <c r="K154" t="s">
        <v>70</v>
      </c>
      <c r="L154" t="s">
        <v>60</v>
      </c>
      <c r="M154" t="s">
        <v>70</v>
      </c>
      <c r="N154" s="1"/>
      <c r="S154" t="s">
        <v>125</v>
      </c>
      <c r="T154" s="1"/>
      <c r="U154" t="s">
        <v>70</v>
      </c>
      <c r="V154" t="s">
        <v>70</v>
      </c>
      <c r="W154" t="s">
        <v>70</v>
      </c>
      <c r="X154" t="s">
        <v>70</v>
      </c>
      <c r="Y154" t="s">
        <v>70</v>
      </c>
      <c r="Z154" t="s">
        <v>70</v>
      </c>
      <c r="AA154" t="s">
        <v>70</v>
      </c>
      <c r="AB154" t="s">
        <v>70</v>
      </c>
      <c r="AD154" s="1"/>
      <c r="AE154" t="s">
        <v>908</v>
      </c>
      <c r="AF154" t="s">
        <v>293</v>
      </c>
      <c r="AG154" t="s">
        <v>78</v>
      </c>
      <c r="AH154" t="s">
        <v>184</v>
      </c>
      <c r="AI154" t="s">
        <v>128</v>
      </c>
      <c r="AJ154" t="s">
        <v>63</v>
      </c>
      <c r="AL154" t="s">
        <v>70</v>
      </c>
      <c r="AM154" t="s">
        <v>70</v>
      </c>
      <c r="AN154" t="s">
        <v>78</v>
      </c>
      <c r="AO154" t="s">
        <v>70</v>
      </c>
      <c r="AP154" t="b">
        <v>0</v>
      </c>
      <c r="AQ154" t="s">
        <v>79</v>
      </c>
      <c r="BA154" t="b">
        <v>0</v>
      </c>
    </row>
    <row r="155" spans="2:53" x14ac:dyDescent="0.2">
      <c r="B155" t="s">
        <v>909</v>
      </c>
      <c r="C155" t="s">
        <v>910</v>
      </c>
      <c r="D155" t="s">
        <v>66</v>
      </c>
      <c r="E155">
        <v>0</v>
      </c>
      <c r="F155" t="s">
        <v>56</v>
      </c>
      <c r="H155" t="s">
        <v>60</v>
      </c>
      <c r="I155" t="s">
        <v>60</v>
      </c>
      <c r="J155" t="s">
        <v>69</v>
      </c>
      <c r="K155" t="s">
        <v>70</v>
      </c>
      <c r="L155" t="s">
        <v>60</v>
      </c>
      <c r="M155" t="s">
        <v>70</v>
      </c>
      <c r="N155" s="1"/>
      <c r="S155" t="s">
        <v>71</v>
      </c>
      <c r="T155" s="1"/>
      <c r="U155" t="s">
        <v>70</v>
      </c>
      <c r="V155" t="s">
        <v>911</v>
      </c>
      <c r="W155" t="s">
        <v>70</v>
      </c>
      <c r="X155" t="s">
        <v>70</v>
      </c>
      <c r="Y155" t="s">
        <v>70</v>
      </c>
      <c r="Z155" t="s">
        <v>70</v>
      </c>
      <c r="AA155" t="s">
        <v>70</v>
      </c>
      <c r="AB155" t="s">
        <v>70</v>
      </c>
      <c r="AD155" s="1"/>
      <c r="AE155" t="s">
        <v>912</v>
      </c>
      <c r="AF155" t="s">
        <v>74</v>
      </c>
      <c r="AG155" t="s">
        <v>913</v>
      </c>
      <c r="AH155" t="s">
        <v>127</v>
      </c>
      <c r="AI155" t="s">
        <v>84</v>
      </c>
      <c r="AJ155" t="s">
        <v>63</v>
      </c>
      <c r="AL155" t="s">
        <v>70</v>
      </c>
      <c r="AM155" t="s">
        <v>70</v>
      </c>
      <c r="AN155" t="s">
        <v>78</v>
      </c>
      <c r="AO155" t="s">
        <v>70</v>
      </c>
      <c r="AP155" t="b">
        <v>1</v>
      </c>
      <c r="AQ155" t="s">
        <v>79</v>
      </c>
      <c r="BA155" t="b">
        <v>0</v>
      </c>
    </row>
    <row r="156" spans="2:53" x14ac:dyDescent="0.2">
      <c r="B156" t="s">
        <v>914</v>
      </c>
      <c r="C156" t="s">
        <v>915</v>
      </c>
      <c r="D156" t="s">
        <v>66</v>
      </c>
      <c r="E156">
        <v>1700</v>
      </c>
      <c r="F156" t="s">
        <v>56</v>
      </c>
      <c r="H156" t="s">
        <v>60</v>
      </c>
      <c r="I156" t="s">
        <v>60</v>
      </c>
      <c r="J156" t="s">
        <v>70</v>
      </c>
      <c r="K156" t="s">
        <v>70</v>
      </c>
      <c r="L156" t="s">
        <v>60</v>
      </c>
      <c r="M156" t="s">
        <v>70</v>
      </c>
      <c r="N156" s="1"/>
      <c r="S156" t="s">
        <v>71</v>
      </c>
      <c r="T156" s="1"/>
      <c r="U156" t="s">
        <v>70</v>
      </c>
      <c r="V156" t="s">
        <v>916</v>
      </c>
      <c r="W156" t="s">
        <v>70</v>
      </c>
      <c r="X156" t="s">
        <v>70</v>
      </c>
      <c r="Y156" t="s">
        <v>70</v>
      </c>
      <c r="Z156" t="s">
        <v>70</v>
      </c>
      <c r="AA156" t="s">
        <v>70</v>
      </c>
      <c r="AB156" t="s">
        <v>70</v>
      </c>
      <c r="AC156">
        <v>2005</v>
      </c>
      <c r="AD156" s="1"/>
      <c r="AE156" t="s">
        <v>237</v>
      </c>
      <c r="AF156" t="s">
        <v>917</v>
      </c>
      <c r="AG156" t="s">
        <v>918</v>
      </c>
      <c r="AH156" t="s">
        <v>545</v>
      </c>
      <c r="AI156" t="s">
        <v>128</v>
      </c>
      <c r="AJ156" t="s">
        <v>63</v>
      </c>
      <c r="AK156">
        <v>200</v>
      </c>
      <c r="AL156" t="s">
        <v>70</v>
      </c>
      <c r="AM156" t="s">
        <v>70</v>
      </c>
      <c r="AN156" t="s">
        <v>78</v>
      </c>
      <c r="AO156" t="s">
        <v>70</v>
      </c>
      <c r="AP156" t="b">
        <v>1</v>
      </c>
      <c r="AQ156" t="s">
        <v>79</v>
      </c>
      <c r="BA156" t="b">
        <v>0</v>
      </c>
    </row>
    <row r="157" spans="2:53" x14ac:dyDescent="0.2">
      <c r="B157" t="s">
        <v>919</v>
      </c>
      <c r="C157" t="s">
        <v>920</v>
      </c>
      <c r="E157">
        <v>1100</v>
      </c>
      <c r="F157" t="s">
        <v>921</v>
      </c>
      <c r="H157" t="s">
        <v>60</v>
      </c>
      <c r="I157" t="s">
        <v>244</v>
      </c>
      <c r="J157" t="s">
        <v>243</v>
      </c>
      <c r="K157" t="s">
        <v>70</v>
      </c>
      <c r="L157" t="s">
        <v>244</v>
      </c>
      <c r="M157" t="s">
        <v>70</v>
      </c>
      <c r="N157" s="1"/>
      <c r="S157" t="s">
        <v>71</v>
      </c>
      <c r="T157" s="1"/>
      <c r="U157" t="s">
        <v>70</v>
      </c>
      <c r="V157" t="s">
        <v>922</v>
      </c>
      <c r="W157" t="s">
        <v>923</v>
      </c>
      <c r="X157" t="s">
        <v>70</v>
      </c>
      <c r="Y157" t="s">
        <v>70</v>
      </c>
      <c r="Z157" t="s">
        <v>70</v>
      </c>
      <c r="AA157" t="s">
        <v>70</v>
      </c>
      <c r="AB157" t="s">
        <v>70</v>
      </c>
      <c r="AC157">
        <v>2007</v>
      </c>
      <c r="AD157" s="1">
        <v>39326</v>
      </c>
      <c r="AE157" t="s">
        <v>924</v>
      </c>
      <c r="AF157" t="s">
        <v>82</v>
      </c>
      <c r="AG157" t="s">
        <v>925</v>
      </c>
      <c r="AH157" t="s">
        <v>295</v>
      </c>
      <c r="AI157" t="s">
        <v>84</v>
      </c>
      <c r="AJ157" t="s">
        <v>926</v>
      </c>
      <c r="AL157" t="s">
        <v>70</v>
      </c>
      <c r="AM157" t="s">
        <v>70</v>
      </c>
      <c r="AN157" t="s">
        <v>78</v>
      </c>
      <c r="AO157" t="s">
        <v>70</v>
      </c>
      <c r="AP157" t="b">
        <v>1</v>
      </c>
      <c r="AQ157" t="s">
        <v>79</v>
      </c>
      <c r="AR157" t="s">
        <v>927</v>
      </c>
      <c r="BA157" t="b">
        <v>0</v>
      </c>
    </row>
    <row r="158" spans="2:53" x14ac:dyDescent="0.2">
      <c r="B158" t="s">
        <v>928</v>
      </c>
      <c r="C158" t="s">
        <v>929</v>
      </c>
      <c r="F158" t="s">
        <v>930</v>
      </c>
      <c r="H158" t="s">
        <v>60</v>
      </c>
      <c r="I158" t="s">
        <v>60</v>
      </c>
      <c r="J158" t="s">
        <v>70</v>
      </c>
      <c r="K158" t="s">
        <v>70</v>
      </c>
      <c r="L158" t="s">
        <v>155</v>
      </c>
      <c r="M158" t="s">
        <v>70</v>
      </c>
      <c r="N158" s="1"/>
      <c r="S158" t="s">
        <v>71</v>
      </c>
      <c r="T158" s="1"/>
      <c r="U158" t="s">
        <v>70</v>
      </c>
      <c r="V158" t="s">
        <v>931</v>
      </c>
      <c r="W158" t="s">
        <v>70</v>
      </c>
      <c r="X158" t="s">
        <v>70</v>
      </c>
      <c r="Y158" t="s">
        <v>70</v>
      </c>
      <c r="Z158" t="s">
        <v>70</v>
      </c>
      <c r="AA158" t="s">
        <v>70</v>
      </c>
      <c r="AB158" t="s">
        <v>70</v>
      </c>
      <c r="AC158">
        <v>2006</v>
      </c>
      <c r="AD158" s="1"/>
      <c r="AE158" t="s">
        <v>932</v>
      </c>
      <c r="AF158" t="s">
        <v>631</v>
      </c>
      <c r="AG158" t="s">
        <v>933</v>
      </c>
      <c r="AH158" t="s">
        <v>149</v>
      </c>
      <c r="AI158" t="s">
        <v>128</v>
      </c>
      <c r="AJ158" t="s">
        <v>63</v>
      </c>
      <c r="AL158" t="s">
        <v>70</v>
      </c>
      <c r="AM158" t="s">
        <v>70</v>
      </c>
      <c r="AN158" t="s">
        <v>78</v>
      </c>
      <c r="AO158" t="s">
        <v>70</v>
      </c>
      <c r="AP158" t="b">
        <v>0</v>
      </c>
      <c r="AQ158" t="s">
        <v>79</v>
      </c>
      <c r="BA158" t="b">
        <v>0</v>
      </c>
    </row>
    <row r="159" spans="2:53" x14ac:dyDescent="0.2">
      <c r="B159" t="s">
        <v>934</v>
      </c>
      <c r="C159" t="s">
        <v>935</v>
      </c>
      <c r="D159" t="s">
        <v>66</v>
      </c>
      <c r="E159">
        <v>0</v>
      </c>
      <c r="F159" t="s">
        <v>936</v>
      </c>
      <c r="H159" t="s">
        <v>60</v>
      </c>
      <c r="I159" t="s">
        <v>60</v>
      </c>
      <c r="J159" t="s">
        <v>118</v>
      </c>
      <c r="K159" t="s">
        <v>70</v>
      </c>
      <c r="L159" t="s">
        <v>219</v>
      </c>
      <c r="M159" t="s">
        <v>70</v>
      </c>
      <c r="N159" s="1"/>
      <c r="S159" t="s">
        <v>71</v>
      </c>
      <c r="T159" s="1"/>
      <c r="U159" t="s">
        <v>70</v>
      </c>
      <c r="V159" t="s">
        <v>931</v>
      </c>
      <c r="W159" t="s">
        <v>70</v>
      </c>
      <c r="X159" t="s">
        <v>70</v>
      </c>
      <c r="Y159" t="s">
        <v>70</v>
      </c>
      <c r="Z159" t="s">
        <v>70</v>
      </c>
      <c r="AA159" t="s">
        <v>70</v>
      </c>
      <c r="AB159" t="s">
        <v>70</v>
      </c>
      <c r="AC159">
        <v>2006</v>
      </c>
      <c r="AD159" s="1"/>
      <c r="AE159" t="s">
        <v>937</v>
      </c>
      <c r="AF159" t="s">
        <v>938</v>
      </c>
      <c r="AG159" t="s">
        <v>939</v>
      </c>
      <c r="AH159" t="s">
        <v>149</v>
      </c>
      <c r="AI159" t="s">
        <v>128</v>
      </c>
      <c r="AJ159" t="s">
        <v>63</v>
      </c>
      <c r="AL159" t="s">
        <v>70</v>
      </c>
      <c r="AM159" t="s">
        <v>70</v>
      </c>
      <c r="AN159" t="s">
        <v>78</v>
      </c>
      <c r="AO159" t="s">
        <v>70</v>
      </c>
      <c r="AP159" t="b">
        <v>0</v>
      </c>
      <c r="AQ159" t="s">
        <v>79</v>
      </c>
      <c r="BA159" t="b">
        <v>0</v>
      </c>
    </row>
    <row r="160" spans="2:53" x14ac:dyDescent="0.2">
      <c r="B160" t="s">
        <v>940</v>
      </c>
      <c r="C160" t="s">
        <v>941</v>
      </c>
      <c r="D160" t="s">
        <v>66</v>
      </c>
      <c r="E160">
        <v>0</v>
      </c>
      <c r="F160" t="s">
        <v>942</v>
      </c>
      <c r="H160" t="s">
        <v>60</v>
      </c>
      <c r="I160" t="s">
        <v>60</v>
      </c>
      <c r="J160" t="s">
        <v>70</v>
      </c>
      <c r="K160" t="s">
        <v>70</v>
      </c>
      <c r="L160" t="s">
        <v>219</v>
      </c>
      <c r="M160" t="s">
        <v>70</v>
      </c>
      <c r="N160" s="1"/>
      <c r="S160" t="s">
        <v>71</v>
      </c>
      <c r="T160" s="1"/>
      <c r="U160" t="s">
        <v>70</v>
      </c>
      <c r="V160" t="s">
        <v>931</v>
      </c>
      <c r="W160" t="s">
        <v>70</v>
      </c>
      <c r="X160" t="s">
        <v>70</v>
      </c>
      <c r="Y160" t="s">
        <v>70</v>
      </c>
      <c r="Z160" t="s">
        <v>70</v>
      </c>
      <c r="AA160" t="s">
        <v>70</v>
      </c>
      <c r="AB160" t="s">
        <v>70</v>
      </c>
      <c r="AC160">
        <v>2006</v>
      </c>
      <c r="AD160" s="1"/>
      <c r="AE160" t="s">
        <v>943</v>
      </c>
      <c r="AF160" t="s">
        <v>631</v>
      </c>
      <c r="AG160" t="s">
        <v>944</v>
      </c>
      <c r="AH160" t="s">
        <v>149</v>
      </c>
      <c r="AI160" t="s">
        <v>128</v>
      </c>
      <c r="AJ160" t="s">
        <v>63</v>
      </c>
      <c r="AL160" t="s">
        <v>70</v>
      </c>
      <c r="AM160" t="s">
        <v>70</v>
      </c>
      <c r="AN160" t="s">
        <v>78</v>
      </c>
      <c r="AO160" t="s">
        <v>70</v>
      </c>
      <c r="AP160" t="b">
        <v>0</v>
      </c>
      <c r="AQ160" t="s">
        <v>79</v>
      </c>
      <c r="BA160" t="b">
        <v>0</v>
      </c>
    </row>
    <row r="161" spans="2:53" x14ac:dyDescent="0.2">
      <c r="B161" t="s">
        <v>945</v>
      </c>
      <c r="C161" t="s">
        <v>946</v>
      </c>
      <c r="D161" t="s">
        <v>66</v>
      </c>
      <c r="E161">
        <v>0</v>
      </c>
      <c r="F161" t="s">
        <v>56</v>
      </c>
      <c r="H161" t="s">
        <v>60</v>
      </c>
      <c r="I161" t="s">
        <v>68</v>
      </c>
      <c r="J161" t="s">
        <v>70</v>
      </c>
      <c r="K161" t="s">
        <v>70</v>
      </c>
      <c r="L161" t="s">
        <v>68</v>
      </c>
      <c r="M161" t="s">
        <v>70</v>
      </c>
      <c r="N161" s="1"/>
      <c r="S161" t="s">
        <v>71</v>
      </c>
      <c r="T161" s="1"/>
      <c r="U161" t="s">
        <v>70</v>
      </c>
      <c r="V161" t="s">
        <v>947</v>
      </c>
      <c r="W161" t="s">
        <v>70</v>
      </c>
      <c r="X161" t="s">
        <v>70</v>
      </c>
      <c r="Y161" t="s">
        <v>70</v>
      </c>
      <c r="Z161" t="s">
        <v>70</v>
      </c>
      <c r="AA161" t="s">
        <v>70</v>
      </c>
      <c r="AB161" t="s">
        <v>70</v>
      </c>
      <c r="AC161">
        <v>2004</v>
      </c>
      <c r="AD161" s="1"/>
      <c r="AE161" t="s">
        <v>70</v>
      </c>
      <c r="AF161" t="s">
        <v>174</v>
      </c>
      <c r="AG161" t="s">
        <v>948</v>
      </c>
      <c r="AH161" t="s">
        <v>83</v>
      </c>
      <c r="AI161" t="s">
        <v>128</v>
      </c>
      <c r="AJ161" t="s">
        <v>63</v>
      </c>
      <c r="AL161" t="s">
        <v>70</v>
      </c>
      <c r="AM161" t="s">
        <v>70</v>
      </c>
      <c r="AN161" t="s">
        <v>78</v>
      </c>
      <c r="AO161" t="s">
        <v>70</v>
      </c>
      <c r="AP161" t="b">
        <v>1</v>
      </c>
      <c r="AQ161" t="s">
        <v>79</v>
      </c>
      <c r="BA161" t="b">
        <v>0</v>
      </c>
    </row>
    <row r="162" spans="2:53" x14ac:dyDescent="0.2">
      <c r="B162" t="s">
        <v>949</v>
      </c>
      <c r="C162" t="s">
        <v>950</v>
      </c>
      <c r="D162" t="s">
        <v>66</v>
      </c>
      <c r="E162">
        <v>0</v>
      </c>
      <c r="F162" t="s">
        <v>951</v>
      </c>
      <c r="H162" t="s">
        <v>60</v>
      </c>
      <c r="I162" t="s">
        <v>68</v>
      </c>
      <c r="J162" t="s">
        <v>70</v>
      </c>
      <c r="K162" t="s">
        <v>70</v>
      </c>
      <c r="L162" t="s">
        <v>68</v>
      </c>
      <c r="M162" t="s">
        <v>70</v>
      </c>
      <c r="N162" s="1"/>
      <c r="S162" t="s">
        <v>71</v>
      </c>
      <c r="T162" s="1"/>
      <c r="U162" t="s">
        <v>70</v>
      </c>
      <c r="V162" t="s">
        <v>647</v>
      </c>
      <c r="W162" t="s">
        <v>70</v>
      </c>
      <c r="X162" t="s">
        <v>70</v>
      </c>
      <c r="Y162" t="s">
        <v>70</v>
      </c>
      <c r="Z162" t="s">
        <v>70</v>
      </c>
      <c r="AA162" t="s">
        <v>70</v>
      </c>
      <c r="AB162" t="s">
        <v>70</v>
      </c>
      <c r="AC162">
        <v>2004</v>
      </c>
      <c r="AD162" s="1"/>
      <c r="AE162" t="s">
        <v>952</v>
      </c>
      <c r="AF162" t="s">
        <v>82</v>
      </c>
      <c r="AG162" t="s">
        <v>953</v>
      </c>
      <c r="AH162" t="s">
        <v>83</v>
      </c>
      <c r="AI162" t="s">
        <v>128</v>
      </c>
      <c r="AJ162" t="s">
        <v>63</v>
      </c>
      <c r="AL162" t="s">
        <v>70</v>
      </c>
      <c r="AM162" t="s">
        <v>70</v>
      </c>
      <c r="AN162" t="s">
        <v>78</v>
      </c>
      <c r="AO162" t="s">
        <v>70</v>
      </c>
      <c r="AP162" t="b">
        <v>1</v>
      </c>
      <c r="AQ162" t="s">
        <v>79</v>
      </c>
      <c r="BA162" t="b">
        <v>0</v>
      </c>
    </row>
    <row r="163" spans="2:53" x14ac:dyDescent="0.2">
      <c r="B163" t="s">
        <v>954</v>
      </c>
      <c r="C163" t="s">
        <v>955</v>
      </c>
      <c r="D163" t="s">
        <v>66</v>
      </c>
      <c r="E163">
        <v>0</v>
      </c>
      <c r="F163" t="s">
        <v>56</v>
      </c>
      <c r="H163" t="s">
        <v>88</v>
      </c>
      <c r="I163" t="s">
        <v>88</v>
      </c>
      <c r="K163" t="s">
        <v>70</v>
      </c>
      <c r="M163" t="s">
        <v>70</v>
      </c>
      <c r="N163" s="1"/>
      <c r="S163" t="s">
        <v>71</v>
      </c>
      <c r="T163" s="1"/>
      <c r="U163" t="s">
        <v>70</v>
      </c>
      <c r="V163" t="s">
        <v>70</v>
      </c>
      <c r="W163" t="s">
        <v>70</v>
      </c>
      <c r="X163" t="s">
        <v>70</v>
      </c>
      <c r="Y163" t="s">
        <v>70</v>
      </c>
      <c r="Z163" t="s">
        <v>70</v>
      </c>
      <c r="AA163" t="s">
        <v>70</v>
      </c>
      <c r="AB163" t="s">
        <v>70</v>
      </c>
      <c r="AD163" s="1"/>
      <c r="AE163" t="s">
        <v>70</v>
      </c>
      <c r="AF163" t="s">
        <v>82</v>
      </c>
      <c r="AG163" t="s">
        <v>78</v>
      </c>
      <c r="AH163" t="s">
        <v>76</v>
      </c>
      <c r="AI163" t="s">
        <v>128</v>
      </c>
      <c r="AJ163" t="s">
        <v>63</v>
      </c>
      <c r="AL163" t="s">
        <v>70</v>
      </c>
      <c r="AM163" t="s">
        <v>70</v>
      </c>
      <c r="AO163" t="s">
        <v>70</v>
      </c>
      <c r="AP163" t="b">
        <v>1</v>
      </c>
      <c r="AQ163" t="s">
        <v>79</v>
      </c>
      <c r="BA163" t="b">
        <v>0</v>
      </c>
    </row>
    <row r="164" spans="2:53" x14ac:dyDescent="0.2">
      <c r="B164" t="s">
        <v>956</v>
      </c>
      <c r="C164" t="s">
        <v>957</v>
      </c>
      <c r="E164">
        <v>900</v>
      </c>
      <c r="H164" t="s">
        <v>88</v>
      </c>
      <c r="I164" t="s">
        <v>89</v>
      </c>
      <c r="J164" t="s">
        <v>89</v>
      </c>
      <c r="L164" t="s">
        <v>483</v>
      </c>
      <c r="N164" s="1"/>
      <c r="S164" t="s">
        <v>71</v>
      </c>
      <c r="T164" s="1"/>
      <c r="AD164" s="1"/>
      <c r="AF164" t="s">
        <v>293</v>
      </c>
      <c r="AH164" t="s">
        <v>156</v>
      </c>
      <c r="AI164" t="s">
        <v>128</v>
      </c>
      <c r="AJ164" t="s">
        <v>63</v>
      </c>
      <c r="AP164" t="b">
        <v>1</v>
      </c>
      <c r="AQ164" t="s">
        <v>79</v>
      </c>
      <c r="BA164" t="b">
        <v>0</v>
      </c>
    </row>
    <row r="165" spans="2:53" x14ac:dyDescent="0.2">
      <c r="B165" t="s">
        <v>958</v>
      </c>
      <c r="C165" t="s">
        <v>959</v>
      </c>
      <c r="D165" t="s">
        <v>66</v>
      </c>
      <c r="E165">
        <v>0</v>
      </c>
      <c r="F165" t="s">
        <v>56</v>
      </c>
      <c r="H165" t="s">
        <v>60</v>
      </c>
      <c r="I165" t="s">
        <v>60</v>
      </c>
      <c r="K165" t="s">
        <v>70</v>
      </c>
      <c r="M165" t="s">
        <v>70</v>
      </c>
      <c r="N165" s="1"/>
      <c r="S165" t="s">
        <v>125</v>
      </c>
      <c r="T165" s="1"/>
      <c r="U165" t="s">
        <v>70</v>
      </c>
      <c r="V165" t="s">
        <v>960</v>
      </c>
      <c r="W165" t="s">
        <v>70</v>
      </c>
      <c r="X165" t="s">
        <v>70</v>
      </c>
      <c r="Y165" t="s">
        <v>70</v>
      </c>
      <c r="Z165" t="s">
        <v>70</v>
      </c>
      <c r="AA165" t="s">
        <v>70</v>
      </c>
      <c r="AB165" t="s">
        <v>70</v>
      </c>
      <c r="AC165">
        <v>2005</v>
      </c>
      <c r="AD165" s="1"/>
      <c r="AE165" t="s">
        <v>70</v>
      </c>
      <c r="AF165" t="s">
        <v>833</v>
      </c>
      <c r="AG165" t="s">
        <v>961</v>
      </c>
      <c r="AH165" t="s">
        <v>962</v>
      </c>
      <c r="AI165" t="s">
        <v>84</v>
      </c>
      <c r="AJ165" t="s">
        <v>63</v>
      </c>
      <c r="AL165" t="s">
        <v>70</v>
      </c>
      <c r="AM165" t="s">
        <v>70</v>
      </c>
      <c r="AN165" t="s">
        <v>78</v>
      </c>
      <c r="AO165" t="s">
        <v>70</v>
      </c>
      <c r="AP165" t="b">
        <v>1</v>
      </c>
      <c r="AQ165" t="s">
        <v>79</v>
      </c>
      <c r="BA165" t="b">
        <v>0</v>
      </c>
    </row>
    <row r="166" spans="2:53" x14ac:dyDescent="0.2">
      <c r="B166" t="s">
        <v>963</v>
      </c>
      <c r="C166" t="s">
        <v>964</v>
      </c>
      <c r="D166" t="s">
        <v>66</v>
      </c>
      <c r="E166">
        <v>600</v>
      </c>
      <c r="F166" t="s">
        <v>965</v>
      </c>
      <c r="H166" t="s">
        <v>88</v>
      </c>
      <c r="I166" t="s">
        <v>483</v>
      </c>
      <c r="J166" t="s">
        <v>89</v>
      </c>
      <c r="L166" t="s">
        <v>483</v>
      </c>
      <c r="N166" s="1"/>
      <c r="S166" t="s">
        <v>71</v>
      </c>
      <c r="T166" s="1"/>
      <c r="AD166" s="1"/>
      <c r="AH166" t="s">
        <v>164</v>
      </c>
      <c r="AI166" t="s">
        <v>84</v>
      </c>
      <c r="AJ166" t="s">
        <v>63</v>
      </c>
      <c r="AP166" t="b">
        <v>1</v>
      </c>
      <c r="AQ166" t="s">
        <v>79</v>
      </c>
      <c r="BA166" t="b">
        <v>0</v>
      </c>
    </row>
    <row r="167" spans="2:53" x14ac:dyDescent="0.2">
      <c r="B167" t="s">
        <v>966</v>
      </c>
      <c r="C167" t="s">
        <v>967</v>
      </c>
      <c r="D167" t="s">
        <v>66</v>
      </c>
      <c r="E167">
        <v>0</v>
      </c>
      <c r="F167" t="s">
        <v>56</v>
      </c>
      <c r="H167" t="s">
        <v>88</v>
      </c>
      <c r="I167" t="s">
        <v>88</v>
      </c>
      <c r="N167" s="1"/>
      <c r="S167" t="s">
        <v>125</v>
      </c>
      <c r="T167" s="1"/>
      <c r="AD167" s="1"/>
      <c r="AI167" t="s">
        <v>128</v>
      </c>
      <c r="AJ167" t="s">
        <v>63</v>
      </c>
      <c r="AP167" t="b">
        <v>0</v>
      </c>
      <c r="AQ167" t="s">
        <v>79</v>
      </c>
      <c r="BA167" t="b">
        <v>0</v>
      </c>
    </row>
    <row r="168" spans="2:53" x14ac:dyDescent="0.2">
      <c r="B168" t="s">
        <v>968</v>
      </c>
      <c r="C168" t="s">
        <v>969</v>
      </c>
      <c r="D168" t="s">
        <v>66</v>
      </c>
      <c r="E168">
        <v>0</v>
      </c>
      <c r="F168" t="s">
        <v>56</v>
      </c>
      <c r="H168" t="s">
        <v>88</v>
      </c>
      <c r="I168" t="s">
        <v>88</v>
      </c>
      <c r="N168" s="1"/>
      <c r="S168" t="s">
        <v>125</v>
      </c>
      <c r="T168" s="1"/>
      <c r="AD168" s="1"/>
      <c r="AF168" t="s">
        <v>467</v>
      </c>
      <c r="AH168" t="s">
        <v>295</v>
      </c>
      <c r="AI168" t="s">
        <v>128</v>
      </c>
      <c r="AJ168" t="s">
        <v>63</v>
      </c>
      <c r="AP168" t="b">
        <v>0</v>
      </c>
      <c r="AQ168" t="s">
        <v>79</v>
      </c>
      <c r="BA168" t="b">
        <v>0</v>
      </c>
    </row>
    <row r="169" spans="2:53" x14ac:dyDescent="0.2">
      <c r="B169" t="s">
        <v>970</v>
      </c>
      <c r="C169" t="s">
        <v>971</v>
      </c>
      <c r="D169" t="s">
        <v>66</v>
      </c>
      <c r="E169">
        <v>1300</v>
      </c>
      <c r="F169" t="s">
        <v>112</v>
      </c>
      <c r="H169" t="s">
        <v>88</v>
      </c>
      <c r="I169" t="s">
        <v>88</v>
      </c>
      <c r="J169" t="s">
        <v>70</v>
      </c>
      <c r="K169" t="s">
        <v>70</v>
      </c>
      <c r="L169" t="s">
        <v>88</v>
      </c>
      <c r="M169" t="s">
        <v>70</v>
      </c>
      <c r="N169" s="1"/>
      <c r="S169" t="s">
        <v>125</v>
      </c>
      <c r="T169" s="1"/>
      <c r="U169" t="s">
        <v>70</v>
      </c>
      <c r="V169" t="s">
        <v>972</v>
      </c>
      <c r="W169" t="s">
        <v>70</v>
      </c>
      <c r="X169" t="s">
        <v>70</v>
      </c>
      <c r="Y169" t="s">
        <v>70</v>
      </c>
      <c r="Z169" t="s">
        <v>70</v>
      </c>
      <c r="AA169" t="s">
        <v>70</v>
      </c>
      <c r="AB169" t="s">
        <v>70</v>
      </c>
      <c r="AC169">
        <v>2004</v>
      </c>
      <c r="AD169" s="1"/>
      <c r="AE169" t="s">
        <v>70</v>
      </c>
      <c r="AF169" t="s">
        <v>70</v>
      </c>
      <c r="AG169" t="s">
        <v>78</v>
      </c>
      <c r="AH169" t="s">
        <v>115</v>
      </c>
      <c r="AI169" t="s">
        <v>128</v>
      </c>
      <c r="AJ169" t="s">
        <v>63</v>
      </c>
      <c r="AL169" t="s">
        <v>70</v>
      </c>
      <c r="AM169" t="s">
        <v>70</v>
      </c>
      <c r="AN169" t="s">
        <v>78</v>
      </c>
      <c r="AO169" t="s">
        <v>70</v>
      </c>
      <c r="AP169" t="b">
        <v>0</v>
      </c>
      <c r="AQ169" t="s">
        <v>79</v>
      </c>
      <c r="BA169" t="b">
        <v>0</v>
      </c>
    </row>
    <row r="170" spans="2:53" x14ac:dyDescent="0.2">
      <c r="B170" t="s">
        <v>973</v>
      </c>
      <c r="C170" t="s">
        <v>974</v>
      </c>
      <c r="D170" t="s">
        <v>66</v>
      </c>
      <c r="E170">
        <v>0</v>
      </c>
      <c r="F170" t="s">
        <v>975</v>
      </c>
      <c r="H170" t="s">
        <v>60</v>
      </c>
      <c r="I170" t="s">
        <v>60</v>
      </c>
      <c r="J170" t="s">
        <v>70</v>
      </c>
      <c r="K170" t="s">
        <v>70</v>
      </c>
      <c r="L170" t="s">
        <v>219</v>
      </c>
      <c r="M170" t="s">
        <v>70</v>
      </c>
      <c r="N170" s="1"/>
      <c r="S170" t="s">
        <v>71</v>
      </c>
      <c r="T170" s="1"/>
      <c r="U170" t="s">
        <v>70</v>
      </c>
      <c r="V170" t="s">
        <v>70</v>
      </c>
      <c r="W170" t="s">
        <v>70</v>
      </c>
      <c r="X170" t="s">
        <v>70</v>
      </c>
      <c r="Y170" t="s">
        <v>70</v>
      </c>
      <c r="Z170" t="s">
        <v>70</v>
      </c>
      <c r="AA170" t="s">
        <v>70</v>
      </c>
      <c r="AB170" t="s">
        <v>70</v>
      </c>
      <c r="AD170" s="1"/>
      <c r="AE170" t="s">
        <v>70</v>
      </c>
      <c r="AF170" t="s">
        <v>976</v>
      </c>
      <c r="AG170" t="s">
        <v>78</v>
      </c>
      <c r="AH170" t="s">
        <v>83</v>
      </c>
      <c r="AI170" t="s">
        <v>128</v>
      </c>
      <c r="AJ170" t="s">
        <v>63</v>
      </c>
      <c r="AL170" t="s">
        <v>70</v>
      </c>
      <c r="AM170" t="s">
        <v>70</v>
      </c>
      <c r="AN170" t="s">
        <v>78</v>
      </c>
      <c r="AO170" t="s">
        <v>70</v>
      </c>
      <c r="AP170" t="b">
        <v>0</v>
      </c>
      <c r="AQ170" t="s">
        <v>79</v>
      </c>
      <c r="BA170" t="b">
        <v>0</v>
      </c>
    </row>
    <row r="171" spans="2:53" x14ac:dyDescent="0.2">
      <c r="B171" t="s">
        <v>977</v>
      </c>
      <c r="C171" t="s">
        <v>978</v>
      </c>
      <c r="E171">
        <v>6000</v>
      </c>
      <c r="H171" t="s">
        <v>60</v>
      </c>
      <c r="I171" t="s">
        <v>60</v>
      </c>
      <c r="J171" t="s">
        <v>69</v>
      </c>
      <c r="K171" t="s">
        <v>70</v>
      </c>
      <c r="L171" t="s">
        <v>60</v>
      </c>
      <c r="M171" t="s">
        <v>70</v>
      </c>
      <c r="N171" s="1"/>
      <c r="S171" t="s">
        <v>125</v>
      </c>
      <c r="T171" s="1"/>
      <c r="U171" t="s">
        <v>70</v>
      </c>
      <c r="V171" t="s">
        <v>979</v>
      </c>
      <c r="W171" t="s">
        <v>70</v>
      </c>
      <c r="X171" t="s">
        <v>70</v>
      </c>
      <c r="Y171" t="s">
        <v>70</v>
      </c>
      <c r="Z171" t="s">
        <v>70</v>
      </c>
      <c r="AA171" t="s">
        <v>70</v>
      </c>
      <c r="AB171" t="s">
        <v>70</v>
      </c>
      <c r="AC171">
        <v>2005</v>
      </c>
      <c r="AD171" s="1"/>
      <c r="AE171" t="s">
        <v>605</v>
      </c>
      <c r="AF171" t="s">
        <v>980</v>
      </c>
      <c r="AG171" t="s">
        <v>981</v>
      </c>
      <c r="AH171" t="s">
        <v>102</v>
      </c>
      <c r="AI171" t="s">
        <v>84</v>
      </c>
      <c r="AJ171" t="s">
        <v>63</v>
      </c>
      <c r="AL171" t="s">
        <v>70</v>
      </c>
      <c r="AM171" t="s">
        <v>70</v>
      </c>
      <c r="AN171" t="s">
        <v>78</v>
      </c>
      <c r="AO171" t="s">
        <v>70</v>
      </c>
      <c r="AP171" t="b">
        <v>1</v>
      </c>
      <c r="AQ171" t="s">
        <v>79</v>
      </c>
      <c r="BA171" t="b">
        <v>0</v>
      </c>
    </row>
    <row r="172" spans="2:53" x14ac:dyDescent="0.2">
      <c r="B172" t="s">
        <v>982</v>
      </c>
      <c r="C172" t="s">
        <v>983</v>
      </c>
      <c r="D172" t="s">
        <v>66</v>
      </c>
      <c r="E172">
        <v>0</v>
      </c>
      <c r="F172" t="s">
        <v>984</v>
      </c>
      <c r="H172" t="s">
        <v>88</v>
      </c>
      <c r="I172" t="s">
        <v>68</v>
      </c>
      <c r="K172" t="s">
        <v>70</v>
      </c>
      <c r="M172" t="s">
        <v>70</v>
      </c>
      <c r="N172" s="1"/>
      <c r="S172" t="s">
        <v>125</v>
      </c>
      <c r="T172" s="1"/>
      <c r="U172" t="s">
        <v>70</v>
      </c>
      <c r="V172" t="s">
        <v>986</v>
      </c>
      <c r="W172" t="s">
        <v>70</v>
      </c>
      <c r="X172" t="s">
        <v>70</v>
      </c>
      <c r="Y172" t="s">
        <v>70</v>
      </c>
      <c r="Z172" t="s">
        <v>70</v>
      </c>
      <c r="AA172" t="s">
        <v>70</v>
      </c>
      <c r="AB172" t="s">
        <v>70</v>
      </c>
      <c r="AC172">
        <v>2005</v>
      </c>
      <c r="AD172" s="1"/>
      <c r="AE172" t="s">
        <v>987</v>
      </c>
      <c r="AF172" t="s">
        <v>756</v>
      </c>
      <c r="AG172" t="s">
        <v>988</v>
      </c>
      <c r="AH172" t="s">
        <v>76</v>
      </c>
      <c r="AI172" t="s">
        <v>108</v>
      </c>
      <c r="AJ172" t="s">
        <v>63</v>
      </c>
      <c r="AL172" t="s">
        <v>70</v>
      </c>
      <c r="AM172" t="s">
        <v>70</v>
      </c>
      <c r="AN172" t="s">
        <v>78</v>
      </c>
      <c r="AO172" t="s">
        <v>70</v>
      </c>
      <c r="AP172" t="b">
        <v>0</v>
      </c>
      <c r="AQ172" t="s">
        <v>79</v>
      </c>
      <c r="BA172" t="b">
        <v>0</v>
      </c>
    </row>
    <row r="173" spans="2:53" x14ac:dyDescent="0.2">
      <c r="B173" t="s">
        <v>989</v>
      </c>
      <c r="C173" t="s">
        <v>990</v>
      </c>
      <c r="D173" t="s">
        <v>66</v>
      </c>
      <c r="E173">
        <v>0</v>
      </c>
      <c r="F173" t="s">
        <v>67</v>
      </c>
      <c r="H173" t="s">
        <v>88</v>
      </c>
      <c r="I173" t="s">
        <v>68</v>
      </c>
      <c r="J173" t="s">
        <v>170</v>
      </c>
      <c r="K173" t="s">
        <v>70</v>
      </c>
      <c r="M173" t="s">
        <v>70</v>
      </c>
      <c r="N173" s="1"/>
      <c r="S173" t="s">
        <v>71</v>
      </c>
      <c r="T173" s="1"/>
      <c r="U173" t="s">
        <v>70</v>
      </c>
      <c r="V173" t="s">
        <v>70</v>
      </c>
      <c r="W173" t="s">
        <v>70</v>
      </c>
      <c r="X173" t="s">
        <v>70</v>
      </c>
      <c r="Y173" t="s">
        <v>70</v>
      </c>
      <c r="Z173" t="s">
        <v>70</v>
      </c>
      <c r="AA173" t="s">
        <v>70</v>
      </c>
      <c r="AB173" t="s">
        <v>70</v>
      </c>
      <c r="AD173" s="1"/>
      <c r="AF173" t="s">
        <v>82</v>
      </c>
      <c r="AH173" t="s">
        <v>76</v>
      </c>
      <c r="AI173" t="s">
        <v>128</v>
      </c>
      <c r="AJ173" t="s">
        <v>63</v>
      </c>
      <c r="AP173" t="b">
        <v>0</v>
      </c>
      <c r="AQ173" t="s">
        <v>79</v>
      </c>
      <c r="BA173" t="b">
        <v>0</v>
      </c>
    </row>
    <row r="174" spans="2:53" x14ac:dyDescent="0.2">
      <c r="B174" t="s">
        <v>991</v>
      </c>
      <c r="C174" t="s">
        <v>992</v>
      </c>
      <c r="D174" t="s">
        <v>66</v>
      </c>
      <c r="E174">
        <v>4300</v>
      </c>
      <c r="F174" t="s">
        <v>56</v>
      </c>
      <c r="H174" t="s">
        <v>88</v>
      </c>
      <c r="I174" t="s">
        <v>68</v>
      </c>
      <c r="K174" t="s">
        <v>70</v>
      </c>
      <c r="L174" t="s">
        <v>68</v>
      </c>
      <c r="M174" t="s">
        <v>70</v>
      </c>
      <c r="N174" s="1"/>
      <c r="S174" t="s">
        <v>71</v>
      </c>
      <c r="T174" s="1"/>
      <c r="U174" t="s">
        <v>70</v>
      </c>
      <c r="V174" t="s">
        <v>70</v>
      </c>
      <c r="W174" t="s">
        <v>70</v>
      </c>
      <c r="X174" t="s">
        <v>70</v>
      </c>
      <c r="Y174" t="s">
        <v>70</v>
      </c>
      <c r="Z174" t="s">
        <v>70</v>
      </c>
      <c r="AA174" t="s">
        <v>70</v>
      </c>
      <c r="AB174" t="s">
        <v>70</v>
      </c>
      <c r="AD174" s="1"/>
      <c r="AE174" t="s">
        <v>993</v>
      </c>
      <c r="AF174" t="s">
        <v>82</v>
      </c>
      <c r="AG174" t="s">
        <v>994</v>
      </c>
      <c r="AH174" t="s">
        <v>102</v>
      </c>
      <c r="AI174" t="s">
        <v>108</v>
      </c>
      <c r="AJ174" t="s">
        <v>63</v>
      </c>
      <c r="AL174" t="s">
        <v>70</v>
      </c>
      <c r="AM174" t="s">
        <v>70</v>
      </c>
      <c r="AN174" t="s">
        <v>78</v>
      </c>
      <c r="AO174" t="s">
        <v>70</v>
      </c>
      <c r="AP174" t="b">
        <v>1</v>
      </c>
      <c r="AQ174" t="s">
        <v>79</v>
      </c>
      <c r="BA174" t="b">
        <v>0</v>
      </c>
    </row>
    <row r="175" spans="2:53" x14ac:dyDescent="0.2">
      <c r="B175" t="s">
        <v>995</v>
      </c>
      <c r="C175" t="s">
        <v>996</v>
      </c>
      <c r="D175" t="s">
        <v>66</v>
      </c>
      <c r="E175">
        <v>0</v>
      </c>
      <c r="F175" t="s">
        <v>56</v>
      </c>
      <c r="H175" t="s">
        <v>88</v>
      </c>
      <c r="I175" t="s">
        <v>88</v>
      </c>
      <c r="J175" t="s">
        <v>170</v>
      </c>
      <c r="K175" t="s">
        <v>70</v>
      </c>
      <c r="L175" t="s">
        <v>68</v>
      </c>
      <c r="M175" t="s">
        <v>70</v>
      </c>
      <c r="N175" s="1"/>
      <c r="S175" t="s">
        <v>71</v>
      </c>
      <c r="T175" s="1"/>
      <c r="U175" t="s">
        <v>70</v>
      </c>
      <c r="V175" t="s">
        <v>70</v>
      </c>
      <c r="W175" t="s">
        <v>70</v>
      </c>
      <c r="X175" t="s">
        <v>70</v>
      </c>
      <c r="Y175" t="s">
        <v>70</v>
      </c>
      <c r="Z175" t="s">
        <v>70</v>
      </c>
      <c r="AA175" t="s">
        <v>70</v>
      </c>
      <c r="AB175" t="s">
        <v>70</v>
      </c>
      <c r="AD175" s="1"/>
      <c r="AE175" t="s">
        <v>70</v>
      </c>
      <c r="AF175" t="s">
        <v>840</v>
      </c>
      <c r="AG175" t="s">
        <v>997</v>
      </c>
      <c r="AH175" t="s">
        <v>164</v>
      </c>
      <c r="AI175" t="s">
        <v>84</v>
      </c>
      <c r="AJ175" t="s">
        <v>63</v>
      </c>
      <c r="AL175" t="s">
        <v>70</v>
      </c>
      <c r="AM175" t="s">
        <v>70</v>
      </c>
      <c r="AN175" t="s">
        <v>78</v>
      </c>
      <c r="AO175" t="s">
        <v>70</v>
      </c>
      <c r="AP175" t="b">
        <v>1</v>
      </c>
      <c r="AQ175" t="s">
        <v>79</v>
      </c>
      <c r="BA175" t="b">
        <v>0</v>
      </c>
    </row>
    <row r="176" spans="2:53" x14ac:dyDescent="0.2">
      <c r="B176" t="s">
        <v>998</v>
      </c>
      <c r="C176" t="s">
        <v>999</v>
      </c>
      <c r="D176" t="s">
        <v>66</v>
      </c>
      <c r="E176">
        <v>0</v>
      </c>
      <c r="F176" t="s">
        <v>1000</v>
      </c>
      <c r="H176" t="s">
        <v>60</v>
      </c>
      <c r="I176" t="s">
        <v>60</v>
      </c>
      <c r="J176" t="s">
        <v>70</v>
      </c>
      <c r="K176" t="s">
        <v>70</v>
      </c>
      <c r="L176" t="s">
        <v>60</v>
      </c>
      <c r="M176" t="s">
        <v>70</v>
      </c>
      <c r="N176" s="1"/>
      <c r="S176" t="s">
        <v>71</v>
      </c>
      <c r="T176" s="1"/>
      <c r="U176" t="s">
        <v>70</v>
      </c>
      <c r="V176" t="s">
        <v>1001</v>
      </c>
      <c r="W176" t="s">
        <v>70</v>
      </c>
      <c r="X176" t="s">
        <v>70</v>
      </c>
      <c r="Y176" t="s">
        <v>70</v>
      </c>
      <c r="Z176" t="s">
        <v>70</v>
      </c>
      <c r="AA176" t="s">
        <v>70</v>
      </c>
      <c r="AB176" t="s">
        <v>70</v>
      </c>
      <c r="AD176" s="1"/>
      <c r="AE176" t="s">
        <v>517</v>
      </c>
      <c r="AF176" t="s">
        <v>74</v>
      </c>
      <c r="AG176" t="s">
        <v>1002</v>
      </c>
      <c r="AH176" t="s">
        <v>102</v>
      </c>
      <c r="AI176" t="s">
        <v>84</v>
      </c>
      <c r="AJ176" t="s">
        <v>63</v>
      </c>
      <c r="AL176" t="s">
        <v>70</v>
      </c>
      <c r="AM176" t="s">
        <v>70</v>
      </c>
      <c r="AN176" t="s">
        <v>78</v>
      </c>
      <c r="AO176" t="s">
        <v>70</v>
      </c>
      <c r="AP176" t="b">
        <v>0</v>
      </c>
      <c r="AQ176" t="s">
        <v>79</v>
      </c>
      <c r="BA176" t="b">
        <v>0</v>
      </c>
    </row>
    <row r="177" spans="2:53" x14ac:dyDescent="0.2">
      <c r="B177" t="s">
        <v>1003</v>
      </c>
      <c r="C177" t="s">
        <v>1004</v>
      </c>
      <c r="D177" t="s">
        <v>66</v>
      </c>
      <c r="E177">
        <v>0</v>
      </c>
      <c r="F177" t="s">
        <v>67</v>
      </c>
      <c r="H177" t="s">
        <v>60</v>
      </c>
      <c r="I177" t="s">
        <v>88</v>
      </c>
      <c r="J177" t="s">
        <v>170</v>
      </c>
      <c r="K177" t="s">
        <v>70</v>
      </c>
      <c r="L177" t="s">
        <v>244</v>
      </c>
      <c r="M177" t="s">
        <v>70</v>
      </c>
      <c r="N177" s="1"/>
      <c r="S177" t="s">
        <v>71</v>
      </c>
      <c r="T177" s="1"/>
      <c r="U177" t="s">
        <v>70</v>
      </c>
      <c r="V177" t="s">
        <v>70</v>
      </c>
      <c r="W177" t="s">
        <v>70</v>
      </c>
      <c r="X177" t="s">
        <v>70</v>
      </c>
      <c r="Y177" t="s">
        <v>70</v>
      </c>
      <c r="Z177" t="s">
        <v>70</v>
      </c>
      <c r="AA177" t="s">
        <v>70</v>
      </c>
      <c r="AB177" t="s">
        <v>70</v>
      </c>
      <c r="AD177" s="1"/>
      <c r="AE177" t="s">
        <v>70</v>
      </c>
      <c r="AF177" t="s">
        <v>259</v>
      </c>
      <c r="AG177" t="s">
        <v>1005</v>
      </c>
      <c r="AH177" t="s">
        <v>164</v>
      </c>
      <c r="AI177" t="s">
        <v>84</v>
      </c>
      <c r="AJ177" t="s">
        <v>63</v>
      </c>
      <c r="AL177" t="s">
        <v>70</v>
      </c>
      <c r="AM177" t="s">
        <v>70</v>
      </c>
      <c r="AN177" t="s">
        <v>78</v>
      </c>
      <c r="AO177" t="s">
        <v>70</v>
      </c>
      <c r="AP177" t="b">
        <v>0</v>
      </c>
      <c r="AQ177" t="s">
        <v>79</v>
      </c>
      <c r="BA177" t="b">
        <v>0</v>
      </c>
    </row>
    <row r="178" spans="2:53" x14ac:dyDescent="0.2">
      <c r="B178" t="s">
        <v>1006</v>
      </c>
      <c r="C178" t="s">
        <v>1007</v>
      </c>
      <c r="H178" t="s">
        <v>88</v>
      </c>
      <c r="I178" t="s">
        <v>88</v>
      </c>
      <c r="J178" t="s">
        <v>118</v>
      </c>
      <c r="K178" t="s">
        <v>70</v>
      </c>
      <c r="L178" t="s">
        <v>68</v>
      </c>
      <c r="M178" t="s">
        <v>70</v>
      </c>
      <c r="N178" s="1"/>
      <c r="S178" t="s">
        <v>71</v>
      </c>
      <c r="T178" s="1"/>
      <c r="U178" t="s">
        <v>70</v>
      </c>
      <c r="V178" t="s">
        <v>70</v>
      </c>
      <c r="W178" t="s">
        <v>70</v>
      </c>
      <c r="X178" t="s">
        <v>70</v>
      </c>
      <c r="Y178" t="s">
        <v>70</v>
      </c>
      <c r="Z178" t="s">
        <v>70</v>
      </c>
      <c r="AA178" t="s">
        <v>70</v>
      </c>
      <c r="AB178" t="s">
        <v>70</v>
      </c>
      <c r="AD178" s="1"/>
      <c r="AE178" t="s">
        <v>70</v>
      </c>
      <c r="AF178" t="s">
        <v>120</v>
      </c>
      <c r="AG178" t="s">
        <v>1008</v>
      </c>
      <c r="AH178" t="s">
        <v>76</v>
      </c>
      <c r="AI178" t="s">
        <v>128</v>
      </c>
      <c r="AJ178" t="s">
        <v>63</v>
      </c>
      <c r="AL178" t="s">
        <v>70</v>
      </c>
      <c r="AM178" t="s">
        <v>70</v>
      </c>
      <c r="AN178" t="s">
        <v>78</v>
      </c>
      <c r="AO178" t="s">
        <v>70</v>
      </c>
      <c r="AP178" t="b">
        <v>1</v>
      </c>
      <c r="AQ178" t="s">
        <v>79</v>
      </c>
      <c r="BA178" t="b">
        <v>0</v>
      </c>
    </row>
    <row r="179" spans="2:53" x14ac:dyDescent="0.2">
      <c r="B179" t="s">
        <v>1009</v>
      </c>
      <c r="C179" t="s">
        <v>1010</v>
      </c>
      <c r="D179" t="s">
        <v>66</v>
      </c>
      <c r="E179">
        <v>0</v>
      </c>
      <c r="F179" t="s">
        <v>56</v>
      </c>
      <c r="H179" t="s">
        <v>88</v>
      </c>
      <c r="I179" t="s">
        <v>88</v>
      </c>
      <c r="N179" s="1"/>
      <c r="S179" t="s">
        <v>71</v>
      </c>
      <c r="T179" s="1"/>
      <c r="AD179" s="1"/>
      <c r="AF179" t="s">
        <v>82</v>
      </c>
      <c r="AH179" t="s">
        <v>76</v>
      </c>
      <c r="AI179" t="s">
        <v>128</v>
      </c>
      <c r="AJ179" t="s">
        <v>63</v>
      </c>
      <c r="AP179" t="b">
        <v>1</v>
      </c>
      <c r="AQ179" t="s">
        <v>79</v>
      </c>
      <c r="BA179" t="b">
        <v>0</v>
      </c>
    </row>
    <row r="180" spans="2:53" x14ac:dyDescent="0.2">
      <c r="B180" t="s">
        <v>1011</v>
      </c>
      <c r="C180" t="s">
        <v>1012</v>
      </c>
      <c r="D180" t="s">
        <v>66</v>
      </c>
      <c r="E180">
        <v>0</v>
      </c>
      <c r="F180" t="s">
        <v>56</v>
      </c>
      <c r="H180" t="s">
        <v>88</v>
      </c>
      <c r="I180" t="s">
        <v>88</v>
      </c>
      <c r="N180" s="1"/>
      <c r="S180" t="s">
        <v>71</v>
      </c>
      <c r="T180" s="1"/>
      <c r="AD180" s="1"/>
      <c r="AF180" t="s">
        <v>82</v>
      </c>
      <c r="AH180" t="s">
        <v>76</v>
      </c>
      <c r="AI180" t="s">
        <v>128</v>
      </c>
      <c r="AJ180" t="s">
        <v>63</v>
      </c>
      <c r="AP180" t="b">
        <v>1</v>
      </c>
      <c r="AQ180" t="s">
        <v>79</v>
      </c>
      <c r="BA180" t="b">
        <v>0</v>
      </c>
    </row>
    <row r="181" spans="2:53" x14ac:dyDescent="0.2">
      <c r="B181" t="s">
        <v>1013</v>
      </c>
      <c r="C181" t="s">
        <v>1014</v>
      </c>
      <c r="D181" t="s">
        <v>66</v>
      </c>
      <c r="E181">
        <v>0</v>
      </c>
      <c r="F181" t="s">
        <v>56</v>
      </c>
      <c r="H181" t="s">
        <v>88</v>
      </c>
      <c r="I181" t="s">
        <v>68</v>
      </c>
      <c r="K181" t="s">
        <v>70</v>
      </c>
      <c r="L181" t="s">
        <v>68</v>
      </c>
      <c r="M181" t="s">
        <v>70</v>
      </c>
      <c r="N181" s="1"/>
      <c r="S181" t="s">
        <v>71</v>
      </c>
      <c r="T181" s="1"/>
      <c r="U181" t="s">
        <v>70</v>
      </c>
      <c r="V181" t="s">
        <v>70</v>
      </c>
      <c r="W181" t="s">
        <v>70</v>
      </c>
      <c r="X181" t="s">
        <v>70</v>
      </c>
      <c r="Y181" t="s">
        <v>70</v>
      </c>
      <c r="Z181" t="s">
        <v>70</v>
      </c>
      <c r="AA181" t="s">
        <v>70</v>
      </c>
      <c r="AB181" t="s">
        <v>70</v>
      </c>
      <c r="AD181" s="1"/>
      <c r="AE181" t="s">
        <v>70</v>
      </c>
      <c r="AF181" t="s">
        <v>631</v>
      </c>
      <c r="AG181" t="s">
        <v>1015</v>
      </c>
      <c r="AH181" t="s">
        <v>76</v>
      </c>
      <c r="AI181" t="s">
        <v>108</v>
      </c>
      <c r="AJ181" t="s">
        <v>63</v>
      </c>
      <c r="AK181">
        <v>450</v>
      </c>
      <c r="AL181" t="s">
        <v>70</v>
      </c>
      <c r="AM181" t="s">
        <v>70</v>
      </c>
      <c r="AN181" t="s">
        <v>78</v>
      </c>
      <c r="AO181" t="s">
        <v>70</v>
      </c>
      <c r="AP181" t="b">
        <v>0</v>
      </c>
      <c r="AQ181" t="s">
        <v>79</v>
      </c>
      <c r="BA181" t="b">
        <v>0</v>
      </c>
    </row>
    <row r="182" spans="2:53" x14ac:dyDescent="0.2">
      <c r="B182" t="s">
        <v>1016</v>
      </c>
      <c r="C182" t="s">
        <v>1017</v>
      </c>
      <c r="D182" t="s">
        <v>66</v>
      </c>
      <c r="E182">
        <v>0</v>
      </c>
      <c r="F182" t="s">
        <v>56</v>
      </c>
      <c r="H182" t="s">
        <v>60</v>
      </c>
      <c r="I182" t="s">
        <v>60</v>
      </c>
      <c r="N182" s="1"/>
      <c r="S182" t="s">
        <v>71</v>
      </c>
      <c r="T182" s="1"/>
      <c r="AD182" s="1"/>
      <c r="AF182" t="s">
        <v>355</v>
      </c>
      <c r="AH182" t="s">
        <v>83</v>
      </c>
      <c r="AI182" t="s">
        <v>128</v>
      </c>
      <c r="AJ182" t="s">
        <v>63</v>
      </c>
      <c r="AP182" t="b">
        <v>1</v>
      </c>
      <c r="AQ182" t="s">
        <v>79</v>
      </c>
      <c r="BA182" t="b">
        <v>0</v>
      </c>
    </row>
    <row r="183" spans="2:53" ht="51" x14ac:dyDescent="0.2">
      <c r="B183" t="s">
        <v>1018</v>
      </c>
      <c r="C183" t="s">
        <v>1019</v>
      </c>
      <c r="D183" t="s">
        <v>66</v>
      </c>
      <c r="E183">
        <v>0</v>
      </c>
      <c r="F183" t="s">
        <v>56</v>
      </c>
      <c r="H183" t="s">
        <v>60</v>
      </c>
      <c r="I183" t="s">
        <v>60</v>
      </c>
      <c r="K183" t="s">
        <v>70</v>
      </c>
      <c r="M183" t="s">
        <v>70</v>
      </c>
      <c r="N183" s="1"/>
      <c r="S183" t="s">
        <v>71</v>
      </c>
      <c r="T183" s="1"/>
      <c r="U183" t="s">
        <v>70</v>
      </c>
      <c r="V183" t="s">
        <v>70</v>
      </c>
      <c r="W183" t="s">
        <v>70</v>
      </c>
      <c r="X183" t="s">
        <v>70</v>
      </c>
      <c r="Y183" t="s">
        <v>70</v>
      </c>
      <c r="Z183" t="s">
        <v>70</v>
      </c>
      <c r="AA183" t="s">
        <v>70</v>
      </c>
      <c r="AB183" t="s">
        <v>70</v>
      </c>
      <c r="AC183">
        <v>2008</v>
      </c>
      <c r="AD183" s="1">
        <v>39531</v>
      </c>
      <c r="AE183" t="s">
        <v>70</v>
      </c>
      <c r="AF183" t="s">
        <v>833</v>
      </c>
      <c r="AG183" s="12" t="s">
        <v>78</v>
      </c>
      <c r="AH183" t="s">
        <v>102</v>
      </c>
      <c r="AI183" t="s">
        <v>128</v>
      </c>
      <c r="AJ183" t="s">
        <v>63</v>
      </c>
      <c r="AL183" t="s">
        <v>70</v>
      </c>
      <c r="AM183" t="s">
        <v>70</v>
      </c>
      <c r="AO183" t="s">
        <v>70</v>
      </c>
      <c r="AP183" t="b">
        <v>0</v>
      </c>
      <c r="AQ183" t="s">
        <v>79</v>
      </c>
      <c r="BA183" t="b">
        <v>0</v>
      </c>
    </row>
    <row r="184" spans="2:53" x14ac:dyDescent="0.2">
      <c r="B184" t="s">
        <v>1020</v>
      </c>
      <c r="C184" t="s">
        <v>1021</v>
      </c>
      <c r="D184" t="s">
        <v>66</v>
      </c>
      <c r="E184">
        <v>390</v>
      </c>
      <c r="F184" t="s">
        <v>1022</v>
      </c>
      <c r="H184" t="s">
        <v>88</v>
      </c>
      <c r="I184" t="s">
        <v>88</v>
      </c>
      <c r="J184" t="s">
        <v>220</v>
      </c>
      <c r="K184" t="s">
        <v>70</v>
      </c>
      <c r="L184" t="s">
        <v>244</v>
      </c>
      <c r="M184" t="s">
        <v>70</v>
      </c>
      <c r="N184" s="1"/>
      <c r="S184" t="s">
        <v>125</v>
      </c>
      <c r="T184" s="1"/>
      <c r="U184" t="s">
        <v>70</v>
      </c>
      <c r="V184" t="s">
        <v>1024</v>
      </c>
      <c r="W184" t="s">
        <v>1025</v>
      </c>
      <c r="X184" t="s">
        <v>70</v>
      </c>
      <c r="Y184" t="s">
        <v>70</v>
      </c>
      <c r="Z184" t="s">
        <v>70</v>
      </c>
      <c r="AA184" t="s">
        <v>70</v>
      </c>
      <c r="AB184" t="s">
        <v>70</v>
      </c>
      <c r="AC184">
        <v>2005</v>
      </c>
      <c r="AD184" s="1">
        <v>38495</v>
      </c>
      <c r="AE184" t="s">
        <v>70</v>
      </c>
      <c r="AF184" t="s">
        <v>82</v>
      </c>
      <c r="AG184" t="s">
        <v>1026</v>
      </c>
      <c r="AH184" t="s">
        <v>93</v>
      </c>
      <c r="AI184" t="s">
        <v>77</v>
      </c>
      <c r="AJ184" t="s">
        <v>63</v>
      </c>
      <c r="AL184" t="s">
        <v>70</v>
      </c>
      <c r="AM184" t="s">
        <v>70</v>
      </c>
      <c r="AN184" t="s">
        <v>78</v>
      </c>
      <c r="AO184" t="s">
        <v>70</v>
      </c>
      <c r="AP184" t="b">
        <v>0</v>
      </c>
      <c r="AQ184" t="s">
        <v>79</v>
      </c>
      <c r="BA184" t="b">
        <v>0</v>
      </c>
    </row>
    <row r="185" spans="2:53" x14ac:dyDescent="0.2">
      <c r="B185" t="s">
        <v>1027</v>
      </c>
      <c r="C185" t="s">
        <v>1028</v>
      </c>
      <c r="D185" t="s">
        <v>66</v>
      </c>
      <c r="E185">
        <v>0</v>
      </c>
      <c r="F185" t="s">
        <v>56</v>
      </c>
      <c r="H185" t="s">
        <v>88</v>
      </c>
      <c r="I185" t="s">
        <v>88</v>
      </c>
      <c r="N185" s="1"/>
      <c r="S185" t="s">
        <v>71</v>
      </c>
      <c r="T185" s="1"/>
      <c r="AD185" s="1"/>
      <c r="AF185" t="s">
        <v>1029</v>
      </c>
      <c r="AH185" t="s">
        <v>164</v>
      </c>
      <c r="AI185" t="s">
        <v>84</v>
      </c>
      <c r="AJ185" t="s">
        <v>63</v>
      </c>
      <c r="AP185" t="b">
        <v>0</v>
      </c>
      <c r="AQ185" t="s">
        <v>79</v>
      </c>
      <c r="BA185" t="b">
        <v>0</v>
      </c>
    </row>
    <row r="186" spans="2:53" x14ac:dyDescent="0.2">
      <c r="B186" t="s">
        <v>1030</v>
      </c>
      <c r="C186" t="s">
        <v>1031</v>
      </c>
      <c r="D186" t="s">
        <v>66</v>
      </c>
      <c r="E186">
        <v>0</v>
      </c>
      <c r="F186" t="s">
        <v>56</v>
      </c>
      <c r="H186" t="s">
        <v>88</v>
      </c>
      <c r="I186" t="s">
        <v>88</v>
      </c>
      <c r="N186" s="1"/>
      <c r="S186" t="s">
        <v>71</v>
      </c>
      <c r="T186" s="1"/>
      <c r="AD186" s="1"/>
      <c r="AH186" t="s">
        <v>115</v>
      </c>
      <c r="AI186" t="s">
        <v>128</v>
      </c>
      <c r="AJ186" t="s">
        <v>63</v>
      </c>
      <c r="AP186" t="b">
        <v>0</v>
      </c>
      <c r="AQ186" t="s">
        <v>79</v>
      </c>
      <c r="BA186" t="b">
        <v>0</v>
      </c>
    </row>
    <row r="187" spans="2:53" x14ac:dyDescent="0.2">
      <c r="B187" t="s">
        <v>1032</v>
      </c>
      <c r="C187" t="s">
        <v>1033</v>
      </c>
      <c r="D187" t="s">
        <v>66</v>
      </c>
      <c r="E187">
        <v>0</v>
      </c>
      <c r="F187" t="s">
        <v>56</v>
      </c>
      <c r="H187" t="s">
        <v>88</v>
      </c>
      <c r="I187" t="s">
        <v>88</v>
      </c>
      <c r="N187" s="1"/>
      <c r="S187" t="s">
        <v>71</v>
      </c>
      <c r="T187" s="1"/>
      <c r="AD187" s="1"/>
      <c r="AF187" t="s">
        <v>267</v>
      </c>
      <c r="AH187" t="s">
        <v>93</v>
      </c>
      <c r="AI187" t="s">
        <v>128</v>
      </c>
      <c r="AJ187" t="s">
        <v>63</v>
      </c>
      <c r="AP187" t="b">
        <v>1</v>
      </c>
      <c r="AQ187" t="s">
        <v>79</v>
      </c>
      <c r="BA187" t="b">
        <v>0</v>
      </c>
    </row>
    <row r="188" spans="2:53" x14ac:dyDescent="0.2">
      <c r="B188" t="s">
        <v>1034</v>
      </c>
      <c r="C188" t="s">
        <v>1035</v>
      </c>
      <c r="D188" t="s">
        <v>66</v>
      </c>
      <c r="E188">
        <v>0</v>
      </c>
      <c r="F188" t="s">
        <v>1036</v>
      </c>
      <c r="H188" t="s">
        <v>60</v>
      </c>
      <c r="I188" t="s">
        <v>286</v>
      </c>
      <c r="J188" t="s">
        <v>1037</v>
      </c>
      <c r="K188" t="s">
        <v>70</v>
      </c>
      <c r="L188" t="s">
        <v>286</v>
      </c>
      <c r="M188" t="s">
        <v>70</v>
      </c>
      <c r="N188" s="1">
        <v>38733</v>
      </c>
      <c r="S188" t="s">
        <v>71</v>
      </c>
      <c r="T188" s="1"/>
      <c r="U188" t="s">
        <v>70</v>
      </c>
      <c r="V188" t="s">
        <v>1038</v>
      </c>
      <c r="W188" t="s">
        <v>70</v>
      </c>
      <c r="X188" t="s">
        <v>70</v>
      </c>
      <c r="Y188" t="s">
        <v>70</v>
      </c>
      <c r="Z188" t="s">
        <v>70</v>
      </c>
      <c r="AA188" t="s">
        <v>70</v>
      </c>
      <c r="AB188" t="s">
        <v>70</v>
      </c>
      <c r="AC188">
        <v>2007</v>
      </c>
      <c r="AD188" s="1"/>
      <c r="AE188" t="s">
        <v>70</v>
      </c>
      <c r="AF188" t="s">
        <v>398</v>
      </c>
      <c r="AG188" t="s">
        <v>1039</v>
      </c>
      <c r="AH188" t="s">
        <v>901</v>
      </c>
      <c r="AI188" t="s">
        <v>84</v>
      </c>
      <c r="AJ188" t="s">
        <v>1040</v>
      </c>
      <c r="AK188">
        <v>480</v>
      </c>
      <c r="AL188" t="s">
        <v>70</v>
      </c>
      <c r="AM188" t="s">
        <v>70</v>
      </c>
      <c r="AN188" t="s">
        <v>78</v>
      </c>
      <c r="AO188" t="s">
        <v>1041</v>
      </c>
      <c r="AP188" t="b">
        <v>1</v>
      </c>
      <c r="AQ188" t="s">
        <v>79</v>
      </c>
      <c r="AR188" t="s">
        <v>177</v>
      </c>
      <c r="BA188" t="b">
        <v>0</v>
      </c>
    </row>
    <row r="189" spans="2:53" x14ac:dyDescent="0.2">
      <c r="B189" t="s">
        <v>1042</v>
      </c>
      <c r="C189" t="s">
        <v>1043</v>
      </c>
      <c r="D189" t="s">
        <v>66</v>
      </c>
      <c r="E189">
        <v>4100</v>
      </c>
      <c r="F189" t="s">
        <v>1044</v>
      </c>
      <c r="H189" t="s">
        <v>88</v>
      </c>
      <c r="I189" t="s">
        <v>88</v>
      </c>
      <c r="J189" t="s">
        <v>88</v>
      </c>
      <c r="K189" t="s">
        <v>70</v>
      </c>
      <c r="L189" t="s">
        <v>88</v>
      </c>
      <c r="M189" t="s">
        <v>70</v>
      </c>
      <c r="N189" s="1"/>
      <c r="S189" t="s">
        <v>71</v>
      </c>
      <c r="T189" s="1"/>
      <c r="U189" t="s">
        <v>70</v>
      </c>
      <c r="V189" t="s">
        <v>1045</v>
      </c>
      <c r="W189" t="s">
        <v>70</v>
      </c>
      <c r="X189" t="s">
        <v>70</v>
      </c>
      <c r="Y189" t="s">
        <v>70</v>
      </c>
      <c r="Z189" t="s">
        <v>70</v>
      </c>
      <c r="AA189" t="s">
        <v>70</v>
      </c>
      <c r="AB189" t="s">
        <v>70</v>
      </c>
      <c r="AC189">
        <v>2006</v>
      </c>
      <c r="AD189" s="1"/>
      <c r="AE189" t="s">
        <v>1046</v>
      </c>
      <c r="AF189" t="s">
        <v>126</v>
      </c>
      <c r="AG189" t="s">
        <v>1047</v>
      </c>
      <c r="AH189" t="s">
        <v>115</v>
      </c>
      <c r="AI189" t="s">
        <v>84</v>
      </c>
      <c r="AJ189" t="s">
        <v>1048</v>
      </c>
      <c r="AL189" t="s">
        <v>70</v>
      </c>
      <c r="AM189" t="s">
        <v>70</v>
      </c>
      <c r="AN189" t="s">
        <v>78</v>
      </c>
      <c r="AO189" t="s">
        <v>70</v>
      </c>
      <c r="AP189" t="b">
        <v>1</v>
      </c>
      <c r="AQ189" t="s">
        <v>79</v>
      </c>
      <c r="BA189" t="b">
        <v>1</v>
      </c>
    </row>
    <row r="190" spans="2:53" x14ac:dyDescent="0.2">
      <c r="B190" t="s">
        <v>1049</v>
      </c>
      <c r="C190" t="s">
        <v>1050</v>
      </c>
      <c r="D190" t="s">
        <v>66</v>
      </c>
      <c r="E190">
        <v>0</v>
      </c>
      <c r="F190" t="s">
        <v>56</v>
      </c>
      <c r="H190" t="s">
        <v>88</v>
      </c>
      <c r="N190" s="1"/>
      <c r="S190" t="s">
        <v>125</v>
      </c>
      <c r="T190" s="1"/>
      <c r="AD190" s="1"/>
      <c r="AF190" t="s">
        <v>467</v>
      </c>
      <c r="AH190" t="s">
        <v>295</v>
      </c>
      <c r="AI190" t="s">
        <v>128</v>
      </c>
      <c r="AJ190" t="s">
        <v>63</v>
      </c>
      <c r="AP190" t="b">
        <v>0</v>
      </c>
      <c r="AQ190" t="s">
        <v>79</v>
      </c>
      <c r="BA190" t="b">
        <v>0</v>
      </c>
    </row>
    <row r="191" spans="2:53" x14ac:dyDescent="0.2">
      <c r="B191" t="s">
        <v>1051</v>
      </c>
      <c r="C191" t="s">
        <v>1052</v>
      </c>
      <c r="D191" t="s">
        <v>66</v>
      </c>
      <c r="E191">
        <v>0</v>
      </c>
      <c r="F191" t="s">
        <v>56</v>
      </c>
      <c r="H191" t="s">
        <v>88</v>
      </c>
      <c r="I191" t="s">
        <v>88</v>
      </c>
      <c r="N191" s="1"/>
      <c r="S191" t="s">
        <v>125</v>
      </c>
      <c r="T191" s="1"/>
      <c r="AD191" s="1"/>
      <c r="AI191" t="s">
        <v>128</v>
      </c>
      <c r="AJ191" t="s">
        <v>63</v>
      </c>
      <c r="AP191" t="b">
        <v>0</v>
      </c>
      <c r="AQ191" t="s">
        <v>79</v>
      </c>
      <c r="BA191" t="b">
        <v>0</v>
      </c>
    </row>
    <row r="192" spans="2:53" x14ac:dyDescent="0.2">
      <c r="B192" t="s">
        <v>1053</v>
      </c>
      <c r="C192" t="s">
        <v>1054</v>
      </c>
      <c r="F192" t="s">
        <v>1055</v>
      </c>
      <c r="H192" t="s">
        <v>1056</v>
      </c>
      <c r="I192" t="s">
        <v>1057</v>
      </c>
      <c r="J192" t="s">
        <v>336</v>
      </c>
      <c r="K192" t="s">
        <v>70</v>
      </c>
      <c r="L192" t="s">
        <v>286</v>
      </c>
      <c r="M192" t="s">
        <v>70</v>
      </c>
      <c r="N192" s="1"/>
      <c r="S192" t="s">
        <v>125</v>
      </c>
      <c r="T192" s="1"/>
      <c r="U192" t="s">
        <v>70</v>
      </c>
      <c r="V192" t="s">
        <v>1058</v>
      </c>
      <c r="W192" t="s">
        <v>1059</v>
      </c>
      <c r="X192" t="s">
        <v>70</v>
      </c>
      <c r="Y192" t="s">
        <v>70</v>
      </c>
      <c r="Z192" t="s">
        <v>70</v>
      </c>
      <c r="AA192" t="s">
        <v>70</v>
      </c>
      <c r="AB192" t="s">
        <v>70</v>
      </c>
      <c r="AD192" s="1"/>
      <c r="AE192" t="s">
        <v>70</v>
      </c>
      <c r="AF192" t="s">
        <v>980</v>
      </c>
      <c r="AG192" t="s">
        <v>78</v>
      </c>
      <c r="AH192" t="s">
        <v>468</v>
      </c>
      <c r="AI192" t="s">
        <v>84</v>
      </c>
      <c r="AJ192" t="s">
        <v>63</v>
      </c>
      <c r="AL192" t="s">
        <v>70</v>
      </c>
      <c r="AM192" t="s">
        <v>70</v>
      </c>
      <c r="AN192" t="s">
        <v>78</v>
      </c>
      <c r="AO192" t="s">
        <v>70</v>
      </c>
      <c r="AP192" t="b">
        <v>1</v>
      </c>
      <c r="AQ192" t="s">
        <v>79</v>
      </c>
      <c r="BA192" t="b">
        <v>0</v>
      </c>
    </row>
    <row r="193" spans="2:54" x14ac:dyDescent="0.2">
      <c r="B193" t="s">
        <v>1060</v>
      </c>
      <c r="C193" t="s">
        <v>1061</v>
      </c>
      <c r="D193" t="s">
        <v>66</v>
      </c>
      <c r="E193">
        <v>0</v>
      </c>
      <c r="F193" t="s">
        <v>56</v>
      </c>
      <c r="H193" t="s">
        <v>60</v>
      </c>
      <c r="I193" t="s">
        <v>88</v>
      </c>
      <c r="N193" s="1"/>
      <c r="S193" t="s">
        <v>71</v>
      </c>
      <c r="T193" s="1"/>
      <c r="AD193" s="1"/>
      <c r="AF193" t="s">
        <v>82</v>
      </c>
      <c r="AH193" t="s">
        <v>76</v>
      </c>
      <c r="AI193" t="s">
        <v>128</v>
      </c>
      <c r="AJ193" t="s">
        <v>63</v>
      </c>
      <c r="AP193" t="b">
        <v>0</v>
      </c>
      <c r="AQ193" t="s">
        <v>79</v>
      </c>
      <c r="BA193" t="b">
        <v>0</v>
      </c>
    </row>
    <row r="194" spans="2:54" x14ac:dyDescent="0.2">
      <c r="B194" t="s">
        <v>1062</v>
      </c>
      <c r="C194" t="s">
        <v>1063</v>
      </c>
      <c r="D194" t="s">
        <v>66</v>
      </c>
      <c r="E194">
        <v>0</v>
      </c>
      <c r="F194" t="s">
        <v>56</v>
      </c>
      <c r="H194" t="s">
        <v>88</v>
      </c>
      <c r="I194" t="s">
        <v>88</v>
      </c>
      <c r="N194" s="1"/>
      <c r="S194" t="s">
        <v>71</v>
      </c>
      <c r="T194" s="1"/>
      <c r="AD194" s="1"/>
      <c r="AF194" t="s">
        <v>82</v>
      </c>
      <c r="AH194" t="s">
        <v>83</v>
      </c>
      <c r="AI194" t="s">
        <v>128</v>
      </c>
      <c r="AJ194" t="s">
        <v>63</v>
      </c>
      <c r="AP194" t="b">
        <v>1</v>
      </c>
      <c r="AQ194" t="s">
        <v>79</v>
      </c>
      <c r="BA194" t="b">
        <v>0</v>
      </c>
    </row>
    <row r="195" spans="2:54" x14ac:dyDescent="0.2">
      <c r="B195" t="s">
        <v>1064</v>
      </c>
      <c r="C195" t="s">
        <v>1065</v>
      </c>
      <c r="D195" t="s">
        <v>66</v>
      </c>
      <c r="E195">
        <v>0</v>
      </c>
      <c r="F195" t="s">
        <v>56</v>
      </c>
      <c r="H195" t="s">
        <v>60</v>
      </c>
      <c r="I195" t="s">
        <v>60</v>
      </c>
      <c r="N195" s="1"/>
      <c r="S195" t="s">
        <v>71</v>
      </c>
      <c r="T195" s="1"/>
      <c r="AD195" s="1"/>
      <c r="AF195" t="s">
        <v>355</v>
      </c>
      <c r="AG195" t="s">
        <v>1066</v>
      </c>
      <c r="AH195" t="s">
        <v>545</v>
      </c>
      <c r="AI195" t="s">
        <v>128</v>
      </c>
      <c r="AJ195" t="s">
        <v>63</v>
      </c>
      <c r="AP195" t="b">
        <v>1</v>
      </c>
      <c r="AQ195" t="s">
        <v>79</v>
      </c>
      <c r="BA195" t="b">
        <v>0</v>
      </c>
    </row>
    <row r="196" spans="2:54" x14ac:dyDescent="0.2">
      <c r="B196" t="s">
        <v>1067</v>
      </c>
      <c r="C196" t="s">
        <v>1068</v>
      </c>
      <c r="D196" t="s">
        <v>66</v>
      </c>
      <c r="E196">
        <v>0</v>
      </c>
      <c r="F196" t="s">
        <v>56</v>
      </c>
      <c r="H196" t="s">
        <v>88</v>
      </c>
      <c r="I196" t="s">
        <v>88</v>
      </c>
      <c r="N196" s="1"/>
      <c r="S196" t="s">
        <v>125</v>
      </c>
      <c r="T196" s="1"/>
      <c r="AD196" s="1"/>
      <c r="AF196" t="s">
        <v>82</v>
      </c>
      <c r="AH196" t="s">
        <v>93</v>
      </c>
      <c r="AI196" t="s">
        <v>128</v>
      </c>
      <c r="AJ196" t="s">
        <v>63</v>
      </c>
      <c r="AP196" t="b">
        <v>1</v>
      </c>
      <c r="AQ196" t="s">
        <v>79</v>
      </c>
      <c r="BA196" t="b">
        <v>0</v>
      </c>
    </row>
    <row r="197" spans="2:54" x14ac:dyDescent="0.2">
      <c r="B197" t="s">
        <v>1069</v>
      </c>
      <c r="C197" t="s">
        <v>1070</v>
      </c>
      <c r="D197" t="s">
        <v>66</v>
      </c>
      <c r="E197">
        <v>0</v>
      </c>
      <c r="F197" t="s">
        <v>56</v>
      </c>
      <c r="H197" t="s">
        <v>88</v>
      </c>
      <c r="I197" t="s">
        <v>88</v>
      </c>
      <c r="N197" s="1"/>
      <c r="S197" t="s">
        <v>71</v>
      </c>
      <c r="T197" s="1"/>
      <c r="AD197" s="1"/>
      <c r="AF197" t="s">
        <v>513</v>
      </c>
      <c r="AH197" t="s">
        <v>93</v>
      </c>
      <c r="AI197" t="s">
        <v>128</v>
      </c>
      <c r="AJ197" t="s">
        <v>63</v>
      </c>
      <c r="AP197" t="b">
        <v>1</v>
      </c>
      <c r="AQ197" t="s">
        <v>79</v>
      </c>
      <c r="BA197" t="b">
        <v>0</v>
      </c>
    </row>
    <row r="198" spans="2:54" x14ac:dyDescent="0.2">
      <c r="B198" t="s">
        <v>1071</v>
      </c>
      <c r="C198" t="s">
        <v>1072</v>
      </c>
      <c r="D198" t="s">
        <v>1073</v>
      </c>
      <c r="E198">
        <v>2100</v>
      </c>
      <c r="F198" t="s">
        <v>1074</v>
      </c>
      <c r="G198" t="s">
        <v>1075</v>
      </c>
      <c r="H198" t="s">
        <v>60</v>
      </c>
      <c r="I198" t="s">
        <v>244</v>
      </c>
      <c r="J198" t="s">
        <v>220</v>
      </c>
      <c r="K198" t="s">
        <v>70</v>
      </c>
      <c r="L198" t="s">
        <v>244</v>
      </c>
      <c r="M198" t="s">
        <v>70</v>
      </c>
      <c r="N198" s="1">
        <v>39301</v>
      </c>
      <c r="S198" t="s">
        <v>71</v>
      </c>
      <c r="T198" s="1">
        <v>39752</v>
      </c>
      <c r="U198" t="s">
        <v>1076</v>
      </c>
      <c r="V198" t="s">
        <v>1077</v>
      </c>
      <c r="W198" t="s">
        <v>1078</v>
      </c>
      <c r="X198" t="s">
        <v>1079</v>
      </c>
      <c r="Y198" t="s">
        <v>1080</v>
      </c>
      <c r="Z198" t="s">
        <v>70</v>
      </c>
      <c r="AA198" t="s">
        <v>70</v>
      </c>
      <c r="AB198" t="s">
        <v>70</v>
      </c>
      <c r="AC198">
        <v>2009</v>
      </c>
      <c r="AD198" s="1">
        <v>39857</v>
      </c>
      <c r="AE198" t="s">
        <v>1081</v>
      </c>
      <c r="AF198" t="s">
        <v>74</v>
      </c>
      <c r="AG198" t="s">
        <v>1082</v>
      </c>
      <c r="AH198" t="s">
        <v>93</v>
      </c>
      <c r="AI198" t="s">
        <v>77</v>
      </c>
      <c r="AJ198" t="s">
        <v>1083</v>
      </c>
      <c r="AL198" t="s">
        <v>70</v>
      </c>
      <c r="AM198" t="s">
        <v>70</v>
      </c>
      <c r="AN198" t="s">
        <v>78</v>
      </c>
      <c r="AO198" t="s">
        <v>70</v>
      </c>
      <c r="AP198" t="b">
        <v>1</v>
      </c>
      <c r="AQ198" t="s">
        <v>79</v>
      </c>
      <c r="AR198" t="s">
        <v>1084</v>
      </c>
      <c r="AS198" t="s">
        <v>702</v>
      </c>
      <c r="AT198" t="s">
        <v>380</v>
      </c>
      <c r="BA198" t="b">
        <v>0</v>
      </c>
    </row>
    <row r="199" spans="2:54" x14ac:dyDescent="0.2">
      <c r="B199" t="s">
        <v>1085</v>
      </c>
      <c r="C199" t="s">
        <v>1086</v>
      </c>
      <c r="D199" t="s">
        <v>66</v>
      </c>
      <c r="E199">
        <v>0</v>
      </c>
      <c r="F199" t="s">
        <v>56</v>
      </c>
      <c r="H199" t="s">
        <v>60</v>
      </c>
      <c r="I199" t="s">
        <v>60</v>
      </c>
      <c r="K199" t="s">
        <v>70</v>
      </c>
      <c r="M199" t="s">
        <v>70</v>
      </c>
      <c r="N199" s="1"/>
      <c r="S199" t="s">
        <v>71</v>
      </c>
      <c r="T199" s="1"/>
      <c r="U199" t="s">
        <v>70</v>
      </c>
      <c r="V199" t="s">
        <v>70</v>
      </c>
      <c r="W199" t="s">
        <v>70</v>
      </c>
      <c r="X199" t="s">
        <v>70</v>
      </c>
      <c r="Y199" t="s">
        <v>70</v>
      </c>
      <c r="Z199" t="s">
        <v>70</v>
      </c>
      <c r="AA199" t="s">
        <v>70</v>
      </c>
      <c r="AB199" t="s">
        <v>70</v>
      </c>
      <c r="AD199" s="1"/>
      <c r="AE199" t="s">
        <v>70</v>
      </c>
      <c r="AF199" t="s">
        <v>70</v>
      </c>
      <c r="AG199" t="s">
        <v>1087</v>
      </c>
      <c r="AH199" t="s">
        <v>545</v>
      </c>
      <c r="AI199" t="s">
        <v>128</v>
      </c>
      <c r="AJ199" t="s">
        <v>63</v>
      </c>
      <c r="AL199" t="s">
        <v>70</v>
      </c>
      <c r="AM199" t="s">
        <v>70</v>
      </c>
      <c r="AN199" t="s">
        <v>78</v>
      </c>
      <c r="AO199" t="s">
        <v>70</v>
      </c>
      <c r="AP199" t="b">
        <v>1</v>
      </c>
      <c r="AQ199" t="s">
        <v>79</v>
      </c>
      <c r="BA199" t="b">
        <v>0</v>
      </c>
    </row>
    <row r="200" spans="2:54" x14ac:dyDescent="0.2">
      <c r="B200" t="s">
        <v>1088</v>
      </c>
      <c r="C200" t="s">
        <v>1089</v>
      </c>
      <c r="D200" t="s">
        <v>66</v>
      </c>
      <c r="E200">
        <v>0</v>
      </c>
      <c r="F200" t="s">
        <v>56</v>
      </c>
      <c r="G200" t="s">
        <v>1090</v>
      </c>
      <c r="H200" t="s">
        <v>88</v>
      </c>
      <c r="I200" t="s">
        <v>60</v>
      </c>
      <c r="K200" t="s">
        <v>70</v>
      </c>
      <c r="M200" t="s">
        <v>70</v>
      </c>
      <c r="N200" s="1"/>
      <c r="S200" t="s">
        <v>71</v>
      </c>
      <c r="T200" s="1"/>
      <c r="U200" t="s">
        <v>70</v>
      </c>
      <c r="V200" t="s">
        <v>1091</v>
      </c>
      <c r="W200" t="s">
        <v>70</v>
      </c>
      <c r="X200" t="s">
        <v>70</v>
      </c>
      <c r="Y200" t="s">
        <v>70</v>
      </c>
      <c r="Z200" t="s">
        <v>70</v>
      </c>
      <c r="AA200" t="s">
        <v>70</v>
      </c>
      <c r="AB200" t="s">
        <v>70</v>
      </c>
      <c r="AC200">
        <v>2005</v>
      </c>
      <c r="AD200" s="1"/>
      <c r="AE200" t="s">
        <v>1092</v>
      </c>
      <c r="AF200" t="s">
        <v>74</v>
      </c>
      <c r="AG200" t="s">
        <v>1093</v>
      </c>
      <c r="AH200" t="s">
        <v>545</v>
      </c>
      <c r="AI200" t="s">
        <v>128</v>
      </c>
      <c r="AJ200" t="s">
        <v>63</v>
      </c>
      <c r="AL200" t="s">
        <v>70</v>
      </c>
      <c r="AM200" t="s">
        <v>70</v>
      </c>
      <c r="AN200" t="s">
        <v>78</v>
      </c>
      <c r="AO200" t="s">
        <v>70</v>
      </c>
      <c r="AP200" t="b">
        <v>1</v>
      </c>
      <c r="AQ200" t="s">
        <v>79</v>
      </c>
      <c r="AR200" t="s">
        <v>349</v>
      </c>
      <c r="AS200" t="s">
        <v>1094</v>
      </c>
      <c r="AT200" t="s">
        <v>1095</v>
      </c>
      <c r="BA200" t="b">
        <v>0</v>
      </c>
    </row>
    <row r="201" spans="2:54" x14ac:dyDescent="0.2">
      <c r="B201" t="s">
        <v>1096</v>
      </c>
      <c r="C201" t="s">
        <v>1097</v>
      </c>
      <c r="D201" t="s">
        <v>66</v>
      </c>
      <c r="E201">
        <v>0</v>
      </c>
      <c r="F201" t="s">
        <v>56</v>
      </c>
      <c r="H201" t="s">
        <v>88</v>
      </c>
      <c r="I201" t="s">
        <v>118</v>
      </c>
      <c r="N201" s="1"/>
      <c r="S201" t="s">
        <v>71</v>
      </c>
      <c r="T201" s="1"/>
      <c r="V201" t="s">
        <v>1098</v>
      </c>
      <c r="AC201">
        <v>2006</v>
      </c>
      <c r="AD201" s="1"/>
      <c r="AH201" t="s">
        <v>83</v>
      </c>
      <c r="AI201" t="s">
        <v>128</v>
      </c>
      <c r="AJ201" t="s">
        <v>63</v>
      </c>
      <c r="AP201" t="b">
        <v>1</v>
      </c>
      <c r="AQ201" t="s">
        <v>79</v>
      </c>
      <c r="BA201" t="b">
        <v>0</v>
      </c>
    </row>
    <row r="202" spans="2:54" x14ac:dyDescent="0.2">
      <c r="B202" t="s">
        <v>1099</v>
      </c>
      <c r="C202" t="s">
        <v>1100</v>
      </c>
      <c r="D202" t="s">
        <v>66</v>
      </c>
      <c r="E202">
        <v>0</v>
      </c>
      <c r="F202" t="s">
        <v>56</v>
      </c>
      <c r="H202" t="s">
        <v>88</v>
      </c>
      <c r="I202" t="s">
        <v>88</v>
      </c>
      <c r="N202" s="1"/>
      <c r="S202" t="s">
        <v>71</v>
      </c>
      <c r="T202" s="1"/>
      <c r="AD202" s="1"/>
      <c r="AF202" t="s">
        <v>513</v>
      </c>
      <c r="AH202" t="s">
        <v>93</v>
      </c>
      <c r="AI202" t="s">
        <v>128</v>
      </c>
      <c r="AJ202" t="s">
        <v>63</v>
      </c>
      <c r="AP202" t="b">
        <v>1</v>
      </c>
      <c r="AQ202" t="s">
        <v>79</v>
      </c>
      <c r="BA202" t="b">
        <v>0</v>
      </c>
    </row>
    <row r="203" spans="2:54" x14ac:dyDescent="0.2">
      <c r="B203" t="s">
        <v>1101</v>
      </c>
      <c r="C203" t="s">
        <v>1102</v>
      </c>
      <c r="D203" t="s">
        <v>66</v>
      </c>
      <c r="E203">
        <v>0</v>
      </c>
      <c r="F203" t="s">
        <v>56</v>
      </c>
      <c r="H203" t="s">
        <v>88</v>
      </c>
      <c r="I203" t="s">
        <v>88</v>
      </c>
      <c r="L203" t="s">
        <v>68</v>
      </c>
      <c r="N203" s="1"/>
      <c r="S203" t="s">
        <v>71</v>
      </c>
      <c r="T203" s="1"/>
      <c r="AC203">
        <v>2007</v>
      </c>
      <c r="AD203" s="1"/>
      <c r="AH203" t="s">
        <v>750</v>
      </c>
      <c r="AI203" t="s">
        <v>84</v>
      </c>
      <c r="AJ203" t="s">
        <v>63</v>
      </c>
      <c r="AP203" t="b">
        <v>1</v>
      </c>
      <c r="AQ203" t="s">
        <v>79</v>
      </c>
      <c r="BA203" t="b">
        <v>0</v>
      </c>
    </row>
    <row r="204" spans="2:54" x14ac:dyDescent="0.2">
      <c r="B204" t="s">
        <v>1103</v>
      </c>
      <c r="C204" t="s">
        <v>1104</v>
      </c>
      <c r="D204" t="s">
        <v>66</v>
      </c>
      <c r="E204">
        <v>6000</v>
      </c>
      <c r="F204" t="s">
        <v>1105</v>
      </c>
      <c r="H204" t="s">
        <v>60</v>
      </c>
      <c r="I204" t="s">
        <v>60</v>
      </c>
      <c r="J204" t="s">
        <v>69</v>
      </c>
      <c r="K204" t="s">
        <v>70</v>
      </c>
      <c r="L204" t="s">
        <v>286</v>
      </c>
      <c r="M204" t="s">
        <v>70</v>
      </c>
      <c r="N204" s="1"/>
      <c r="S204" t="s">
        <v>125</v>
      </c>
      <c r="T204" s="1"/>
      <c r="U204" t="s">
        <v>70</v>
      </c>
      <c r="V204" t="s">
        <v>1106</v>
      </c>
      <c r="W204" t="s">
        <v>1107</v>
      </c>
      <c r="X204" t="s">
        <v>70</v>
      </c>
      <c r="Y204" t="s">
        <v>70</v>
      </c>
      <c r="Z204" t="s">
        <v>70</v>
      </c>
      <c r="AA204" t="s">
        <v>70</v>
      </c>
      <c r="AB204" t="s">
        <v>70</v>
      </c>
      <c r="AC204">
        <v>2007</v>
      </c>
      <c r="AD204" s="1"/>
      <c r="AE204" t="s">
        <v>70</v>
      </c>
      <c r="AF204" t="s">
        <v>293</v>
      </c>
      <c r="AG204" t="s">
        <v>1108</v>
      </c>
      <c r="AH204" t="s">
        <v>164</v>
      </c>
      <c r="AI204" t="s">
        <v>128</v>
      </c>
      <c r="AJ204" t="s">
        <v>1109</v>
      </c>
      <c r="AL204" t="s">
        <v>70</v>
      </c>
      <c r="AM204" t="s">
        <v>70</v>
      </c>
      <c r="AN204" t="s">
        <v>3263</v>
      </c>
      <c r="AO204" t="s">
        <v>70</v>
      </c>
      <c r="AP204" t="b">
        <v>1</v>
      </c>
      <c r="AQ204" t="s">
        <v>79</v>
      </c>
      <c r="AR204" t="s">
        <v>1110</v>
      </c>
      <c r="BA204" t="b">
        <v>0</v>
      </c>
    </row>
    <row r="205" spans="2:54" x14ac:dyDescent="0.2">
      <c r="B205" t="s">
        <v>1111</v>
      </c>
      <c r="C205" t="s">
        <v>1112</v>
      </c>
      <c r="E205">
        <v>155</v>
      </c>
      <c r="H205" t="s">
        <v>88</v>
      </c>
      <c r="I205" t="s">
        <v>286</v>
      </c>
      <c r="J205" t="s">
        <v>154</v>
      </c>
      <c r="K205" t="s">
        <v>70</v>
      </c>
      <c r="L205" t="s">
        <v>286</v>
      </c>
      <c r="M205" t="s">
        <v>68</v>
      </c>
      <c r="N205" s="1"/>
      <c r="S205" t="s">
        <v>71</v>
      </c>
      <c r="T205" s="1"/>
      <c r="U205" t="s">
        <v>70</v>
      </c>
      <c r="V205" t="s">
        <v>70</v>
      </c>
      <c r="W205" t="s">
        <v>70</v>
      </c>
      <c r="X205" t="s">
        <v>70</v>
      </c>
      <c r="Y205" t="s">
        <v>70</v>
      </c>
      <c r="Z205" t="s">
        <v>70</v>
      </c>
      <c r="AA205" t="s">
        <v>70</v>
      </c>
      <c r="AB205" t="s">
        <v>70</v>
      </c>
      <c r="AD205" s="1"/>
      <c r="AE205" t="s">
        <v>1113</v>
      </c>
      <c r="AF205" t="s">
        <v>293</v>
      </c>
      <c r="AG205" t="s">
        <v>1114</v>
      </c>
      <c r="AH205" t="s">
        <v>93</v>
      </c>
      <c r="AI205" t="s">
        <v>128</v>
      </c>
      <c r="AJ205" t="s">
        <v>63</v>
      </c>
      <c r="AK205">
        <v>20</v>
      </c>
      <c r="AL205" t="s">
        <v>70</v>
      </c>
      <c r="AM205" t="s">
        <v>70</v>
      </c>
      <c r="AN205" t="s">
        <v>78</v>
      </c>
      <c r="AO205" t="s">
        <v>70</v>
      </c>
      <c r="AP205" t="b">
        <v>1</v>
      </c>
      <c r="AQ205" t="s">
        <v>79</v>
      </c>
      <c r="BA205" t="b">
        <v>0</v>
      </c>
    </row>
    <row r="206" spans="2:54" x14ac:dyDescent="0.2">
      <c r="B206" t="s">
        <v>1115</v>
      </c>
      <c r="C206" t="s">
        <v>1116</v>
      </c>
      <c r="D206" t="s">
        <v>66</v>
      </c>
      <c r="E206">
        <v>0</v>
      </c>
      <c r="F206" t="s">
        <v>56</v>
      </c>
      <c r="H206" t="s">
        <v>60</v>
      </c>
      <c r="I206" t="s">
        <v>60</v>
      </c>
      <c r="J206" t="s">
        <v>70</v>
      </c>
      <c r="K206" t="s">
        <v>70</v>
      </c>
      <c r="L206" t="s">
        <v>219</v>
      </c>
      <c r="M206" t="s">
        <v>70</v>
      </c>
      <c r="N206" s="1"/>
      <c r="S206" t="s">
        <v>71</v>
      </c>
      <c r="T206" s="1"/>
      <c r="U206" t="s">
        <v>70</v>
      </c>
      <c r="V206" t="s">
        <v>70</v>
      </c>
      <c r="W206" t="s">
        <v>70</v>
      </c>
      <c r="X206" t="s">
        <v>70</v>
      </c>
      <c r="Y206" t="s">
        <v>70</v>
      </c>
      <c r="Z206" t="s">
        <v>70</v>
      </c>
      <c r="AA206" t="s">
        <v>70</v>
      </c>
      <c r="AB206" t="s">
        <v>70</v>
      </c>
      <c r="AD206" s="1"/>
      <c r="AE206" t="s">
        <v>1117</v>
      </c>
      <c r="AF206" t="s">
        <v>82</v>
      </c>
      <c r="AG206" t="s">
        <v>1118</v>
      </c>
      <c r="AH206" t="s">
        <v>149</v>
      </c>
      <c r="AI206" t="s">
        <v>128</v>
      </c>
      <c r="AJ206" t="s">
        <v>63</v>
      </c>
      <c r="AL206" t="s">
        <v>70</v>
      </c>
      <c r="AM206" t="s">
        <v>70</v>
      </c>
      <c r="AN206" t="s">
        <v>78</v>
      </c>
      <c r="AO206" t="s">
        <v>70</v>
      </c>
      <c r="AP206" t="b">
        <v>0</v>
      </c>
      <c r="AQ206" t="s">
        <v>79</v>
      </c>
      <c r="BA206" t="b">
        <v>0</v>
      </c>
    </row>
    <row r="207" spans="2:54" x14ac:dyDescent="0.2">
      <c r="B207" t="s">
        <v>1119</v>
      </c>
      <c r="C207" t="s">
        <v>1120</v>
      </c>
      <c r="E207">
        <v>3405</v>
      </c>
      <c r="F207" t="s">
        <v>1121</v>
      </c>
      <c r="G207" t="s">
        <v>1122</v>
      </c>
      <c r="H207" t="s">
        <v>60</v>
      </c>
      <c r="I207" t="s">
        <v>219</v>
      </c>
      <c r="J207" t="s">
        <v>337</v>
      </c>
      <c r="K207" t="s">
        <v>70</v>
      </c>
      <c r="L207" t="s">
        <v>219</v>
      </c>
      <c r="M207" t="s">
        <v>70</v>
      </c>
      <c r="N207" s="1"/>
      <c r="S207" t="s">
        <v>71</v>
      </c>
      <c r="T207" s="1">
        <v>39844</v>
      </c>
      <c r="U207" t="s">
        <v>1123</v>
      </c>
      <c r="V207" t="s">
        <v>1124</v>
      </c>
      <c r="W207" t="s">
        <v>1125</v>
      </c>
      <c r="X207" t="s">
        <v>1126</v>
      </c>
      <c r="Y207" t="s">
        <v>1127</v>
      </c>
      <c r="Z207" t="s">
        <v>1128</v>
      </c>
      <c r="AA207" t="s">
        <v>1129</v>
      </c>
      <c r="AB207" t="s">
        <v>70</v>
      </c>
      <c r="AC207">
        <v>2008</v>
      </c>
      <c r="AD207" s="1">
        <v>39868</v>
      </c>
      <c r="AE207" t="s">
        <v>1130</v>
      </c>
      <c r="AF207" t="s">
        <v>82</v>
      </c>
      <c r="AG207" t="s">
        <v>1131</v>
      </c>
      <c r="AH207" t="s">
        <v>83</v>
      </c>
      <c r="AI207" t="s">
        <v>77</v>
      </c>
      <c r="AJ207" t="s">
        <v>1132</v>
      </c>
      <c r="AL207" t="s">
        <v>70</v>
      </c>
      <c r="AM207" t="s">
        <v>70</v>
      </c>
      <c r="AN207" t="s">
        <v>78</v>
      </c>
      <c r="AO207" t="s">
        <v>70</v>
      </c>
      <c r="AP207" t="b">
        <v>1</v>
      </c>
      <c r="AQ207" t="s">
        <v>79</v>
      </c>
      <c r="AS207" t="s">
        <v>1133</v>
      </c>
      <c r="AT207" t="s">
        <v>1134</v>
      </c>
      <c r="BA207" t="b">
        <v>0</v>
      </c>
      <c r="BB207" t="s">
        <v>1135</v>
      </c>
    </row>
    <row r="208" spans="2:54" x14ac:dyDescent="0.2">
      <c r="B208" t="s">
        <v>1136</v>
      </c>
      <c r="C208" t="s">
        <v>1137</v>
      </c>
      <c r="D208" t="s">
        <v>66</v>
      </c>
      <c r="E208">
        <v>0</v>
      </c>
      <c r="F208" t="s">
        <v>56</v>
      </c>
      <c r="H208" t="s">
        <v>88</v>
      </c>
      <c r="I208" t="s">
        <v>88</v>
      </c>
      <c r="N208" s="1"/>
      <c r="S208" t="s">
        <v>125</v>
      </c>
      <c r="T208" s="1"/>
      <c r="AD208" s="1"/>
      <c r="AF208" t="s">
        <v>82</v>
      </c>
      <c r="AH208" t="s">
        <v>93</v>
      </c>
      <c r="AI208" t="s">
        <v>128</v>
      </c>
      <c r="AJ208" t="s">
        <v>63</v>
      </c>
      <c r="AP208" t="b">
        <v>0</v>
      </c>
      <c r="AQ208" t="s">
        <v>79</v>
      </c>
      <c r="BA208" t="b">
        <v>0</v>
      </c>
    </row>
    <row r="209" spans="2:54" x14ac:dyDescent="0.2">
      <c r="B209" t="s">
        <v>1138</v>
      </c>
      <c r="C209" t="s">
        <v>1139</v>
      </c>
      <c r="D209" t="s">
        <v>66</v>
      </c>
      <c r="E209">
        <v>0</v>
      </c>
      <c r="F209" t="s">
        <v>56</v>
      </c>
      <c r="H209" t="s">
        <v>88</v>
      </c>
      <c r="I209" t="s">
        <v>88</v>
      </c>
      <c r="N209" s="1"/>
      <c r="S209" t="s">
        <v>125</v>
      </c>
      <c r="T209" s="1"/>
      <c r="AD209" s="1"/>
      <c r="AF209" t="s">
        <v>82</v>
      </c>
      <c r="AH209" t="s">
        <v>93</v>
      </c>
      <c r="AI209" t="s">
        <v>128</v>
      </c>
      <c r="AJ209" t="s">
        <v>63</v>
      </c>
      <c r="AP209" t="b">
        <v>1</v>
      </c>
      <c r="AQ209" t="s">
        <v>79</v>
      </c>
      <c r="BA209" t="b">
        <v>0</v>
      </c>
    </row>
    <row r="210" spans="2:54" x14ac:dyDescent="0.2">
      <c r="B210" t="s">
        <v>1140</v>
      </c>
      <c r="C210" t="s">
        <v>1141</v>
      </c>
      <c r="D210" t="s">
        <v>66</v>
      </c>
      <c r="E210">
        <v>0</v>
      </c>
      <c r="F210" t="s">
        <v>56</v>
      </c>
      <c r="H210" t="s">
        <v>60</v>
      </c>
      <c r="I210" t="s">
        <v>60</v>
      </c>
      <c r="K210" t="s">
        <v>70</v>
      </c>
      <c r="M210" t="s">
        <v>70</v>
      </c>
      <c r="N210" s="1"/>
      <c r="S210" t="s">
        <v>125</v>
      </c>
      <c r="T210" s="1"/>
      <c r="U210" t="s">
        <v>70</v>
      </c>
      <c r="V210" t="s">
        <v>70</v>
      </c>
      <c r="W210" t="s">
        <v>70</v>
      </c>
      <c r="X210" t="s">
        <v>70</v>
      </c>
      <c r="Y210" t="s">
        <v>70</v>
      </c>
      <c r="Z210" t="s">
        <v>70</v>
      </c>
      <c r="AA210" t="s">
        <v>70</v>
      </c>
      <c r="AB210" t="s">
        <v>70</v>
      </c>
      <c r="AD210" s="1"/>
      <c r="AE210" t="s">
        <v>70</v>
      </c>
      <c r="AF210" t="s">
        <v>70</v>
      </c>
      <c r="AG210" t="s">
        <v>78</v>
      </c>
      <c r="AH210" t="s">
        <v>102</v>
      </c>
      <c r="AI210" t="s">
        <v>84</v>
      </c>
      <c r="AJ210" t="s">
        <v>63</v>
      </c>
      <c r="AL210" t="s">
        <v>70</v>
      </c>
      <c r="AM210" t="s">
        <v>70</v>
      </c>
      <c r="AO210" t="s">
        <v>70</v>
      </c>
      <c r="AP210" t="b">
        <v>0</v>
      </c>
      <c r="AQ210" t="s">
        <v>79</v>
      </c>
      <c r="BA210" t="b">
        <v>0</v>
      </c>
    </row>
    <row r="211" spans="2:54" x14ac:dyDescent="0.2">
      <c r="B211" t="s">
        <v>1142</v>
      </c>
      <c r="C211" t="s">
        <v>1143</v>
      </c>
      <c r="D211" t="s">
        <v>66</v>
      </c>
      <c r="E211">
        <v>1650</v>
      </c>
      <c r="F211" t="s">
        <v>1144</v>
      </c>
      <c r="H211" t="s">
        <v>60</v>
      </c>
      <c r="I211" t="s">
        <v>60</v>
      </c>
      <c r="K211" t="s">
        <v>70</v>
      </c>
      <c r="L211" t="s">
        <v>60</v>
      </c>
      <c r="M211" t="s">
        <v>70</v>
      </c>
      <c r="N211" s="1"/>
      <c r="S211" t="s">
        <v>425</v>
      </c>
      <c r="T211" s="1"/>
      <c r="U211" t="s">
        <v>70</v>
      </c>
      <c r="V211" t="s">
        <v>70</v>
      </c>
      <c r="W211" t="s">
        <v>70</v>
      </c>
      <c r="X211" t="s">
        <v>70</v>
      </c>
      <c r="Y211" t="s">
        <v>70</v>
      </c>
      <c r="Z211" t="s">
        <v>70</v>
      </c>
      <c r="AA211" t="s">
        <v>70</v>
      </c>
      <c r="AB211" t="s">
        <v>70</v>
      </c>
      <c r="AD211" s="1"/>
      <c r="AE211" t="s">
        <v>70</v>
      </c>
      <c r="AF211" t="s">
        <v>1145</v>
      </c>
      <c r="AG211" t="s">
        <v>78</v>
      </c>
      <c r="AH211" t="s">
        <v>295</v>
      </c>
      <c r="AI211" t="s">
        <v>84</v>
      </c>
      <c r="AJ211" t="s">
        <v>63</v>
      </c>
      <c r="AL211" t="s">
        <v>70</v>
      </c>
      <c r="AM211" t="s">
        <v>70</v>
      </c>
      <c r="AN211" t="s">
        <v>78</v>
      </c>
      <c r="AO211" t="s">
        <v>70</v>
      </c>
      <c r="AP211" t="b">
        <v>1</v>
      </c>
      <c r="AQ211" t="s">
        <v>79</v>
      </c>
      <c r="BA211" t="b">
        <v>0</v>
      </c>
    </row>
    <row r="212" spans="2:54" x14ac:dyDescent="0.2">
      <c r="B212" t="s">
        <v>1146</v>
      </c>
      <c r="C212" t="s">
        <v>1147</v>
      </c>
      <c r="D212" t="s">
        <v>66</v>
      </c>
      <c r="E212">
        <v>0</v>
      </c>
      <c r="F212" t="s">
        <v>56</v>
      </c>
      <c r="H212" t="s">
        <v>88</v>
      </c>
      <c r="I212" t="s">
        <v>88</v>
      </c>
      <c r="N212" s="1"/>
      <c r="S212" t="s">
        <v>71</v>
      </c>
      <c r="T212" s="1"/>
      <c r="AD212" s="1"/>
      <c r="AH212" t="s">
        <v>93</v>
      </c>
      <c r="AI212" t="s">
        <v>128</v>
      </c>
      <c r="AJ212" t="s">
        <v>63</v>
      </c>
      <c r="AP212" t="b">
        <v>0</v>
      </c>
      <c r="AQ212" t="s">
        <v>79</v>
      </c>
      <c r="BA212" t="b">
        <v>0</v>
      </c>
    </row>
    <row r="213" spans="2:54" x14ac:dyDescent="0.2">
      <c r="B213" t="s">
        <v>1148</v>
      </c>
      <c r="C213" t="s">
        <v>1149</v>
      </c>
      <c r="D213" t="s">
        <v>66</v>
      </c>
      <c r="E213">
        <v>0</v>
      </c>
      <c r="F213" t="s">
        <v>67</v>
      </c>
      <c r="H213" t="s">
        <v>60</v>
      </c>
      <c r="I213" t="s">
        <v>60</v>
      </c>
      <c r="K213" t="s">
        <v>70</v>
      </c>
      <c r="M213" t="s">
        <v>70</v>
      </c>
      <c r="N213" s="1"/>
      <c r="S213" t="s">
        <v>125</v>
      </c>
      <c r="T213" s="1"/>
      <c r="U213" t="s">
        <v>70</v>
      </c>
      <c r="V213" t="s">
        <v>70</v>
      </c>
      <c r="W213" t="s">
        <v>70</v>
      </c>
      <c r="X213" t="s">
        <v>70</v>
      </c>
      <c r="Y213" t="s">
        <v>70</v>
      </c>
      <c r="Z213" t="s">
        <v>70</v>
      </c>
      <c r="AA213" t="s">
        <v>70</v>
      </c>
      <c r="AB213" t="s">
        <v>70</v>
      </c>
      <c r="AD213" s="1"/>
      <c r="AF213" t="s">
        <v>82</v>
      </c>
      <c r="AH213" t="s">
        <v>83</v>
      </c>
      <c r="AI213" t="s">
        <v>128</v>
      </c>
      <c r="AJ213" t="s">
        <v>63</v>
      </c>
      <c r="AP213" t="b">
        <v>0</v>
      </c>
      <c r="AQ213" t="s">
        <v>79</v>
      </c>
      <c r="BA213" t="b">
        <v>0</v>
      </c>
    </row>
    <row r="214" spans="2:54" x14ac:dyDescent="0.2">
      <c r="B214" t="s">
        <v>1150</v>
      </c>
      <c r="C214" t="s">
        <v>1151</v>
      </c>
      <c r="D214" t="s">
        <v>1152</v>
      </c>
      <c r="H214" t="s">
        <v>60</v>
      </c>
      <c r="I214" t="s">
        <v>60</v>
      </c>
      <c r="J214" t="s">
        <v>60</v>
      </c>
      <c r="L214" t="s">
        <v>60</v>
      </c>
      <c r="N214" s="1"/>
      <c r="S214" t="s">
        <v>1153</v>
      </c>
      <c r="T214" s="1"/>
      <c r="AD214" s="1"/>
      <c r="AF214" t="s">
        <v>467</v>
      </c>
      <c r="AH214" t="s">
        <v>76</v>
      </c>
      <c r="AI214" t="s">
        <v>84</v>
      </c>
      <c r="AJ214" t="s">
        <v>63</v>
      </c>
      <c r="AP214" t="b">
        <v>1</v>
      </c>
      <c r="AQ214" t="s">
        <v>262</v>
      </c>
      <c r="BA214" t="b">
        <v>0</v>
      </c>
    </row>
    <row r="215" spans="2:54" x14ac:dyDescent="0.2">
      <c r="B215" t="s">
        <v>1154</v>
      </c>
      <c r="C215" t="s">
        <v>1155</v>
      </c>
      <c r="F215" t="s">
        <v>890</v>
      </c>
      <c r="H215" t="s">
        <v>88</v>
      </c>
      <c r="I215" t="s">
        <v>89</v>
      </c>
      <c r="J215" t="s">
        <v>118</v>
      </c>
      <c r="N215" s="1"/>
      <c r="S215" t="s">
        <v>71</v>
      </c>
      <c r="T215" s="1"/>
      <c r="AD215" s="1"/>
      <c r="AF215" t="s">
        <v>267</v>
      </c>
      <c r="AH215" t="s">
        <v>93</v>
      </c>
      <c r="AI215" t="s">
        <v>128</v>
      </c>
      <c r="AJ215" t="s">
        <v>63</v>
      </c>
      <c r="AP215" t="b">
        <v>1</v>
      </c>
      <c r="AQ215" t="s">
        <v>79</v>
      </c>
      <c r="BA215" t="b">
        <v>0</v>
      </c>
    </row>
    <row r="216" spans="2:54" x14ac:dyDescent="0.2">
      <c r="B216" t="s">
        <v>1156</v>
      </c>
      <c r="C216" t="s">
        <v>1157</v>
      </c>
      <c r="D216" t="s">
        <v>66</v>
      </c>
      <c r="E216">
        <v>0</v>
      </c>
      <c r="F216" t="s">
        <v>56</v>
      </c>
      <c r="H216" t="s">
        <v>60</v>
      </c>
      <c r="I216" t="s">
        <v>60</v>
      </c>
      <c r="J216" t="s">
        <v>69</v>
      </c>
      <c r="K216" t="s">
        <v>70</v>
      </c>
      <c r="L216" t="s">
        <v>60</v>
      </c>
      <c r="M216" t="s">
        <v>70</v>
      </c>
      <c r="N216" s="1"/>
      <c r="S216" t="s">
        <v>125</v>
      </c>
      <c r="T216" s="1"/>
      <c r="U216" t="s">
        <v>70</v>
      </c>
      <c r="V216" t="s">
        <v>70</v>
      </c>
      <c r="W216" t="s">
        <v>70</v>
      </c>
      <c r="X216" t="s">
        <v>70</v>
      </c>
      <c r="Y216" t="s">
        <v>70</v>
      </c>
      <c r="Z216" t="s">
        <v>70</v>
      </c>
      <c r="AA216" t="s">
        <v>70</v>
      </c>
      <c r="AB216" t="s">
        <v>70</v>
      </c>
      <c r="AD216" s="1"/>
      <c r="AE216" t="s">
        <v>70</v>
      </c>
      <c r="AF216" t="s">
        <v>74</v>
      </c>
      <c r="AG216" t="s">
        <v>78</v>
      </c>
      <c r="AH216" t="s">
        <v>184</v>
      </c>
      <c r="AI216" t="s">
        <v>128</v>
      </c>
      <c r="AJ216" t="s">
        <v>63</v>
      </c>
      <c r="AL216" t="s">
        <v>70</v>
      </c>
      <c r="AM216" t="s">
        <v>70</v>
      </c>
      <c r="AN216" t="s">
        <v>78</v>
      </c>
      <c r="AO216" t="s">
        <v>70</v>
      </c>
      <c r="AP216" t="b">
        <v>0</v>
      </c>
      <c r="AQ216" t="s">
        <v>79</v>
      </c>
      <c r="BA216" t="b">
        <v>0</v>
      </c>
    </row>
    <row r="217" spans="2:54" x14ac:dyDescent="0.2">
      <c r="B217" t="s">
        <v>1158</v>
      </c>
      <c r="C217" t="s">
        <v>1159</v>
      </c>
      <c r="D217" t="s">
        <v>66</v>
      </c>
      <c r="E217">
        <v>6000</v>
      </c>
      <c r="F217" t="s">
        <v>67</v>
      </c>
      <c r="H217" t="s">
        <v>60</v>
      </c>
      <c r="I217" t="s">
        <v>60</v>
      </c>
      <c r="J217" t="s">
        <v>336</v>
      </c>
      <c r="K217" t="s">
        <v>70</v>
      </c>
      <c r="L217" t="s">
        <v>219</v>
      </c>
      <c r="M217" t="s">
        <v>70</v>
      </c>
      <c r="N217" s="1"/>
      <c r="S217" t="s">
        <v>71</v>
      </c>
      <c r="T217" s="1"/>
      <c r="U217" t="s">
        <v>70</v>
      </c>
      <c r="V217" t="s">
        <v>1160</v>
      </c>
      <c r="W217" t="s">
        <v>1161</v>
      </c>
      <c r="X217" t="s">
        <v>70</v>
      </c>
      <c r="Y217" t="s">
        <v>70</v>
      </c>
      <c r="Z217" t="s">
        <v>70</v>
      </c>
      <c r="AA217" t="s">
        <v>70</v>
      </c>
      <c r="AB217" t="s">
        <v>70</v>
      </c>
      <c r="AC217">
        <v>2006</v>
      </c>
      <c r="AD217" s="1"/>
      <c r="AE217" t="s">
        <v>1162</v>
      </c>
      <c r="AF217" t="s">
        <v>355</v>
      </c>
      <c r="AG217" t="s">
        <v>1163</v>
      </c>
      <c r="AH217" t="s">
        <v>102</v>
      </c>
      <c r="AI217" t="s">
        <v>84</v>
      </c>
      <c r="AJ217" t="s">
        <v>63</v>
      </c>
      <c r="AL217" t="s">
        <v>1164</v>
      </c>
      <c r="AM217" t="s">
        <v>1165</v>
      </c>
      <c r="AN217" t="s">
        <v>78</v>
      </c>
      <c r="AO217" t="s">
        <v>70</v>
      </c>
      <c r="AP217" t="b">
        <v>1</v>
      </c>
      <c r="AQ217" t="s">
        <v>79</v>
      </c>
      <c r="BA217" t="b">
        <v>0</v>
      </c>
    </row>
    <row r="218" spans="2:54" x14ac:dyDescent="0.2">
      <c r="B218" t="s">
        <v>1166</v>
      </c>
      <c r="C218" t="s">
        <v>1167</v>
      </c>
      <c r="D218" t="s">
        <v>66</v>
      </c>
      <c r="E218">
        <v>0</v>
      </c>
      <c r="F218" t="s">
        <v>56</v>
      </c>
      <c r="H218" t="s">
        <v>88</v>
      </c>
      <c r="I218" t="s">
        <v>88</v>
      </c>
      <c r="N218" s="1"/>
      <c r="S218" t="s">
        <v>125</v>
      </c>
      <c r="T218" s="1"/>
      <c r="AD218" s="1"/>
      <c r="AF218" t="s">
        <v>82</v>
      </c>
      <c r="AI218" t="s">
        <v>84</v>
      </c>
      <c r="AJ218" t="s">
        <v>63</v>
      </c>
      <c r="AP218" t="b">
        <v>0</v>
      </c>
      <c r="AQ218" t="s">
        <v>79</v>
      </c>
      <c r="BA218" t="b">
        <v>0</v>
      </c>
    </row>
    <row r="219" spans="2:54" x14ac:dyDescent="0.2">
      <c r="B219" t="s">
        <v>1168</v>
      </c>
      <c r="C219" t="s">
        <v>1169</v>
      </c>
      <c r="D219" t="s">
        <v>1170</v>
      </c>
      <c r="E219">
        <v>1634</v>
      </c>
      <c r="F219" t="s">
        <v>1171</v>
      </c>
      <c r="H219" t="s">
        <v>60</v>
      </c>
      <c r="I219" t="s">
        <v>219</v>
      </c>
      <c r="J219" t="s">
        <v>492</v>
      </c>
      <c r="K219" t="s">
        <v>70</v>
      </c>
      <c r="L219" t="s">
        <v>219</v>
      </c>
      <c r="M219" t="s">
        <v>70</v>
      </c>
      <c r="N219" s="1"/>
      <c r="S219" t="s">
        <v>125</v>
      </c>
      <c r="T219" s="1"/>
      <c r="U219" t="s">
        <v>70</v>
      </c>
      <c r="V219" t="s">
        <v>1172</v>
      </c>
      <c r="W219" t="s">
        <v>1173</v>
      </c>
      <c r="X219" t="s">
        <v>1174</v>
      </c>
      <c r="Y219" t="s">
        <v>1175</v>
      </c>
      <c r="Z219" t="s">
        <v>1176</v>
      </c>
      <c r="AA219" t="s">
        <v>1177</v>
      </c>
      <c r="AB219" t="s">
        <v>1178</v>
      </c>
      <c r="AD219" s="1"/>
      <c r="AE219" t="s">
        <v>1179</v>
      </c>
      <c r="AF219" t="s">
        <v>82</v>
      </c>
      <c r="AG219" t="s">
        <v>1180</v>
      </c>
      <c r="AH219" t="s">
        <v>83</v>
      </c>
      <c r="AI219" t="s">
        <v>128</v>
      </c>
      <c r="AJ219" t="s">
        <v>1181</v>
      </c>
      <c r="AK219">
        <v>330</v>
      </c>
      <c r="AL219" t="s">
        <v>70</v>
      </c>
      <c r="AM219" t="s">
        <v>1182</v>
      </c>
      <c r="AN219" t="s">
        <v>1183</v>
      </c>
      <c r="AO219" t="s">
        <v>1184</v>
      </c>
      <c r="AP219" t="b">
        <v>1</v>
      </c>
      <c r="AQ219" t="s">
        <v>79</v>
      </c>
      <c r="AR219" t="s">
        <v>1185</v>
      </c>
      <c r="AV219" t="s">
        <v>1186</v>
      </c>
      <c r="AW219" t="s">
        <v>1187</v>
      </c>
      <c r="AX219" t="s">
        <v>1188</v>
      </c>
      <c r="AY219" t="s">
        <v>1189</v>
      </c>
      <c r="AZ219" t="s">
        <v>1190</v>
      </c>
      <c r="BA219" t="b">
        <v>0</v>
      </c>
      <c r="BB219" t="s">
        <v>1191</v>
      </c>
    </row>
    <row r="220" spans="2:54" x14ac:dyDescent="0.2">
      <c r="B220" t="s">
        <v>1192</v>
      </c>
      <c r="C220" t="s">
        <v>1193</v>
      </c>
      <c r="D220" t="s">
        <v>66</v>
      </c>
      <c r="E220">
        <v>0</v>
      </c>
      <c r="F220" t="s">
        <v>56</v>
      </c>
      <c r="H220" t="s">
        <v>60</v>
      </c>
      <c r="I220" t="s">
        <v>88</v>
      </c>
      <c r="N220" s="1"/>
      <c r="S220" t="s">
        <v>71</v>
      </c>
      <c r="T220" s="1"/>
      <c r="AD220" s="1"/>
      <c r="AF220" t="s">
        <v>82</v>
      </c>
      <c r="AH220" t="s">
        <v>149</v>
      </c>
      <c r="AI220" t="s">
        <v>128</v>
      </c>
      <c r="AJ220" t="s">
        <v>63</v>
      </c>
      <c r="AP220" t="b">
        <v>0</v>
      </c>
      <c r="AQ220" t="s">
        <v>79</v>
      </c>
      <c r="BA220" t="b">
        <v>0</v>
      </c>
    </row>
    <row r="221" spans="2:54" x14ac:dyDescent="0.2">
      <c r="B221" t="s">
        <v>1194</v>
      </c>
      <c r="C221" t="s">
        <v>1195</v>
      </c>
      <c r="E221">
        <v>0</v>
      </c>
      <c r="F221" t="s">
        <v>112</v>
      </c>
      <c r="H221" t="s">
        <v>60</v>
      </c>
      <c r="I221" t="s">
        <v>286</v>
      </c>
      <c r="J221" t="s">
        <v>220</v>
      </c>
      <c r="K221" t="s">
        <v>220</v>
      </c>
      <c r="L221" t="s">
        <v>286</v>
      </c>
      <c r="M221" t="s">
        <v>70</v>
      </c>
      <c r="N221" s="1"/>
      <c r="S221" t="s">
        <v>71</v>
      </c>
      <c r="T221" s="1"/>
      <c r="U221" t="s">
        <v>70</v>
      </c>
      <c r="V221" t="s">
        <v>1196</v>
      </c>
      <c r="W221" t="s">
        <v>1197</v>
      </c>
      <c r="X221" t="s">
        <v>70</v>
      </c>
      <c r="Y221" t="s">
        <v>70</v>
      </c>
      <c r="Z221" t="s">
        <v>70</v>
      </c>
      <c r="AA221" t="s">
        <v>70</v>
      </c>
      <c r="AB221" t="s">
        <v>70</v>
      </c>
      <c r="AC221">
        <v>2008</v>
      </c>
      <c r="AD221" s="1"/>
      <c r="AE221" t="s">
        <v>70</v>
      </c>
      <c r="AF221" t="s">
        <v>293</v>
      </c>
      <c r="AG221" t="s">
        <v>1198</v>
      </c>
      <c r="AH221" t="s">
        <v>156</v>
      </c>
      <c r="AI221" t="s">
        <v>84</v>
      </c>
      <c r="AJ221" t="s">
        <v>1199</v>
      </c>
      <c r="AL221" t="s">
        <v>70</v>
      </c>
      <c r="AM221" t="s">
        <v>70</v>
      </c>
      <c r="AN221" t="s">
        <v>1200</v>
      </c>
      <c r="AO221" t="s">
        <v>70</v>
      </c>
      <c r="AP221" t="b">
        <v>1</v>
      </c>
      <c r="AQ221" t="s">
        <v>79</v>
      </c>
      <c r="BA221" t="b">
        <v>0</v>
      </c>
    </row>
    <row r="222" spans="2:54" x14ac:dyDescent="0.2">
      <c r="B222" t="s">
        <v>1201</v>
      </c>
      <c r="C222" t="s">
        <v>1202</v>
      </c>
      <c r="E222">
        <v>830</v>
      </c>
      <c r="F222" t="s">
        <v>1203</v>
      </c>
      <c r="H222" t="s">
        <v>60</v>
      </c>
      <c r="I222" t="s">
        <v>286</v>
      </c>
      <c r="J222" t="s">
        <v>170</v>
      </c>
      <c r="K222" t="s">
        <v>70</v>
      </c>
      <c r="L222" t="s">
        <v>286</v>
      </c>
      <c r="M222" t="s">
        <v>60</v>
      </c>
      <c r="N222" s="1"/>
      <c r="S222" t="s">
        <v>71</v>
      </c>
      <c r="T222" s="1"/>
      <c r="U222" t="s">
        <v>70</v>
      </c>
      <c r="V222" t="s">
        <v>1204</v>
      </c>
      <c r="W222" t="s">
        <v>1205</v>
      </c>
      <c r="X222" t="s">
        <v>70</v>
      </c>
      <c r="Y222" t="s">
        <v>70</v>
      </c>
      <c r="Z222" t="s">
        <v>70</v>
      </c>
      <c r="AA222" t="s">
        <v>70</v>
      </c>
      <c r="AB222" t="s">
        <v>70</v>
      </c>
      <c r="AC222">
        <v>2007</v>
      </c>
      <c r="AD222" s="1"/>
      <c r="AE222" t="s">
        <v>1206</v>
      </c>
      <c r="AF222" t="s">
        <v>293</v>
      </c>
      <c r="AG222" t="s">
        <v>1207</v>
      </c>
      <c r="AH222" t="s">
        <v>1208</v>
      </c>
      <c r="AI222" t="s">
        <v>77</v>
      </c>
      <c r="AJ222" t="s">
        <v>1209</v>
      </c>
      <c r="AK222">
        <v>40</v>
      </c>
      <c r="AL222" t="s">
        <v>1210</v>
      </c>
      <c r="AM222" t="s">
        <v>1211</v>
      </c>
      <c r="AN222" t="s">
        <v>78</v>
      </c>
      <c r="AO222" t="s">
        <v>1212</v>
      </c>
      <c r="AP222" t="b">
        <v>1</v>
      </c>
      <c r="AQ222" t="s">
        <v>79</v>
      </c>
      <c r="AR222" t="s">
        <v>1213</v>
      </c>
      <c r="BA222" t="b">
        <v>0</v>
      </c>
    </row>
    <row r="223" spans="2:54" x14ac:dyDescent="0.2">
      <c r="B223" t="s">
        <v>1214</v>
      </c>
      <c r="C223" t="s">
        <v>1215</v>
      </c>
      <c r="D223" t="s">
        <v>66</v>
      </c>
      <c r="E223">
        <v>0</v>
      </c>
      <c r="F223" t="s">
        <v>56</v>
      </c>
      <c r="H223" t="s">
        <v>60</v>
      </c>
      <c r="I223" t="s">
        <v>60</v>
      </c>
      <c r="J223" t="s">
        <v>70</v>
      </c>
      <c r="K223" t="s">
        <v>70</v>
      </c>
      <c r="L223" t="s">
        <v>60</v>
      </c>
      <c r="M223" t="s">
        <v>70</v>
      </c>
      <c r="N223" s="1"/>
      <c r="S223" t="s">
        <v>125</v>
      </c>
      <c r="T223" s="1"/>
      <c r="U223" t="s">
        <v>70</v>
      </c>
      <c r="V223" t="s">
        <v>70</v>
      </c>
      <c r="W223" t="s">
        <v>70</v>
      </c>
      <c r="X223" t="s">
        <v>70</v>
      </c>
      <c r="Y223" t="s">
        <v>70</v>
      </c>
      <c r="Z223" t="s">
        <v>70</v>
      </c>
      <c r="AA223" t="s">
        <v>70</v>
      </c>
      <c r="AB223" t="s">
        <v>70</v>
      </c>
      <c r="AD223" s="1"/>
      <c r="AE223" t="s">
        <v>70</v>
      </c>
      <c r="AF223" t="s">
        <v>70</v>
      </c>
      <c r="AG223" t="s">
        <v>1216</v>
      </c>
      <c r="AH223" t="s">
        <v>93</v>
      </c>
      <c r="AI223" t="s">
        <v>84</v>
      </c>
      <c r="AJ223" t="s">
        <v>63</v>
      </c>
      <c r="AL223" t="s">
        <v>70</v>
      </c>
      <c r="AM223" t="s">
        <v>70</v>
      </c>
      <c r="AN223" t="s">
        <v>78</v>
      </c>
      <c r="AO223" t="s">
        <v>70</v>
      </c>
      <c r="AP223" t="b">
        <v>0</v>
      </c>
      <c r="AQ223" t="s">
        <v>79</v>
      </c>
      <c r="BA223" t="b">
        <v>0</v>
      </c>
    </row>
    <row r="224" spans="2:54" x14ac:dyDescent="0.2">
      <c r="B224" t="s">
        <v>1217</v>
      </c>
      <c r="C224" t="s">
        <v>1218</v>
      </c>
      <c r="D224" t="s">
        <v>66</v>
      </c>
      <c r="E224">
        <v>0</v>
      </c>
      <c r="F224" t="s">
        <v>56</v>
      </c>
      <c r="H224" t="s">
        <v>88</v>
      </c>
      <c r="I224" t="s">
        <v>88</v>
      </c>
      <c r="J224" t="s">
        <v>467</v>
      </c>
      <c r="K224" t="s">
        <v>70</v>
      </c>
      <c r="L224" t="s">
        <v>467</v>
      </c>
      <c r="M224" t="s">
        <v>70</v>
      </c>
      <c r="N224" s="1"/>
      <c r="S224" t="s">
        <v>71</v>
      </c>
      <c r="T224" s="1"/>
      <c r="U224" t="s">
        <v>70</v>
      </c>
      <c r="V224" t="s">
        <v>1219</v>
      </c>
      <c r="W224" t="s">
        <v>70</v>
      </c>
      <c r="X224" t="s">
        <v>70</v>
      </c>
      <c r="Y224" t="s">
        <v>70</v>
      </c>
      <c r="Z224" t="s">
        <v>70</v>
      </c>
      <c r="AA224" t="s">
        <v>70</v>
      </c>
      <c r="AB224" t="s">
        <v>70</v>
      </c>
      <c r="AC224">
        <v>2010</v>
      </c>
      <c r="AD224" s="1"/>
      <c r="AE224" t="s">
        <v>1220</v>
      </c>
      <c r="AF224" t="s">
        <v>259</v>
      </c>
      <c r="AG224" t="s">
        <v>1221</v>
      </c>
      <c r="AH224" t="s">
        <v>115</v>
      </c>
      <c r="AI224" t="s">
        <v>84</v>
      </c>
      <c r="AJ224" t="s">
        <v>63</v>
      </c>
      <c r="AL224" t="s">
        <v>70</v>
      </c>
      <c r="AM224" t="s">
        <v>70</v>
      </c>
      <c r="AN224" t="s">
        <v>1222</v>
      </c>
      <c r="AO224" t="s">
        <v>70</v>
      </c>
      <c r="AP224" t="b">
        <v>1</v>
      </c>
      <c r="AQ224" t="s">
        <v>1223</v>
      </c>
      <c r="AU224" t="s">
        <v>1224</v>
      </c>
      <c r="AV224" t="s">
        <v>1225</v>
      </c>
      <c r="AY224" t="s">
        <v>1226</v>
      </c>
      <c r="BA224" t="b">
        <v>1</v>
      </c>
    </row>
    <row r="225" spans="2:54" x14ac:dyDescent="0.2">
      <c r="B225" t="s">
        <v>1227</v>
      </c>
      <c r="C225" t="s">
        <v>1228</v>
      </c>
      <c r="D225" t="s">
        <v>66</v>
      </c>
      <c r="E225">
        <v>1800</v>
      </c>
      <c r="F225" t="s">
        <v>1229</v>
      </c>
      <c r="G225" t="s">
        <v>1230</v>
      </c>
      <c r="H225" t="s">
        <v>60</v>
      </c>
      <c r="I225" t="s">
        <v>244</v>
      </c>
      <c r="J225" t="s">
        <v>337</v>
      </c>
      <c r="K225" t="s">
        <v>70</v>
      </c>
      <c r="L225" t="s">
        <v>244</v>
      </c>
      <c r="M225" t="s">
        <v>70</v>
      </c>
      <c r="N225" s="1"/>
      <c r="S225" t="s">
        <v>71</v>
      </c>
      <c r="T225" s="1"/>
      <c r="U225" t="s">
        <v>70</v>
      </c>
      <c r="V225" t="s">
        <v>1231</v>
      </c>
      <c r="W225" t="s">
        <v>1232</v>
      </c>
      <c r="X225" t="s">
        <v>1233</v>
      </c>
      <c r="Y225" t="s">
        <v>1234</v>
      </c>
      <c r="Z225" t="s">
        <v>1235</v>
      </c>
      <c r="AA225" t="s">
        <v>70</v>
      </c>
      <c r="AB225" t="s">
        <v>70</v>
      </c>
      <c r="AC225">
        <v>2009</v>
      </c>
      <c r="AD225" s="1">
        <v>40056</v>
      </c>
      <c r="AE225" t="s">
        <v>70</v>
      </c>
      <c r="AF225" t="s">
        <v>82</v>
      </c>
      <c r="AG225" t="s">
        <v>1236</v>
      </c>
      <c r="AH225" t="s">
        <v>83</v>
      </c>
      <c r="AI225" t="s">
        <v>128</v>
      </c>
      <c r="AJ225" t="s">
        <v>1237</v>
      </c>
      <c r="AL225" t="s">
        <v>70</v>
      </c>
      <c r="AM225" t="s">
        <v>70</v>
      </c>
      <c r="AN225" t="s">
        <v>78</v>
      </c>
      <c r="AO225" t="s">
        <v>70</v>
      </c>
      <c r="AP225" t="b">
        <v>1</v>
      </c>
      <c r="AQ225" t="s">
        <v>79</v>
      </c>
      <c r="AR225" t="s">
        <v>1238</v>
      </c>
      <c r="AS225" t="s">
        <v>379</v>
      </c>
      <c r="AT225" t="s">
        <v>1239</v>
      </c>
      <c r="AX225" t="s">
        <v>1240</v>
      </c>
      <c r="AY225" t="s">
        <v>1241</v>
      </c>
      <c r="AZ225" t="s">
        <v>1242</v>
      </c>
      <c r="BA225" t="b">
        <v>0</v>
      </c>
      <c r="BB225" t="s">
        <v>1243</v>
      </c>
    </row>
    <row r="226" spans="2:54" x14ac:dyDescent="0.2">
      <c r="B226" t="s">
        <v>1244</v>
      </c>
      <c r="C226" t="s">
        <v>1245</v>
      </c>
      <c r="D226" t="s">
        <v>66</v>
      </c>
      <c r="E226">
        <v>3511</v>
      </c>
      <c r="F226" t="s">
        <v>1246</v>
      </c>
      <c r="H226" t="s">
        <v>60</v>
      </c>
      <c r="I226" t="s">
        <v>220</v>
      </c>
      <c r="J226" t="s">
        <v>220</v>
      </c>
      <c r="K226" t="s">
        <v>70</v>
      </c>
      <c r="L226" t="s">
        <v>219</v>
      </c>
      <c r="M226" t="s">
        <v>70</v>
      </c>
      <c r="N226" s="1">
        <v>37865</v>
      </c>
      <c r="S226" t="s">
        <v>71</v>
      </c>
      <c r="T226" s="1"/>
      <c r="U226" t="s">
        <v>70</v>
      </c>
      <c r="V226" t="s">
        <v>1247</v>
      </c>
      <c r="W226" t="s">
        <v>1248</v>
      </c>
      <c r="X226" t="s">
        <v>1249</v>
      </c>
      <c r="Y226" t="s">
        <v>1250</v>
      </c>
      <c r="Z226" t="s">
        <v>1251</v>
      </c>
      <c r="AA226" t="s">
        <v>1252</v>
      </c>
      <c r="AB226" t="s">
        <v>1253</v>
      </c>
      <c r="AC226">
        <v>2010</v>
      </c>
      <c r="AD226" s="1"/>
      <c r="AE226" t="s">
        <v>1254</v>
      </c>
      <c r="AF226" t="s">
        <v>429</v>
      </c>
      <c r="AG226" t="s">
        <v>1255</v>
      </c>
      <c r="AH226" t="s">
        <v>83</v>
      </c>
      <c r="AI226" t="s">
        <v>84</v>
      </c>
      <c r="AJ226" t="s">
        <v>63</v>
      </c>
      <c r="AL226" t="s">
        <v>70</v>
      </c>
      <c r="AM226" t="s">
        <v>70</v>
      </c>
      <c r="AN226" t="s">
        <v>1256</v>
      </c>
      <c r="AO226" t="s">
        <v>1257</v>
      </c>
      <c r="AP226" t="b">
        <v>1</v>
      </c>
      <c r="AQ226" t="s">
        <v>79</v>
      </c>
      <c r="AR226" t="s">
        <v>1258</v>
      </c>
      <c r="AV226" t="s">
        <v>1259</v>
      </c>
      <c r="AY226" t="s">
        <v>1260</v>
      </c>
      <c r="AZ226" t="s">
        <v>1261</v>
      </c>
      <c r="BA226" t="b">
        <v>0</v>
      </c>
      <c r="BB226" t="s">
        <v>1262</v>
      </c>
    </row>
    <row r="227" spans="2:54" x14ac:dyDescent="0.2">
      <c r="B227" t="s">
        <v>1263</v>
      </c>
      <c r="C227" t="s">
        <v>1264</v>
      </c>
      <c r="D227" t="s">
        <v>66</v>
      </c>
      <c r="E227">
        <v>0</v>
      </c>
      <c r="F227" t="s">
        <v>56</v>
      </c>
      <c r="H227" t="s">
        <v>60</v>
      </c>
      <c r="I227" t="s">
        <v>60</v>
      </c>
      <c r="K227" t="s">
        <v>70</v>
      </c>
      <c r="M227" t="s">
        <v>70</v>
      </c>
      <c r="N227" s="1"/>
      <c r="S227" t="s">
        <v>71</v>
      </c>
      <c r="T227" s="1"/>
      <c r="U227" t="s">
        <v>70</v>
      </c>
      <c r="V227" t="s">
        <v>70</v>
      </c>
      <c r="W227" t="s">
        <v>70</v>
      </c>
      <c r="X227" t="s">
        <v>70</v>
      </c>
      <c r="Y227" t="s">
        <v>70</v>
      </c>
      <c r="Z227" t="s">
        <v>70</v>
      </c>
      <c r="AA227" t="s">
        <v>70</v>
      </c>
      <c r="AB227" t="s">
        <v>70</v>
      </c>
      <c r="AD227" s="1"/>
      <c r="AE227" t="s">
        <v>70</v>
      </c>
      <c r="AF227" t="s">
        <v>833</v>
      </c>
      <c r="AG227" t="s">
        <v>78</v>
      </c>
      <c r="AH227" t="s">
        <v>76</v>
      </c>
      <c r="AI227" t="s">
        <v>84</v>
      </c>
      <c r="AJ227" t="s">
        <v>63</v>
      </c>
      <c r="AL227" t="s">
        <v>70</v>
      </c>
      <c r="AM227" t="s">
        <v>70</v>
      </c>
      <c r="AO227" t="s">
        <v>70</v>
      </c>
      <c r="AP227" t="b">
        <v>1</v>
      </c>
      <c r="AQ227" t="s">
        <v>79</v>
      </c>
      <c r="BA227" t="b">
        <v>0</v>
      </c>
    </row>
    <row r="228" spans="2:54" x14ac:dyDescent="0.2">
      <c r="B228" t="s">
        <v>1265</v>
      </c>
      <c r="C228" t="s">
        <v>1266</v>
      </c>
      <c r="D228" t="s">
        <v>66</v>
      </c>
      <c r="E228">
        <v>0</v>
      </c>
      <c r="F228" t="s">
        <v>56</v>
      </c>
      <c r="H228" t="s">
        <v>88</v>
      </c>
      <c r="I228" t="s">
        <v>88</v>
      </c>
      <c r="J228" t="s">
        <v>1037</v>
      </c>
      <c r="K228" t="s">
        <v>70</v>
      </c>
      <c r="L228" t="s">
        <v>286</v>
      </c>
      <c r="M228" t="s">
        <v>70</v>
      </c>
      <c r="N228" s="1"/>
      <c r="S228" t="s">
        <v>71</v>
      </c>
      <c r="T228" s="1"/>
      <c r="U228" t="s">
        <v>70</v>
      </c>
      <c r="V228" t="s">
        <v>1267</v>
      </c>
      <c r="W228" t="s">
        <v>70</v>
      </c>
      <c r="X228" t="s">
        <v>70</v>
      </c>
      <c r="Y228" t="s">
        <v>70</v>
      </c>
      <c r="Z228" t="s">
        <v>70</v>
      </c>
      <c r="AA228" t="s">
        <v>70</v>
      </c>
      <c r="AB228" t="s">
        <v>70</v>
      </c>
      <c r="AC228">
        <v>2006</v>
      </c>
      <c r="AD228" s="1"/>
      <c r="AE228" t="s">
        <v>1268</v>
      </c>
      <c r="AF228" t="s">
        <v>126</v>
      </c>
      <c r="AG228" t="s">
        <v>78</v>
      </c>
      <c r="AH228" t="s">
        <v>102</v>
      </c>
      <c r="AI228" t="s">
        <v>108</v>
      </c>
      <c r="AJ228" t="s">
        <v>63</v>
      </c>
      <c r="AK228">
        <v>630</v>
      </c>
      <c r="AL228" t="s">
        <v>70</v>
      </c>
      <c r="AM228" t="s">
        <v>70</v>
      </c>
      <c r="AN228" t="s">
        <v>78</v>
      </c>
      <c r="AO228" t="s">
        <v>70</v>
      </c>
      <c r="AP228" t="b">
        <v>1</v>
      </c>
      <c r="AQ228" t="s">
        <v>79</v>
      </c>
      <c r="BA228" t="b">
        <v>0</v>
      </c>
    </row>
    <row r="229" spans="2:54" x14ac:dyDescent="0.2">
      <c r="B229" t="s">
        <v>1269</v>
      </c>
      <c r="C229" t="s">
        <v>1270</v>
      </c>
      <c r="D229" t="s">
        <v>1271</v>
      </c>
      <c r="E229">
        <v>2257</v>
      </c>
      <c r="F229" t="s">
        <v>1272</v>
      </c>
      <c r="G229" t="s">
        <v>1273</v>
      </c>
      <c r="H229" t="s">
        <v>60</v>
      </c>
      <c r="I229" t="s">
        <v>244</v>
      </c>
      <c r="J229" t="s">
        <v>58</v>
      </c>
      <c r="K229" t="s">
        <v>70</v>
      </c>
      <c r="L229" t="s">
        <v>244</v>
      </c>
      <c r="M229" t="s">
        <v>70</v>
      </c>
      <c r="N229" s="1">
        <v>39715</v>
      </c>
      <c r="S229" t="s">
        <v>71</v>
      </c>
      <c r="T229" s="1"/>
      <c r="U229" t="s">
        <v>70</v>
      </c>
      <c r="V229" t="s">
        <v>1274</v>
      </c>
      <c r="W229" t="s">
        <v>1275</v>
      </c>
      <c r="X229" t="s">
        <v>1276</v>
      </c>
      <c r="Y229" t="s">
        <v>1277</v>
      </c>
      <c r="Z229" t="s">
        <v>1278</v>
      </c>
      <c r="AA229" t="s">
        <v>1279</v>
      </c>
      <c r="AB229" t="s">
        <v>1280</v>
      </c>
      <c r="AC229">
        <v>2010</v>
      </c>
      <c r="AD229" s="1">
        <v>40214</v>
      </c>
      <c r="AE229" t="s">
        <v>1281</v>
      </c>
      <c r="AF229" t="s">
        <v>126</v>
      </c>
      <c r="AG229" t="s">
        <v>1282</v>
      </c>
      <c r="AH229" t="s">
        <v>1283</v>
      </c>
      <c r="AI229" t="s">
        <v>1284</v>
      </c>
      <c r="AJ229" t="s">
        <v>1285</v>
      </c>
      <c r="AK229">
        <v>20</v>
      </c>
      <c r="AL229" t="s">
        <v>70</v>
      </c>
      <c r="AM229" t="s">
        <v>70</v>
      </c>
      <c r="AN229" t="s">
        <v>78</v>
      </c>
      <c r="AO229" t="s">
        <v>1286</v>
      </c>
      <c r="AP229" t="b">
        <v>1</v>
      </c>
      <c r="AQ229" t="s">
        <v>79</v>
      </c>
      <c r="AR229" t="s">
        <v>1287</v>
      </c>
      <c r="AS229" t="s">
        <v>379</v>
      </c>
      <c r="AT229" t="s">
        <v>380</v>
      </c>
      <c r="AW229" t="s">
        <v>1288</v>
      </c>
      <c r="AX229" t="s">
        <v>1289</v>
      </c>
      <c r="AY229" t="s">
        <v>704</v>
      </c>
      <c r="AZ229" t="s">
        <v>1290</v>
      </c>
      <c r="BA229" t="b">
        <v>0</v>
      </c>
    </row>
    <row r="230" spans="2:54" ht="255" x14ac:dyDescent="0.2">
      <c r="B230" t="s">
        <v>1291</v>
      </c>
      <c r="C230" t="s">
        <v>1292</v>
      </c>
      <c r="D230" t="s">
        <v>1293</v>
      </c>
      <c r="E230">
        <v>5531</v>
      </c>
      <c r="F230" t="s">
        <v>3658</v>
      </c>
      <c r="G230" t="s">
        <v>1294</v>
      </c>
      <c r="H230" t="s">
        <v>60</v>
      </c>
      <c r="I230" t="s">
        <v>219</v>
      </c>
      <c r="J230" t="s">
        <v>220</v>
      </c>
      <c r="K230" t="s">
        <v>70</v>
      </c>
      <c r="L230" t="s">
        <v>219</v>
      </c>
      <c r="M230" t="s">
        <v>70</v>
      </c>
      <c r="N230" s="1">
        <v>38635</v>
      </c>
      <c r="S230" t="s">
        <v>125</v>
      </c>
      <c r="T230" s="1"/>
      <c r="U230" t="s">
        <v>70</v>
      </c>
      <c r="V230" t="s">
        <v>1295</v>
      </c>
      <c r="W230" t="s">
        <v>1296</v>
      </c>
      <c r="X230" t="s">
        <v>1297</v>
      </c>
      <c r="Y230" t="s">
        <v>1298</v>
      </c>
      <c r="Z230" t="s">
        <v>1299</v>
      </c>
      <c r="AA230" t="s">
        <v>1300</v>
      </c>
      <c r="AB230" t="s">
        <v>1301</v>
      </c>
      <c r="AC230">
        <v>2012</v>
      </c>
      <c r="AD230" s="1">
        <v>40956</v>
      </c>
      <c r="AE230" t="s">
        <v>1302</v>
      </c>
      <c r="AF230" t="s">
        <v>120</v>
      </c>
      <c r="AG230" s="12" t="s">
        <v>3659</v>
      </c>
      <c r="AH230" t="s">
        <v>76</v>
      </c>
      <c r="AI230" t="s">
        <v>77</v>
      </c>
      <c r="AJ230" t="s">
        <v>1303</v>
      </c>
      <c r="AK230">
        <v>650</v>
      </c>
      <c r="AL230" t="s">
        <v>70</v>
      </c>
      <c r="AM230" t="s">
        <v>70</v>
      </c>
      <c r="AN230" t="s">
        <v>1304</v>
      </c>
      <c r="AO230" t="s">
        <v>378</v>
      </c>
      <c r="AP230" t="b">
        <v>1</v>
      </c>
      <c r="AQ230" t="s">
        <v>79</v>
      </c>
      <c r="AR230" t="s">
        <v>1305</v>
      </c>
      <c r="AS230" t="s">
        <v>379</v>
      </c>
      <c r="AT230" t="s">
        <v>1306</v>
      </c>
      <c r="AV230" t="s">
        <v>1307</v>
      </c>
      <c r="AW230" t="s">
        <v>1308</v>
      </c>
      <c r="AX230" t="s">
        <v>1309</v>
      </c>
      <c r="AY230" t="s">
        <v>1310</v>
      </c>
      <c r="AZ230" t="s">
        <v>1311</v>
      </c>
      <c r="BA230" t="b">
        <v>1</v>
      </c>
      <c r="BB230" t="s">
        <v>1312</v>
      </c>
    </row>
    <row r="231" spans="2:54" x14ac:dyDescent="0.2">
      <c r="B231" t="s">
        <v>1313</v>
      </c>
      <c r="C231" t="s">
        <v>1314</v>
      </c>
      <c r="D231" t="s">
        <v>1315</v>
      </c>
      <c r="F231" t="s">
        <v>1316</v>
      </c>
      <c r="H231" t="s">
        <v>60</v>
      </c>
      <c r="I231" t="s">
        <v>60</v>
      </c>
      <c r="J231" t="s">
        <v>118</v>
      </c>
      <c r="K231" t="s">
        <v>70</v>
      </c>
      <c r="L231" t="s">
        <v>60</v>
      </c>
      <c r="M231" t="s">
        <v>70</v>
      </c>
      <c r="N231" s="1">
        <v>38737</v>
      </c>
      <c r="S231" t="s">
        <v>125</v>
      </c>
      <c r="T231" s="1"/>
      <c r="U231" t="s">
        <v>70</v>
      </c>
      <c r="V231" t="s">
        <v>70</v>
      </c>
      <c r="W231" t="s">
        <v>70</v>
      </c>
      <c r="X231" t="s">
        <v>70</v>
      </c>
      <c r="Y231" t="s">
        <v>70</v>
      </c>
      <c r="Z231" t="s">
        <v>70</v>
      </c>
      <c r="AA231" t="s">
        <v>70</v>
      </c>
      <c r="AB231" t="s">
        <v>70</v>
      </c>
      <c r="AD231" s="1"/>
      <c r="AE231" t="s">
        <v>70</v>
      </c>
      <c r="AF231" t="s">
        <v>74</v>
      </c>
      <c r="AG231" t="s">
        <v>78</v>
      </c>
      <c r="AH231" t="s">
        <v>295</v>
      </c>
      <c r="AI231" t="s">
        <v>128</v>
      </c>
      <c r="AJ231" t="s">
        <v>63</v>
      </c>
      <c r="AL231" t="s">
        <v>70</v>
      </c>
      <c r="AM231" t="s">
        <v>70</v>
      </c>
      <c r="AO231" t="s">
        <v>70</v>
      </c>
      <c r="AP231" t="b">
        <v>0</v>
      </c>
      <c r="AQ231" t="s">
        <v>79</v>
      </c>
      <c r="BA231" t="b">
        <v>0</v>
      </c>
    </row>
    <row r="232" spans="2:54" x14ac:dyDescent="0.2">
      <c r="B232" t="s">
        <v>1317</v>
      </c>
      <c r="C232" t="s">
        <v>1318</v>
      </c>
      <c r="E232">
        <v>750</v>
      </c>
      <c r="F232" t="s">
        <v>1319</v>
      </c>
      <c r="H232" t="s">
        <v>88</v>
      </c>
      <c r="I232" t="s">
        <v>286</v>
      </c>
      <c r="J232" t="s">
        <v>1037</v>
      </c>
      <c r="L232" t="s">
        <v>286</v>
      </c>
      <c r="N232" s="1"/>
      <c r="S232" t="s">
        <v>71</v>
      </c>
      <c r="T232" s="1"/>
      <c r="V232" t="s">
        <v>1320</v>
      </c>
      <c r="W232" t="s">
        <v>1321</v>
      </c>
      <c r="AD232" s="1"/>
      <c r="AF232" t="s">
        <v>398</v>
      </c>
      <c r="AH232" t="s">
        <v>295</v>
      </c>
      <c r="AI232" t="s">
        <v>128</v>
      </c>
      <c r="AJ232" t="s">
        <v>63</v>
      </c>
      <c r="AP232" t="b">
        <v>0</v>
      </c>
      <c r="AQ232" t="s">
        <v>79</v>
      </c>
      <c r="BA232" t="b">
        <v>0</v>
      </c>
    </row>
    <row r="233" spans="2:54" x14ac:dyDescent="0.2">
      <c r="B233" t="s">
        <v>1322</v>
      </c>
      <c r="C233" t="s">
        <v>1323</v>
      </c>
      <c r="E233">
        <v>2300</v>
      </c>
      <c r="F233" t="s">
        <v>1324</v>
      </c>
      <c r="G233" t="s">
        <v>1325</v>
      </c>
      <c r="H233" t="s">
        <v>60</v>
      </c>
      <c r="I233" t="s">
        <v>244</v>
      </c>
      <c r="J233" t="s">
        <v>220</v>
      </c>
      <c r="K233" t="s">
        <v>70</v>
      </c>
      <c r="L233" t="s">
        <v>244</v>
      </c>
      <c r="M233" t="s">
        <v>70</v>
      </c>
      <c r="N233" s="1">
        <v>38917</v>
      </c>
      <c r="S233" t="s">
        <v>71</v>
      </c>
      <c r="T233" s="1"/>
      <c r="U233" t="s">
        <v>70</v>
      </c>
      <c r="V233" t="s">
        <v>1326</v>
      </c>
      <c r="W233" t="s">
        <v>70</v>
      </c>
      <c r="X233" t="s">
        <v>70</v>
      </c>
      <c r="Y233" t="s">
        <v>70</v>
      </c>
      <c r="Z233" t="s">
        <v>70</v>
      </c>
      <c r="AA233" t="s">
        <v>70</v>
      </c>
      <c r="AB233" t="s">
        <v>70</v>
      </c>
      <c r="AC233">
        <v>2008</v>
      </c>
      <c r="AD233" s="1">
        <v>39753</v>
      </c>
      <c r="AE233" t="s">
        <v>1327</v>
      </c>
      <c r="AF233" t="s">
        <v>82</v>
      </c>
      <c r="AG233" t="s">
        <v>1328</v>
      </c>
      <c r="AH233" t="s">
        <v>901</v>
      </c>
      <c r="AI233" t="s">
        <v>84</v>
      </c>
      <c r="AJ233" t="s">
        <v>63</v>
      </c>
      <c r="AK233">
        <v>280</v>
      </c>
      <c r="AL233" t="s">
        <v>70</v>
      </c>
      <c r="AM233" t="s">
        <v>70</v>
      </c>
      <c r="AN233" t="s">
        <v>78</v>
      </c>
      <c r="AO233" t="s">
        <v>1329</v>
      </c>
      <c r="AP233" t="b">
        <v>1</v>
      </c>
      <c r="AQ233" t="s">
        <v>79</v>
      </c>
      <c r="AS233" t="s">
        <v>379</v>
      </c>
      <c r="AT233" t="s">
        <v>1330</v>
      </c>
      <c r="BA233" t="b">
        <v>0</v>
      </c>
      <c r="BB233" t="s">
        <v>1331</v>
      </c>
    </row>
    <row r="234" spans="2:54" x14ac:dyDescent="0.2">
      <c r="B234" t="s">
        <v>1332</v>
      </c>
      <c r="C234" t="s">
        <v>1333</v>
      </c>
      <c r="F234" t="s">
        <v>1334</v>
      </c>
      <c r="H234" t="s">
        <v>60</v>
      </c>
      <c r="I234" t="s">
        <v>60</v>
      </c>
      <c r="K234" t="s">
        <v>70</v>
      </c>
      <c r="M234" t="s">
        <v>70</v>
      </c>
      <c r="N234" s="1"/>
      <c r="S234" t="s">
        <v>71</v>
      </c>
      <c r="T234" s="1"/>
      <c r="U234" t="s">
        <v>70</v>
      </c>
      <c r="V234" t="s">
        <v>70</v>
      </c>
      <c r="W234" t="s">
        <v>70</v>
      </c>
      <c r="X234" t="s">
        <v>70</v>
      </c>
      <c r="Y234" t="s">
        <v>70</v>
      </c>
      <c r="Z234" t="s">
        <v>70</v>
      </c>
      <c r="AA234" t="s">
        <v>70</v>
      </c>
      <c r="AB234" t="s">
        <v>70</v>
      </c>
      <c r="AD234" s="1"/>
      <c r="AE234" t="s">
        <v>70</v>
      </c>
      <c r="AF234" t="s">
        <v>74</v>
      </c>
      <c r="AG234" t="s">
        <v>78</v>
      </c>
      <c r="AH234" t="s">
        <v>545</v>
      </c>
      <c r="AI234" t="s">
        <v>128</v>
      </c>
      <c r="AJ234" t="s">
        <v>63</v>
      </c>
      <c r="AL234" t="s">
        <v>70</v>
      </c>
      <c r="AM234" t="s">
        <v>70</v>
      </c>
      <c r="AO234" t="s">
        <v>70</v>
      </c>
      <c r="AP234" t="b">
        <v>1</v>
      </c>
      <c r="AQ234" t="s">
        <v>79</v>
      </c>
      <c r="BA234" t="b">
        <v>0</v>
      </c>
    </row>
    <row r="235" spans="2:54" x14ac:dyDescent="0.2">
      <c r="B235" t="s">
        <v>1335</v>
      </c>
      <c r="C235" t="s">
        <v>1336</v>
      </c>
      <c r="D235" t="s">
        <v>66</v>
      </c>
      <c r="E235">
        <v>2500</v>
      </c>
      <c r="F235" t="s">
        <v>1337</v>
      </c>
      <c r="H235" t="s">
        <v>88</v>
      </c>
      <c r="I235" t="s">
        <v>336</v>
      </c>
      <c r="J235" t="s">
        <v>154</v>
      </c>
      <c r="N235" s="1"/>
      <c r="S235" t="s">
        <v>71</v>
      </c>
      <c r="T235" s="1"/>
      <c r="AD235" s="1"/>
      <c r="AH235" t="s">
        <v>76</v>
      </c>
      <c r="AI235" t="s">
        <v>128</v>
      </c>
      <c r="AJ235" t="s">
        <v>63</v>
      </c>
      <c r="AP235" t="b">
        <v>1</v>
      </c>
      <c r="AQ235" t="s">
        <v>79</v>
      </c>
      <c r="BA235" t="b">
        <v>0</v>
      </c>
    </row>
    <row r="236" spans="2:54" x14ac:dyDescent="0.2">
      <c r="B236" t="s">
        <v>1338</v>
      </c>
      <c r="C236" t="s">
        <v>1339</v>
      </c>
      <c r="D236" t="s">
        <v>66</v>
      </c>
      <c r="E236">
        <v>2000</v>
      </c>
      <c r="F236" t="s">
        <v>1340</v>
      </c>
      <c r="H236" t="s">
        <v>60</v>
      </c>
      <c r="I236" t="s">
        <v>336</v>
      </c>
      <c r="J236" t="s">
        <v>154</v>
      </c>
      <c r="K236" t="s">
        <v>70</v>
      </c>
      <c r="M236" t="s">
        <v>70</v>
      </c>
      <c r="N236" s="1">
        <v>38898</v>
      </c>
      <c r="S236" t="s">
        <v>71</v>
      </c>
      <c r="T236" s="1"/>
      <c r="U236" t="s">
        <v>70</v>
      </c>
      <c r="V236" t="s">
        <v>70</v>
      </c>
      <c r="W236" t="s">
        <v>70</v>
      </c>
      <c r="X236" t="s">
        <v>70</v>
      </c>
      <c r="Y236" t="s">
        <v>70</v>
      </c>
      <c r="Z236" t="s">
        <v>70</v>
      </c>
      <c r="AA236" t="s">
        <v>70</v>
      </c>
      <c r="AB236" t="s">
        <v>70</v>
      </c>
      <c r="AD236" s="1"/>
      <c r="AE236" t="s">
        <v>70</v>
      </c>
      <c r="AF236" t="s">
        <v>82</v>
      </c>
      <c r="AG236" t="s">
        <v>78</v>
      </c>
      <c r="AH236" t="s">
        <v>76</v>
      </c>
      <c r="AI236" t="s">
        <v>128</v>
      </c>
      <c r="AJ236" t="s">
        <v>63</v>
      </c>
      <c r="AL236" t="s">
        <v>70</v>
      </c>
      <c r="AM236" t="s">
        <v>70</v>
      </c>
      <c r="AN236" t="s">
        <v>78</v>
      </c>
      <c r="AO236" t="s">
        <v>70</v>
      </c>
      <c r="AP236" t="b">
        <v>1</v>
      </c>
      <c r="AQ236" t="s">
        <v>79</v>
      </c>
      <c r="BA236" t="b">
        <v>0</v>
      </c>
    </row>
    <row r="237" spans="2:54" x14ac:dyDescent="0.2">
      <c r="B237" t="s">
        <v>1341</v>
      </c>
      <c r="C237" t="s">
        <v>1342</v>
      </c>
      <c r="E237">
        <v>10000</v>
      </c>
      <c r="F237" t="s">
        <v>1343</v>
      </c>
      <c r="H237" t="s">
        <v>88</v>
      </c>
      <c r="I237" t="s">
        <v>219</v>
      </c>
      <c r="J237" t="s">
        <v>58</v>
      </c>
      <c r="K237" t="s">
        <v>70</v>
      </c>
      <c r="L237" t="s">
        <v>219</v>
      </c>
      <c r="M237" t="s">
        <v>60</v>
      </c>
      <c r="N237" s="1">
        <v>38814</v>
      </c>
      <c r="S237" t="s">
        <v>71</v>
      </c>
      <c r="T237" s="1"/>
      <c r="U237" t="s">
        <v>70</v>
      </c>
      <c r="V237" t="s">
        <v>1344</v>
      </c>
      <c r="W237" t="s">
        <v>1345</v>
      </c>
      <c r="X237" t="s">
        <v>1346</v>
      </c>
      <c r="Y237" t="s">
        <v>1347</v>
      </c>
      <c r="Z237" t="s">
        <v>1348</v>
      </c>
      <c r="AA237" t="s">
        <v>1349</v>
      </c>
      <c r="AB237" t="s">
        <v>1350</v>
      </c>
      <c r="AC237">
        <v>2010</v>
      </c>
      <c r="AD237" s="1">
        <v>40252</v>
      </c>
      <c r="AE237" t="s">
        <v>1351</v>
      </c>
      <c r="AF237" t="s">
        <v>429</v>
      </c>
      <c r="AG237" t="s">
        <v>1352</v>
      </c>
      <c r="AH237" t="s">
        <v>295</v>
      </c>
      <c r="AI237" t="s">
        <v>108</v>
      </c>
      <c r="AJ237" t="s">
        <v>63</v>
      </c>
      <c r="AK237">
        <v>1000</v>
      </c>
      <c r="AL237" t="s">
        <v>70</v>
      </c>
      <c r="AM237" t="s">
        <v>70</v>
      </c>
      <c r="AN237" t="s">
        <v>1353</v>
      </c>
      <c r="AO237" t="s">
        <v>1354</v>
      </c>
      <c r="AP237" t="b">
        <v>1</v>
      </c>
      <c r="AQ237" t="s">
        <v>79</v>
      </c>
      <c r="AR237" t="s">
        <v>1355</v>
      </c>
      <c r="BA237" t="b">
        <v>0</v>
      </c>
    </row>
    <row r="238" spans="2:54" x14ac:dyDescent="0.2">
      <c r="B238" t="s">
        <v>1356</v>
      </c>
      <c r="C238" t="s">
        <v>1357</v>
      </c>
      <c r="E238">
        <v>0</v>
      </c>
      <c r="H238" t="s">
        <v>88</v>
      </c>
      <c r="I238" t="s">
        <v>88</v>
      </c>
      <c r="J238" t="s">
        <v>118</v>
      </c>
      <c r="K238" t="s">
        <v>70</v>
      </c>
      <c r="L238" t="s">
        <v>68</v>
      </c>
      <c r="M238" t="s">
        <v>70</v>
      </c>
      <c r="N238" s="1"/>
      <c r="S238" t="s">
        <v>71</v>
      </c>
      <c r="T238" s="1"/>
      <c r="U238" t="s">
        <v>70</v>
      </c>
      <c r="V238" t="s">
        <v>70</v>
      </c>
      <c r="W238" t="s">
        <v>70</v>
      </c>
      <c r="X238" t="s">
        <v>70</v>
      </c>
      <c r="Y238" t="s">
        <v>70</v>
      </c>
      <c r="Z238" t="s">
        <v>70</v>
      </c>
      <c r="AA238" t="s">
        <v>70</v>
      </c>
      <c r="AB238" t="s">
        <v>70</v>
      </c>
      <c r="AD238" s="1"/>
      <c r="AE238" t="s">
        <v>70</v>
      </c>
      <c r="AF238" t="s">
        <v>120</v>
      </c>
      <c r="AG238" t="s">
        <v>1358</v>
      </c>
      <c r="AH238" t="s">
        <v>76</v>
      </c>
      <c r="AI238" t="s">
        <v>108</v>
      </c>
      <c r="AJ238" t="s">
        <v>70</v>
      </c>
      <c r="AK238">
        <v>0</v>
      </c>
      <c r="AL238" t="s">
        <v>70</v>
      </c>
      <c r="AM238" t="s">
        <v>70</v>
      </c>
      <c r="AN238" t="s">
        <v>78</v>
      </c>
      <c r="AO238" t="s">
        <v>70</v>
      </c>
      <c r="AP238" t="b">
        <v>1</v>
      </c>
      <c r="AQ238" t="s">
        <v>104</v>
      </c>
      <c r="BA238" t="b">
        <v>0</v>
      </c>
    </row>
    <row r="239" spans="2:54" x14ac:dyDescent="0.2">
      <c r="B239" t="s">
        <v>1359</v>
      </c>
      <c r="C239" t="s">
        <v>1360</v>
      </c>
      <c r="E239">
        <v>1674</v>
      </c>
      <c r="F239" t="s">
        <v>1361</v>
      </c>
      <c r="G239" t="s">
        <v>1362</v>
      </c>
      <c r="H239" t="s">
        <v>60</v>
      </c>
      <c r="I239" t="s">
        <v>60</v>
      </c>
      <c r="J239" t="s">
        <v>170</v>
      </c>
      <c r="K239" t="s">
        <v>70</v>
      </c>
      <c r="L239" t="s">
        <v>286</v>
      </c>
      <c r="M239" t="s">
        <v>70</v>
      </c>
      <c r="N239" s="1"/>
      <c r="S239" t="s">
        <v>425</v>
      </c>
      <c r="T239" s="1"/>
      <c r="U239" t="s">
        <v>70</v>
      </c>
      <c r="V239" t="s">
        <v>1363</v>
      </c>
      <c r="W239" t="s">
        <v>1364</v>
      </c>
      <c r="X239" t="s">
        <v>1365</v>
      </c>
      <c r="Y239" t="s">
        <v>1366</v>
      </c>
      <c r="Z239" t="s">
        <v>70</v>
      </c>
      <c r="AA239" t="s">
        <v>70</v>
      </c>
      <c r="AB239" t="s">
        <v>70</v>
      </c>
      <c r="AD239" s="1"/>
      <c r="AE239" t="s">
        <v>1367</v>
      </c>
      <c r="AF239" t="s">
        <v>293</v>
      </c>
      <c r="AG239" t="s">
        <v>1368</v>
      </c>
      <c r="AH239" t="s">
        <v>1208</v>
      </c>
      <c r="AI239" t="s">
        <v>77</v>
      </c>
      <c r="AJ239" t="s">
        <v>1369</v>
      </c>
      <c r="AK239">
        <v>150</v>
      </c>
      <c r="AL239" t="s">
        <v>70</v>
      </c>
      <c r="AM239" t="s">
        <v>70</v>
      </c>
      <c r="AN239" t="s">
        <v>1370</v>
      </c>
      <c r="AO239" t="s">
        <v>70</v>
      </c>
      <c r="AP239" t="b">
        <v>1</v>
      </c>
      <c r="AQ239" t="s">
        <v>1371</v>
      </c>
      <c r="AS239" t="s">
        <v>1372</v>
      </c>
      <c r="AT239" t="s">
        <v>1373</v>
      </c>
      <c r="BA239" t="b">
        <v>0</v>
      </c>
    </row>
    <row r="240" spans="2:54" x14ac:dyDescent="0.2">
      <c r="B240" t="s">
        <v>1374</v>
      </c>
      <c r="C240" t="s">
        <v>1375</v>
      </c>
      <c r="E240">
        <v>2311</v>
      </c>
      <c r="F240" t="s">
        <v>1376</v>
      </c>
      <c r="H240" t="s">
        <v>60</v>
      </c>
      <c r="I240" t="s">
        <v>88</v>
      </c>
      <c r="J240" t="s">
        <v>170</v>
      </c>
      <c r="K240" t="s">
        <v>70</v>
      </c>
      <c r="L240" t="s">
        <v>286</v>
      </c>
      <c r="M240" t="s">
        <v>70</v>
      </c>
      <c r="N240" s="1">
        <v>38853</v>
      </c>
      <c r="S240" t="s">
        <v>71</v>
      </c>
      <c r="T240" s="1"/>
      <c r="U240" t="s">
        <v>70</v>
      </c>
      <c r="V240" t="s">
        <v>1377</v>
      </c>
      <c r="W240" t="s">
        <v>1378</v>
      </c>
      <c r="X240" t="s">
        <v>70</v>
      </c>
      <c r="Y240" t="s">
        <v>70</v>
      </c>
      <c r="Z240" t="s">
        <v>70</v>
      </c>
      <c r="AA240" t="s">
        <v>70</v>
      </c>
      <c r="AB240" t="s">
        <v>70</v>
      </c>
      <c r="AC240">
        <v>2007</v>
      </c>
      <c r="AD240" s="1"/>
      <c r="AE240" t="s">
        <v>70</v>
      </c>
      <c r="AF240" t="s">
        <v>82</v>
      </c>
      <c r="AG240" t="s">
        <v>1379</v>
      </c>
      <c r="AH240" t="s">
        <v>901</v>
      </c>
      <c r="AI240" t="s">
        <v>84</v>
      </c>
      <c r="AJ240" t="s">
        <v>1380</v>
      </c>
      <c r="AK240">
        <v>480</v>
      </c>
      <c r="AL240" t="s">
        <v>70</v>
      </c>
      <c r="AM240" t="s">
        <v>70</v>
      </c>
      <c r="AN240" t="s">
        <v>78</v>
      </c>
      <c r="AO240" t="s">
        <v>378</v>
      </c>
      <c r="AP240" t="b">
        <v>1</v>
      </c>
      <c r="AQ240" t="s">
        <v>79</v>
      </c>
      <c r="BA240" t="b">
        <v>0</v>
      </c>
    </row>
    <row r="241" spans="2:54" x14ac:dyDescent="0.2">
      <c r="B241" t="s">
        <v>1381</v>
      </c>
      <c r="C241" t="s">
        <v>1382</v>
      </c>
      <c r="E241">
        <v>2311</v>
      </c>
      <c r="F241" t="s">
        <v>1383</v>
      </c>
      <c r="G241" t="s">
        <v>1384</v>
      </c>
      <c r="H241" t="s">
        <v>60</v>
      </c>
      <c r="I241" t="s">
        <v>88</v>
      </c>
      <c r="J241" t="s">
        <v>337</v>
      </c>
      <c r="K241" t="s">
        <v>70</v>
      </c>
      <c r="L241" t="s">
        <v>219</v>
      </c>
      <c r="M241" t="s">
        <v>70</v>
      </c>
      <c r="N241" s="1">
        <v>38853</v>
      </c>
      <c r="S241" t="s">
        <v>71</v>
      </c>
      <c r="T241" s="1"/>
      <c r="U241" t="s">
        <v>70</v>
      </c>
      <c r="V241" t="s">
        <v>1385</v>
      </c>
      <c r="W241" t="s">
        <v>1386</v>
      </c>
      <c r="X241" t="s">
        <v>70</v>
      </c>
      <c r="Y241" t="s">
        <v>70</v>
      </c>
      <c r="Z241" t="s">
        <v>70</v>
      </c>
      <c r="AA241" t="s">
        <v>70</v>
      </c>
      <c r="AB241" t="s">
        <v>70</v>
      </c>
      <c r="AC241">
        <v>2008</v>
      </c>
      <c r="AD241" s="1"/>
      <c r="AE241" t="s">
        <v>70</v>
      </c>
      <c r="AF241" t="s">
        <v>82</v>
      </c>
      <c r="AG241" t="s">
        <v>1387</v>
      </c>
      <c r="AH241" t="s">
        <v>901</v>
      </c>
      <c r="AI241" t="s">
        <v>84</v>
      </c>
      <c r="AJ241" t="s">
        <v>63</v>
      </c>
      <c r="AK241">
        <v>480</v>
      </c>
      <c r="AL241" t="s">
        <v>70</v>
      </c>
      <c r="AM241" t="s">
        <v>70</v>
      </c>
      <c r="AN241" t="s">
        <v>78</v>
      </c>
      <c r="AO241" t="s">
        <v>1388</v>
      </c>
      <c r="AP241" t="b">
        <v>1</v>
      </c>
      <c r="AQ241" t="s">
        <v>79</v>
      </c>
      <c r="AS241" t="s">
        <v>379</v>
      </c>
      <c r="AT241" t="s">
        <v>1389</v>
      </c>
      <c r="BA241" t="b">
        <v>0</v>
      </c>
    </row>
    <row r="242" spans="2:54" x14ac:dyDescent="0.2">
      <c r="B242" t="s">
        <v>1390</v>
      </c>
      <c r="C242" t="s">
        <v>1391</v>
      </c>
      <c r="D242" t="s">
        <v>1392</v>
      </c>
      <c r="E242">
        <v>388</v>
      </c>
      <c r="F242" t="s">
        <v>112</v>
      </c>
      <c r="H242" t="s">
        <v>88</v>
      </c>
      <c r="I242" t="s">
        <v>336</v>
      </c>
      <c r="J242" t="s">
        <v>336</v>
      </c>
      <c r="K242" t="s">
        <v>393</v>
      </c>
      <c r="L242" t="s">
        <v>244</v>
      </c>
      <c r="M242" t="s">
        <v>70</v>
      </c>
      <c r="N242" s="1">
        <v>38859</v>
      </c>
      <c r="R242" t="s">
        <v>1393</v>
      </c>
      <c r="S242" t="s">
        <v>71</v>
      </c>
      <c r="T242" s="1"/>
      <c r="U242" t="s">
        <v>70</v>
      </c>
      <c r="V242" t="s">
        <v>1394</v>
      </c>
      <c r="W242" t="s">
        <v>70</v>
      </c>
      <c r="X242" t="s">
        <v>70</v>
      </c>
      <c r="Y242" t="s">
        <v>70</v>
      </c>
      <c r="Z242" t="s">
        <v>70</v>
      </c>
      <c r="AA242" t="s">
        <v>70</v>
      </c>
      <c r="AB242" t="s">
        <v>70</v>
      </c>
      <c r="AC242">
        <v>2008</v>
      </c>
      <c r="AD242" s="1">
        <v>39539</v>
      </c>
      <c r="AE242" t="s">
        <v>1395</v>
      </c>
      <c r="AF242" t="s">
        <v>513</v>
      </c>
      <c r="AG242" t="s">
        <v>1396</v>
      </c>
      <c r="AH242" t="s">
        <v>93</v>
      </c>
      <c r="AI242" t="s">
        <v>84</v>
      </c>
      <c r="AJ242" t="s">
        <v>63</v>
      </c>
      <c r="AL242" t="s">
        <v>70</v>
      </c>
      <c r="AM242" t="s">
        <v>70</v>
      </c>
      <c r="AN242" t="s">
        <v>78</v>
      </c>
      <c r="AO242" t="s">
        <v>70</v>
      </c>
      <c r="AP242" t="b">
        <v>1</v>
      </c>
      <c r="AQ242" t="s">
        <v>79</v>
      </c>
      <c r="BA242" t="b">
        <v>0</v>
      </c>
    </row>
    <row r="243" spans="2:54" x14ac:dyDescent="0.2">
      <c r="B243" t="s">
        <v>1397</v>
      </c>
      <c r="C243" t="s">
        <v>1398</v>
      </c>
      <c r="D243" t="s">
        <v>66</v>
      </c>
      <c r="E243">
        <v>0</v>
      </c>
      <c r="H243" t="s">
        <v>88</v>
      </c>
      <c r="I243" t="s">
        <v>219</v>
      </c>
      <c r="J243" t="s">
        <v>69</v>
      </c>
      <c r="L243" t="s">
        <v>219</v>
      </c>
      <c r="N243" s="1"/>
      <c r="R243" t="s">
        <v>1399</v>
      </c>
      <c r="S243" t="s">
        <v>71</v>
      </c>
      <c r="T243" s="1"/>
      <c r="AD243" s="1"/>
      <c r="AF243" t="s">
        <v>82</v>
      </c>
      <c r="AH243" t="s">
        <v>76</v>
      </c>
      <c r="AI243" t="s">
        <v>128</v>
      </c>
      <c r="AJ243" t="s">
        <v>63</v>
      </c>
      <c r="AP243" t="b">
        <v>1</v>
      </c>
      <c r="AQ243" t="s">
        <v>79</v>
      </c>
      <c r="BA243" t="b">
        <v>0</v>
      </c>
    </row>
    <row r="244" spans="2:54" x14ac:dyDescent="0.2">
      <c r="B244" t="s">
        <v>1400</v>
      </c>
      <c r="C244" t="s">
        <v>1401</v>
      </c>
      <c r="D244" t="s">
        <v>66</v>
      </c>
      <c r="E244">
        <v>2424</v>
      </c>
      <c r="F244" t="s">
        <v>1402</v>
      </c>
      <c r="H244" t="s">
        <v>60</v>
      </c>
      <c r="I244" t="s">
        <v>220</v>
      </c>
      <c r="J244" t="s">
        <v>220</v>
      </c>
      <c r="K244" t="s">
        <v>70</v>
      </c>
      <c r="L244" t="s">
        <v>448</v>
      </c>
      <c r="M244" t="s">
        <v>70</v>
      </c>
      <c r="N244" s="1">
        <v>38895</v>
      </c>
      <c r="R244" t="s">
        <v>1403</v>
      </c>
      <c r="S244" t="s">
        <v>71</v>
      </c>
      <c r="T244" s="1"/>
      <c r="U244" t="s">
        <v>70</v>
      </c>
      <c r="V244" t="s">
        <v>1404</v>
      </c>
      <c r="W244" t="s">
        <v>1405</v>
      </c>
      <c r="X244" t="s">
        <v>1406</v>
      </c>
      <c r="Y244" t="s">
        <v>3660</v>
      </c>
      <c r="Z244" t="s">
        <v>1407</v>
      </c>
      <c r="AA244" t="s">
        <v>1408</v>
      </c>
      <c r="AB244" t="s">
        <v>1409</v>
      </c>
      <c r="AC244">
        <v>2008</v>
      </c>
      <c r="AD244" s="1"/>
      <c r="AE244" t="s">
        <v>1410</v>
      </c>
      <c r="AF244" t="s">
        <v>259</v>
      </c>
      <c r="AG244" t="s">
        <v>1411</v>
      </c>
      <c r="AH244" t="s">
        <v>901</v>
      </c>
      <c r="AI244" t="s">
        <v>84</v>
      </c>
      <c r="AJ244" t="s">
        <v>1412</v>
      </c>
      <c r="AK244">
        <v>480</v>
      </c>
      <c r="AL244" t="s">
        <v>70</v>
      </c>
      <c r="AM244" t="s">
        <v>70</v>
      </c>
      <c r="AN244" t="s">
        <v>1413</v>
      </c>
      <c r="AO244" t="s">
        <v>1414</v>
      </c>
      <c r="AP244" t="b">
        <v>1</v>
      </c>
      <c r="AQ244" t="s">
        <v>79</v>
      </c>
      <c r="AR244" t="s">
        <v>177</v>
      </c>
      <c r="AW244" t="s">
        <v>1415</v>
      </c>
      <c r="AY244" t="s">
        <v>1416</v>
      </c>
      <c r="AZ244" t="s">
        <v>1417</v>
      </c>
      <c r="BA244" t="b">
        <v>0</v>
      </c>
      <c r="BB244" t="s">
        <v>1418</v>
      </c>
    </row>
    <row r="245" spans="2:54" x14ac:dyDescent="0.2">
      <c r="B245" t="s">
        <v>1419</v>
      </c>
      <c r="C245" t="s">
        <v>1420</v>
      </c>
      <c r="D245" t="s">
        <v>1421</v>
      </c>
      <c r="E245">
        <v>6235</v>
      </c>
      <c r="F245" t="s">
        <v>1422</v>
      </c>
      <c r="G245" t="s">
        <v>1423</v>
      </c>
      <c r="H245" t="s">
        <v>60</v>
      </c>
      <c r="I245" t="s">
        <v>219</v>
      </c>
      <c r="J245" t="s">
        <v>220</v>
      </c>
      <c r="K245" t="s">
        <v>70</v>
      </c>
      <c r="L245" t="s">
        <v>219</v>
      </c>
      <c r="M245" t="s">
        <v>70</v>
      </c>
      <c r="N245" s="1">
        <v>38952</v>
      </c>
      <c r="S245" t="s">
        <v>71</v>
      </c>
      <c r="T245" s="1"/>
      <c r="U245" t="s">
        <v>70</v>
      </c>
      <c r="V245" t="s">
        <v>1424</v>
      </c>
      <c r="W245" t="s">
        <v>1425</v>
      </c>
      <c r="X245" t="s">
        <v>1426</v>
      </c>
      <c r="Y245" t="s">
        <v>1427</v>
      </c>
      <c r="Z245" t="s">
        <v>1428</v>
      </c>
      <c r="AA245" t="s">
        <v>1429</v>
      </c>
      <c r="AB245" t="s">
        <v>1430</v>
      </c>
      <c r="AC245">
        <v>2009</v>
      </c>
      <c r="AD245" s="1">
        <v>40055</v>
      </c>
      <c r="AE245" t="s">
        <v>1431</v>
      </c>
      <c r="AF245" t="s">
        <v>670</v>
      </c>
      <c r="AG245" t="s">
        <v>1432</v>
      </c>
      <c r="AH245" t="s">
        <v>76</v>
      </c>
      <c r="AI245" t="s">
        <v>77</v>
      </c>
      <c r="AJ245" t="s">
        <v>1433</v>
      </c>
      <c r="AK245">
        <v>700</v>
      </c>
      <c r="AL245" t="s">
        <v>70</v>
      </c>
      <c r="AM245" t="s">
        <v>70</v>
      </c>
      <c r="AN245" t="s">
        <v>1434</v>
      </c>
      <c r="AO245" t="s">
        <v>1435</v>
      </c>
      <c r="AP245" t="b">
        <v>1</v>
      </c>
      <c r="AQ245" t="s">
        <v>79</v>
      </c>
      <c r="AR245" t="s">
        <v>1436</v>
      </c>
      <c r="AS245" t="s">
        <v>379</v>
      </c>
      <c r="AT245" t="s">
        <v>1437</v>
      </c>
      <c r="AW245" t="s">
        <v>1438</v>
      </c>
      <c r="AY245" t="s">
        <v>1439</v>
      </c>
      <c r="AZ245" t="s">
        <v>1440</v>
      </c>
      <c r="BA245" t="b">
        <v>0</v>
      </c>
      <c r="BB245" t="s">
        <v>1441</v>
      </c>
    </row>
    <row r="246" spans="2:54" x14ac:dyDescent="0.2">
      <c r="B246" t="s">
        <v>1442</v>
      </c>
      <c r="C246" t="s">
        <v>1443</v>
      </c>
      <c r="E246">
        <v>1308</v>
      </c>
      <c r="F246" t="s">
        <v>1444</v>
      </c>
      <c r="H246" t="s">
        <v>88</v>
      </c>
      <c r="I246" t="s">
        <v>219</v>
      </c>
      <c r="J246" t="s">
        <v>287</v>
      </c>
      <c r="K246" t="s">
        <v>70</v>
      </c>
      <c r="L246" t="s">
        <v>219</v>
      </c>
      <c r="M246" t="s">
        <v>70</v>
      </c>
      <c r="N246" s="1">
        <v>39239</v>
      </c>
      <c r="S246" t="s">
        <v>71</v>
      </c>
      <c r="T246" s="1"/>
      <c r="U246" t="s">
        <v>70</v>
      </c>
      <c r="V246" t="s">
        <v>1445</v>
      </c>
      <c r="W246" t="s">
        <v>70</v>
      </c>
      <c r="X246" t="s">
        <v>70</v>
      </c>
      <c r="Y246" t="s">
        <v>70</v>
      </c>
      <c r="Z246" t="s">
        <v>70</v>
      </c>
      <c r="AA246" t="s">
        <v>70</v>
      </c>
      <c r="AB246" t="s">
        <v>70</v>
      </c>
      <c r="AC246">
        <v>2008</v>
      </c>
      <c r="AD246" s="1">
        <v>39598</v>
      </c>
      <c r="AE246" t="s">
        <v>1446</v>
      </c>
      <c r="AF246" t="s">
        <v>355</v>
      </c>
      <c r="AG246" t="s">
        <v>1447</v>
      </c>
      <c r="AH246" t="s">
        <v>102</v>
      </c>
      <c r="AI246" t="s">
        <v>128</v>
      </c>
      <c r="AJ246" t="s">
        <v>63</v>
      </c>
      <c r="AL246" t="s">
        <v>70</v>
      </c>
      <c r="AM246" t="s">
        <v>70</v>
      </c>
      <c r="AN246" t="s">
        <v>78</v>
      </c>
      <c r="AO246" t="s">
        <v>70</v>
      </c>
      <c r="AP246" t="b">
        <v>1</v>
      </c>
      <c r="AQ246" t="s">
        <v>79</v>
      </c>
      <c r="AR246" t="s">
        <v>1448</v>
      </c>
      <c r="BA246" t="b">
        <v>0</v>
      </c>
    </row>
    <row r="247" spans="2:54" x14ac:dyDescent="0.2">
      <c r="B247" t="s">
        <v>1449</v>
      </c>
      <c r="C247" t="s">
        <v>1450</v>
      </c>
      <c r="E247">
        <v>0</v>
      </c>
      <c r="F247" t="s">
        <v>56</v>
      </c>
      <c r="H247" t="s">
        <v>60</v>
      </c>
      <c r="I247" t="s">
        <v>60</v>
      </c>
      <c r="J247" t="s">
        <v>60</v>
      </c>
      <c r="K247" t="s">
        <v>70</v>
      </c>
      <c r="L247" t="s">
        <v>60</v>
      </c>
      <c r="M247" t="s">
        <v>70</v>
      </c>
      <c r="N247" s="1">
        <v>38961</v>
      </c>
      <c r="S247" t="s">
        <v>71</v>
      </c>
      <c r="T247" s="1"/>
      <c r="U247" t="s">
        <v>70</v>
      </c>
      <c r="V247" t="s">
        <v>1451</v>
      </c>
      <c r="W247" t="s">
        <v>70</v>
      </c>
      <c r="X247" t="s">
        <v>70</v>
      </c>
      <c r="Y247" t="s">
        <v>70</v>
      </c>
      <c r="Z247" t="s">
        <v>70</v>
      </c>
      <c r="AA247" t="s">
        <v>70</v>
      </c>
      <c r="AB247" t="s">
        <v>70</v>
      </c>
      <c r="AC247">
        <v>2006</v>
      </c>
      <c r="AD247" s="1"/>
      <c r="AE247" t="s">
        <v>1452</v>
      </c>
      <c r="AF247" t="s">
        <v>1453</v>
      </c>
      <c r="AG247" t="s">
        <v>1454</v>
      </c>
      <c r="AH247" t="s">
        <v>1455</v>
      </c>
      <c r="AI247" t="s">
        <v>84</v>
      </c>
      <c r="AJ247" t="s">
        <v>63</v>
      </c>
      <c r="AL247" t="s">
        <v>70</v>
      </c>
      <c r="AM247" t="s">
        <v>70</v>
      </c>
      <c r="AN247" t="s">
        <v>1456</v>
      </c>
      <c r="AO247" t="s">
        <v>70</v>
      </c>
      <c r="AP247" t="b">
        <v>1</v>
      </c>
      <c r="AQ247" t="s">
        <v>79</v>
      </c>
      <c r="BA247" t="b">
        <v>0</v>
      </c>
    </row>
    <row r="248" spans="2:54" x14ac:dyDescent="0.2">
      <c r="B248" t="s">
        <v>1457</v>
      </c>
      <c r="C248" t="s">
        <v>1458</v>
      </c>
      <c r="E248">
        <v>0</v>
      </c>
      <c r="F248" t="s">
        <v>1459</v>
      </c>
      <c r="H248" t="s">
        <v>60</v>
      </c>
      <c r="I248" t="s">
        <v>338</v>
      </c>
      <c r="J248" t="s">
        <v>243</v>
      </c>
      <c r="K248" t="s">
        <v>70</v>
      </c>
      <c r="L248" t="s">
        <v>338</v>
      </c>
      <c r="M248" t="s">
        <v>70</v>
      </c>
      <c r="N248" s="1">
        <v>39026</v>
      </c>
      <c r="S248" t="s">
        <v>71</v>
      </c>
      <c r="T248" s="1"/>
      <c r="U248" t="s">
        <v>70</v>
      </c>
      <c r="V248" t="s">
        <v>70</v>
      </c>
      <c r="W248" t="s">
        <v>70</v>
      </c>
      <c r="X248" t="s">
        <v>70</v>
      </c>
      <c r="Y248" t="s">
        <v>70</v>
      </c>
      <c r="Z248" t="s">
        <v>70</v>
      </c>
      <c r="AA248" t="s">
        <v>70</v>
      </c>
      <c r="AB248" t="s">
        <v>70</v>
      </c>
      <c r="AD248" s="1"/>
      <c r="AE248" t="s">
        <v>70</v>
      </c>
      <c r="AF248" t="s">
        <v>74</v>
      </c>
      <c r="AG248" t="s">
        <v>78</v>
      </c>
      <c r="AH248" t="s">
        <v>468</v>
      </c>
      <c r="AI248" t="s">
        <v>84</v>
      </c>
      <c r="AJ248" t="s">
        <v>63</v>
      </c>
      <c r="AL248" t="s">
        <v>70</v>
      </c>
      <c r="AM248" t="s">
        <v>70</v>
      </c>
      <c r="AN248" t="s">
        <v>78</v>
      </c>
      <c r="AO248" t="s">
        <v>70</v>
      </c>
      <c r="AP248" t="b">
        <v>1</v>
      </c>
      <c r="AQ248" t="s">
        <v>79</v>
      </c>
      <c r="BA248" t="b">
        <v>0</v>
      </c>
    </row>
    <row r="249" spans="2:54" x14ac:dyDescent="0.2">
      <c r="B249" t="s">
        <v>1460</v>
      </c>
      <c r="C249" t="s">
        <v>1461</v>
      </c>
      <c r="D249" t="s">
        <v>1462</v>
      </c>
      <c r="E249">
        <v>0</v>
      </c>
      <c r="F249" t="s">
        <v>1463</v>
      </c>
      <c r="H249" t="s">
        <v>60</v>
      </c>
      <c r="I249" t="s">
        <v>286</v>
      </c>
      <c r="J249" t="s">
        <v>170</v>
      </c>
      <c r="K249" t="s">
        <v>70</v>
      </c>
      <c r="L249" t="s">
        <v>286</v>
      </c>
      <c r="M249" t="s">
        <v>70</v>
      </c>
      <c r="N249" s="1"/>
      <c r="S249" t="s">
        <v>125</v>
      </c>
      <c r="T249" s="1"/>
      <c r="U249" t="s">
        <v>70</v>
      </c>
      <c r="V249" t="s">
        <v>1464</v>
      </c>
      <c r="W249" t="s">
        <v>70</v>
      </c>
      <c r="X249" t="s">
        <v>70</v>
      </c>
      <c r="Y249" t="s">
        <v>70</v>
      </c>
      <c r="Z249" t="s">
        <v>70</v>
      </c>
      <c r="AA249" t="s">
        <v>70</v>
      </c>
      <c r="AB249" t="s">
        <v>70</v>
      </c>
      <c r="AC249">
        <v>0</v>
      </c>
      <c r="AD249" s="1"/>
      <c r="AE249" t="s">
        <v>70</v>
      </c>
      <c r="AF249" t="s">
        <v>293</v>
      </c>
      <c r="AG249" t="s">
        <v>1465</v>
      </c>
      <c r="AH249" t="s">
        <v>184</v>
      </c>
      <c r="AI249" t="s">
        <v>84</v>
      </c>
      <c r="AJ249" t="s">
        <v>63</v>
      </c>
      <c r="AL249" t="s">
        <v>70</v>
      </c>
      <c r="AM249" t="s">
        <v>70</v>
      </c>
      <c r="AN249" t="s">
        <v>78</v>
      </c>
      <c r="AO249" t="s">
        <v>70</v>
      </c>
      <c r="AP249" t="b">
        <v>1</v>
      </c>
      <c r="AQ249" t="s">
        <v>79</v>
      </c>
      <c r="BA249" t="b">
        <v>0</v>
      </c>
    </row>
    <row r="250" spans="2:54" x14ac:dyDescent="0.2">
      <c r="B250" t="s">
        <v>1466</v>
      </c>
      <c r="C250" t="s">
        <v>1467</v>
      </c>
      <c r="E250">
        <v>712</v>
      </c>
      <c r="F250" t="s">
        <v>1468</v>
      </c>
      <c r="H250" t="s">
        <v>60</v>
      </c>
      <c r="I250" t="s">
        <v>336</v>
      </c>
      <c r="J250" t="s">
        <v>154</v>
      </c>
      <c r="K250" t="s">
        <v>70</v>
      </c>
      <c r="L250" t="s">
        <v>1469</v>
      </c>
      <c r="M250" t="s">
        <v>70</v>
      </c>
      <c r="N250" s="1">
        <v>39031</v>
      </c>
      <c r="S250" t="s">
        <v>425</v>
      </c>
      <c r="T250" s="1"/>
      <c r="U250" t="s">
        <v>70</v>
      </c>
      <c r="V250" t="s">
        <v>70</v>
      </c>
      <c r="W250" t="s">
        <v>70</v>
      </c>
      <c r="X250" t="s">
        <v>70</v>
      </c>
      <c r="Y250" t="s">
        <v>70</v>
      </c>
      <c r="Z250" t="s">
        <v>70</v>
      </c>
      <c r="AA250" t="s">
        <v>70</v>
      </c>
      <c r="AB250" t="s">
        <v>70</v>
      </c>
      <c r="AD250" s="1"/>
      <c r="AE250" t="s">
        <v>70</v>
      </c>
      <c r="AF250" t="s">
        <v>82</v>
      </c>
      <c r="AG250" t="s">
        <v>78</v>
      </c>
      <c r="AH250" t="s">
        <v>102</v>
      </c>
      <c r="AI250" t="s">
        <v>128</v>
      </c>
      <c r="AJ250" t="s">
        <v>63</v>
      </c>
      <c r="AL250" t="s">
        <v>70</v>
      </c>
      <c r="AM250" t="s">
        <v>70</v>
      </c>
      <c r="AN250" t="s">
        <v>78</v>
      </c>
      <c r="AO250" t="s">
        <v>70</v>
      </c>
      <c r="AP250" t="b">
        <v>0</v>
      </c>
      <c r="AQ250" t="s">
        <v>79</v>
      </c>
      <c r="BA250" t="b">
        <v>0</v>
      </c>
    </row>
    <row r="251" spans="2:54" x14ac:dyDescent="0.2">
      <c r="B251" t="s">
        <v>1470</v>
      </c>
      <c r="C251" t="s">
        <v>1471</v>
      </c>
      <c r="E251">
        <v>388</v>
      </c>
      <c r="F251" t="s">
        <v>112</v>
      </c>
      <c r="H251" t="s">
        <v>88</v>
      </c>
      <c r="I251" t="s">
        <v>336</v>
      </c>
      <c r="J251" t="s">
        <v>393</v>
      </c>
      <c r="K251" t="s">
        <v>70</v>
      </c>
      <c r="L251" t="s">
        <v>244</v>
      </c>
      <c r="M251" t="s">
        <v>70</v>
      </c>
      <c r="N251" s="1"/>
      <c r="S251" t="s">
        <v>71</v>
      </c>
      <c r="T251" s="1"/>
      <c r="U251" t="s">
        <v>70</v>
      </c>
      <c r="V251" t="s">
        <v>1472</v>
      </c>
      <c r="W251" t="s">
        <v>70</v>
      </c>
      <c r="X251" t="s">
        <v>70</v>
      </c>
      <c r="Y251" t="s">
        <v>70</v>
      </c>
      <c r="Z251" t="s">
        <v>70</v>
      </c>
      <c r="AA251" t="s">
        <v>70</v>
      </c>
      <c r="AB251" t="s">
        <v>70</v>
      </c>
      <c r="AC251">
        <v>2008</v>
      </c>
      <c r="AD251" s="1"/>
      <c r="AE251" t="s">
        <v>1473</v>
      </c>
      <c r="AF251" t="s">
        <v>1474</v>
      </c>
      <c r="AG251" t="s">
        <v>1475</v>
      </c>
      <c r="AH251" t="s">
        <v>93</v>
      </c>
      <c r="AI251" t="s">
        <v>84</v>
      </c>
      <c r="AJ251" t="s">
        <v>63</v>
      </c>
      <c r="AK251">
        <v>13</v>
      </c>
      <c r="AL251" t="s">
        <v>70</v>
      </c>
      <c r="AM251" t="s">
        <v>70</v>
      </c>
      <c r="AO251" t="s">
        <v>70</v>
      </c>
      <c r="AP251" t="b">
        <v>1</v>
      </c>
      <c r="AQ251" t="s">
        <v>79</v>
      </c>
      <c r="BA251" t="b">
        <v>0</v>
      </c>
    </row>
    <row r="252" spans="2:54" x14ac:dyDescent="0.2">
      <c r="B252" t="s">
        <v>1476</v>
      </c>
      <c r="C252" t="s">
        <v>1477</v>
      </c>
      <c r="E252">
        <v>4916</v>
      </c>
      <c r="F252" t="s">
        <v>1478</v>
      </c>
      <c r="H252" t="s">
        <v>60</v>
      </c>
      <c r="I252" t="s">
        <v>60</v>
      </c>
      <c r="J252" t="s">
        <v>336</v>
      </c>
      <c r="K252" t="s">
        <v>337</v>
      </c>
      <c r="L252" t="s">
        <v>60</v>
      </c>
      <c r="M252" t="s">
        <v>286</v>
      </c>
      <c r="N252" s="1"/>
      <c r="S252" t="s">
        <v>71</v>
      </c>
      <c r="T252" s="1"/>
      <c r="U252" t="s">
        <v>70</v>
      </c>
      <c r="V252" t="s">
        <v>1479</v>
      </c>
      <c r="W252" t="s">
        <v>1480</v>
      </c>
      <c r="X252" t="s">
        <v>70</v>
      </c>
      <c r="Y252" t="s">
        <v>70</v>
      </c>
      <c r="Z252" t="s">
        <v>70</v>
      </c>
      <c r="AA252" t="s">
        <v>70</v>
      </c>
      <c r="AB252" t="s">
        <v>70</v>
      </c>
      <c r="AD252" s="1"/>
      <c r="AE252" t="s">
        <v>1481</v>
      </c>
      <c r="AF252" t="s">
        <v>82</v>
      </c>
      <c r="AG252" t="s">
        <v>1482</v>
      </c>
      <c r="AH252" t="s">
        <v>115</v>
      </c>
      <c r="AI252" t="s">
        <v>77</v>
      </c>
      <c r="AJ252" t="s">
        <v>63</v>
      </c>
      <c r="AK252">
        <v>30</v>
      </c>
      <c r="AL252" t="s">
        <v>70</v>
      </c>
      <c r="AM252" t="s">
        <v>70</v>
      </c>
      <c r="AN252" t="s">
        <v>78</v>
      </c>
      <c r="AO252" t="s">
        <v>70</v>
      </c>
      <c r="AP252" t="b">
        <v>1</v>
      </c>
      <c r="AQ252" t="s">
        <v>79</v>
      </c>
      <c r="AR252" t="s">
        <v>1483</v>
      </c>
      <c r="BA252" t="b">
        <v>0</v>
      </c>
    </row>
    <row r="253" spans="2:54" x14ac:dyDescent="0.2">
      <c r="B253" t="s">
        <v>1484</v>
      </c>
      <c r="C253" t="s">
        <v>1485</v>
      </c>
      <c r="E253">
        <v>0</v>
      </c>
      <c r="H253" t="s">
        <v>60</v>
      </c>
      <c r="I253" t="s">
        <v>286</v>
      </c>
      <c r="J253" t="s">
        <v>243</v>
      </c>
      <c r="K253" t="s">
        <v>70</v>
      </c>
      <c r="L253" t="s">
        <v>286</v>
      </c>
      <c r="M253" t="s">
        <v>70</v>
      </c>
      <c r="N253" s="1"/>
      <c r="S253" t="s">
        <v>425</v>
      </c>
      <c r="T253" s="1"/>
      <c r="U253" t="s">
        <v>70</v>
      </c>
      <c r="V253" t="s">
        <v>1486</v>
      </c>
      <c r="W253" t="s">
        <v>70</v>
      </c>
      <c r="X253" t="s">
        <v>70</v>
      </c>
      <c r="Y253" t="s">
        <v>70</v>
      </c>
      <c r="Z253" t="s">
        <v>70</v>
      </c>
      <c r="AA253" t="s">
        <v>70</v>
      </c>
      <c r="AB253" t="s">
        <v>70</v>
      </c>
      <c r="AD253" s="1"/>
      <c r="AE253" t="s">
        <v>1487</v>
      </c>
      <c r="AF253" t="s">
        <v>398</v>
      </c>
      <c r="AG253" t="s">
        <v>1488</v>
      </c>
      <c r="AH253" t="s">
        <v>468</v>
      </c>
      <c r="AI253" t="s">
        <v>77</v>
      </c>
      <c r="AJ253" t="s">
        <v>70</v>
      </c>
      <c r="AK253">
        <v>0</v>
      </c>
      <c r="AL253" t="s">
        <v>70</v>
      </c>
      <c r="AM253" t="s">
        <v>70</v>
      </c>
      <c r="AN253" t="s">
        <v>78</v>
      </c>
      <c r="AO253" t="s">
        <v>70</v>
      </c>
      <c r="AP253" t="b">
        <v>1</v>
      </c>
      <c r="AQ253" t="s">
        <v>262</v>
      </c>
      <c r="BA253" t="b">
        <v>0</v>
      </c>
    </row>
    <row r="254" spans="2:54" x14ac:dyDescent="0.2">
      <c r="B254" t="s">
        <v>1489</v>
      </c>
      <c r="C254" t="s">
        <v>1490</v>
      </c>
      <c r="E254">
        <v>0</v>
      </c>
      <c r="H254" t="s">
        <v>60</v>
      </c>
      <c r="I254" t="s">
        <v>219</v>
      </c>
      <c r="K254" t="s">
        <v>70</v>
      </c>
      <c r="M254" t="s">
        <v>70</v>
      </c>
      <c r="N254" s="1"/>
      <c r="S254" t="s">
        <v>71</v>
      </c>
      <c r="T254" s="1"/>
      <c r="U254" t="s">
        <v>70</v>
      </c>
      <c r="V254" t="s">
        <v>70</v>
      </c>
      <c r="W254" t="s">
        <v>70</v>
      </c>
      <c r="X254" t="s">
        <v>70</v>
      </c>
      <c r="Y254" t="s">
        <v>70</v>
      </c>
      <c r="Z254" t="s">
        <v>70</v>
      </c>
      <c r="AA254" t="s">
        <v>70</v>
      </c>
      <c r="AB254" t="s">
        <v>70</v>
      </c>
      <c r="AD254" s="1"/>
      <c r="AE254" t="s">
        <v>70</v>
      </c>
      <c r="AF254" t="s">
        <v>70</v>
      </c>
      <c r="AG254" t="s">
        <v>78</v>
      </c>
      <c r="AH254" t="s">
        <v>149</v>
      </c>
      <c r="AI254" t="s">
        <v>128</v>
      </c>
      <c r="AJ254" t="s">
        <v>63</v>
      </c>
      <c r="AL254" t="s">
        <v>70</v>
      </c>
      <c r="AM254" t="s">
        <v>70</v>
      </c>
      <c r="AN254" t="s">
        <v>78</v>
      </c>
      <c r="AO254" t="s">
        <v>70</v>
      </c>
      <c r="AP254" t="b">
        <v>0</v>
      </c>
      <c r="AQ254" t="s">
        <v>79</v>
      </c>
      <c r="BA254" t="b">
        <v>0</v>
      </c>
    </row>
    <row r="255" spans="2:54" x14ac:dyDescent="0.2">
      <c r="B255" t="s">
        <v>1491</v>
      </c>
      <c r="C255" t="s">
        <v>1492</v>
      </c>
      <c r="E255">
        <v>1340</v>
      </c>
      <c r="H255" t="s">
        <v>60</v>
      </c>
      <c r="I255" t="s">
        <v>338</v>
      </c>
      <c r="J255" t="s">
        <v>220</v>
      </c>
      <c r="K255" t="s">
        <v>243</v>
      </c>
      <c r="L255" t="s">
        <v>338</v>
      </c>
      <c r="M255" t="s">
        <v>70</v>
      </c>
      <c r="N255" s="1"/>
      <c r="S255" t="s">
        <v>71</v>
      </c>
      <c r="T255" s="1">
        <v>39760</v>
      </c>
      <c r="U255" t="s">
        <v>1493</v>
      </c>
      <c r="V255" t="s">
        <v>1494</v>
      </c>
      <c r="W255" t="s">
        <v>1495</v>
      </c>
      <c r="X255" t="s">
        <v>70</v>
      </c>
      <c r="Y255" t="s">
        <v>70</v>
      </c>
      <c r="Z255" t="s">
        <v>70</v>
      </c>
      <c r="AA255" t="s">
        <v>70</v>
      </c>
      <c r="AB255" t="s">
        <v>70</v>
      </c>
      <c r="AC255">
        <v>2008</v>
      </c>
      <c r="AD255" s="1"/>
      <c r="AE255" t="s">
        <v>1496</v>
      </c>
      <c r="AF255" t="s">
        <v>1497</v>
      </c>
      <c r="AG255" t="s">
        <v>1498</v>
      </c>
      <c r="AH255" t="s">
        <v>102</v>
      </c>
      <c r="AI255" t="s">
        <v>108</v>
      </c>
      <c r="AJ255" t="s">
        <v>70</v>
      </c>
      <c r="AK255">
        <v>0</v>
      </c>
      <c r="AL255" t="s">
        <v>70</v>
      </c>
      <c r="AM255" t="s">
        <v>70</v>
      </c>
      <c r="AN255" t="s">
        <v>78</v>
      </c>
      <c r="AO255" t="s">
        <v>70</v>
      </c>
      <c r="AP255" t="b">
        <v>1</v>
      </c>
      <c r="AQ255" t="s">
        <v>79</v>
      </c>
      <c r="BA255" t="b">
        <v>0</v>
      </c>
    </row>
    <row r="256" spans="2:54" x14ac:dyDescent="0.2">
      <c r="B256" t="s">
        <v>1499</v>
      </c>
      <c r="C256" t="s">
        <v>1500</v>
      </c>
      <c r="E256">
        <v>0</v>
      </c>
      <c r="F256" t="s">
        <v>67</v>
      </c>
      <c r="H256" t="s">
        <v>60</v>
      </c>
      <c r="I256" t="s">
        <v>336</v>
      </c>
      <c r="J256" t="s">
        <v>118</v>
      </c>
      <c r="K256" t="s">
        <v>70</v>
      </c>
      <c r="L256" t="s">
        <v>68</v>
      </c>
      <c r="M256" t="s">
        <v>60</v>
      </c>
      <c r="N256" s="1">
        <v>38718</v>
      </c>
      <c r="S256" t="s">
        <v>71</v>
      </c>
      <c r="T256" s="1"/>
      <c r="U256" t="s">
        <v>70</v>
      </c>
      <c r="V256" t="s">
        <v>70</v>
      </c>
      <c r="W256" t="s">
        <v>70</v>
      </c>
      <c r="X256" t="s">
        <v>70</v>
      </c>
      <c r="Y256" t="s">
        <v>70</v>
      </c>
      <c r="Z256" t="s">
        <v>70</v>
      </c>
      <c r="AA256" t="s">
        <v>70</v>
      </c>
      <c r="AB256" t="s">
        <v>70</v>
      </c>
      <c r="AD256" s="1"/>
      <c r="AF256" t="s">
        <v>82</v>
      </c>
      <c r="AH256" t="s">
        <v>93</v>
      </c>
      <c r="AI256" t="s">
        <v>84</v>
      </c>
      <c r="AJ256" t="s">
        <v>63</v>
      </c>
      <c r="AP256" t="b">
        <v>0</v>
      </c>
      <c r="AQ256" t="s">
        <v>79</v>
      </c>
      <c r="BA256" t="b">
        <v>0</v>
      </c>
    </row>
    <row r="257" spans="2:54" x14ac:dyDescent="0.2">
      <c r="B257" t="s">
        <v>1502</v>
      </c>
      <c r="C257" t="s">
        <v>1503</v>
      </c>
      <c r="E257">
        <v>8100</v>
      </c>
      <c r="F257" t="s">
        <v>1504</v>
      </c>
      <c r="H257" t="s">
        <v>60</v>
      </c>
      <c r="I257" t="s">
        <v>60</v>
      </c>
      <c r="J257" t="s">
        <v>366</v>
      </c>
      <c r="K257" t="s">
        <v>1505</v>
      </c>
      <c r="L257" t="s">
        <v>57</v>
      </c>
      <c r="M257" t="s">
        <v>1506</v>
      </c>
      <c r="N257" s="1">
        <v>39147</v>
      </c>
      <c r="S257" t="s">
        <v>367</v>
      </c>
      <c r="T257" s="1">
        <v>40235</v>
      </c>
      <c r="U257" t="s">
        <v>985</v>
      </c>
      <c r="V257" t="s">
        <v>2838</v>
      </c>
      <c r="W257" t="s">
        <v>1507</v>
      </c>
      <c r="X257" t="s">
        <v>2839</v>
      </c>
      <c r="Y257" t="s">
        <v>2840</v>
      </c>
      <c r="Z257" t="s">
        <v>2841</v>
      </c>
      <c r="AA257" t="s">
        <v>2842</v>
      </c>
      <c r="AB257" t="s">
        <v>2664</v>
      </c>
      <c r="AD257" s="1"/>
      <c r="AE257" t="s">
        <v>1508</v>
      </c>
      <c r="AF257" t="s">
        <v>293</v>
      </c>
      <c r="AG257" t="s">
        <v>1509</v>
      </c>
      <c r="AH257" t="s">
        <v>295</v>
      </c>
      <c r="AI257" t="s">
        <v>84</v>
      </c>
      <c r="AJ257" t="s">
        <v>1510</v>
      </c>
      <c r="AK257">
        <v>1423</v>
      </c>
      <c r="AL257" t="s">
        <v>70</v>
      </c>
      <c r="AM257" t="s">
        <v>70</v>
      </c>
      <c r="AN257" t="s">
        <v>1511</v>
      </c>
      <c r="AO257" t="s">
        <v>1512</v>
      </c>
      <c r="AP257" t="b">
        <v>1</v>
      </c>
      <c r="AQ257" t="s">
        <v>79</v>
      </c>
      <c r="AR257" t="s">
        <v>1513</v>
      </c>
      <c r="AU257" t="s">
        <v>1514</v>
      </c>
      <c r="AV257" t="s">
        <v>1515</v>
      </c>
      <c r="AW257" t="s">
        <v>1516</v>
      </c>
      <c r="AX257" t="s">
        <v>1517</v>
      </c>
      <c r="AY257" t="s">
        <v>1518</v>
      </c>
      <c r="AZ257" t="s">
        <v>1519</v>
      </c>
      <c r="BA257" t="b">
        <v>1</v>
      </c>
    </row>
    <row r="258" spans="2:54" x14ac:dyDescent="0.2">
      <c r="B258" t="s">
        <v>1520</v>
      </c>
      <c r="C258" t="s">
        <v>1521</v>
      </c>
      <c r="E258">
        <v>4645</v>
      </c>
      <c r="F258" t="s">
        <v>1522</v>
      </c>
      <c r="H258" t="s">
        <v>60</v>
      </c>
      <c r="I258" t="s">
        <v>219</v>
      </c>
      <c r="J258" t="s">
        <v>337</v>
      </c>
      <c r="K258" t="s">
        <v>70</v>
      </c>
      <c r="L258" t="s">
        <v>219</v>
      </c>
      <c r="M258" t="s">
        <v>70</v>
      </c>
      <c r="N258" s="1">
        <v>39478</v>
      </c>
      <c r="S258" t="s">
        <v>71</v>
      </c>
      <c r="T258" s="1"/>
      <c r="U258" t="s">
        <v>70</v>
      </c>
      <c r="V258" t="s">
        <v>1523</v>
      </c>
      <c r="W258" t="s">
        <v>1524</v>
      </c>
      <c r="X258" t="s">
        <v>1525</v>
      </c>
      <c r="Y258" t="s">
        <v>70</v>
      </c>
      <c r="Z258" t="s">
        <v>70</v>
      </c>
      <c r="AA258" t="s">
        <v>70</v>
      </c>
      <c r="AB258" t="s">
        <v>70</v>
      </c>
      <c r="AC258">
        <v>2010</v>
      </c>
      <c r="AD258" s="1">
        <v>40292</v>
      </c>
      <c r="AE258" t="s">
        <v>1526</v>
      </c>
      <c r="AF258" t="s">
        <v>259</v>
      </c>
      <c r="AG258" t="s">
        <v>1527</v>
      </c>
      <c r="AH258" t="s">
        <v>83</v>
      </c>
      <c r="AI258" t="s">
        <v>77</v>
      </c>
      <c r="AJ258" t="s">
        <v>1528</v>
      </c>
      <c r="AK258">
        <v>750</v>
      </c>
      <c r="AL258" t="s">
        <v>70</v>
      </c>
      <c r="AM258" t="s">
        <v>70</v>
      </c>
      <c r="AN258" t="s">
        <v>78</v>
      </c>
      <c r="AO258" t="s">
        <v>1529</v>
      </c>
      <c r="AP258" t="b">
        <v>1</v>
      </c>
      <c r="AQ258" t="s">
        <v>262</v>
      </c>
      <c r="AR258" t="s">
        <v>1530</v>
      </c>
      <c r="BA258" t="b">
        <v>1</v>
      </c>
    </row>
    <row r="259" spans="2:54" x14ac:dyDescent="0.2">
      <c r="B259" t="s">
        <v>1531</v>
      </c>
      <c r="C259" t="s">
        <v>1532</v>
      </c>
      <c r="E259">
        <v>11289</v>
      </c>
      <c r="F259" t="s">
        <v>1533</v>
      </c>
      <c r="H259" t="s">
        <v>88</v>
      </c>
      <c r="I259" t="s">
        <v>88</v>
      </c>
      <c r="J259" t="s">
        <v>58</v>
      </c>
      <c r="K259" t="s">
        <v>70</v>
      </c>
      <c r="L259" t="s">
        <v>244</v>
      </c>
      <c r="M259" t="s">
        <v>1506</v>
      </c>
      <c r="N259" s="1">
        <v>39192</v>
      </c>
      <c r="S259" t="s">
        <v>367</v>
      </c>
      <c r="T259" s="1"/>
      <c r="U259" t="s">
        <v>3023</v>
      </c>
      <c r="V259" t="s">
        <v>2843</v>
      </c>
      <c r="W259" t="s">
        <v>1534</v>
      </c>
      <c r="X259" t="s">
        <v>2844</v>
      </c>
      <c r="Y259" t="s">
        <v>1535</v>
      </c>
      <c r="Z259" t="s">
        <v>70</v>
      </c>
      <c r="AA259" t="s">
        <v>70</v>
      </c>
      <c r="AB259" t="s">
        <v>70</v>
      </c>
      <c r="AC259">
        <v>2016</v>
      </c>
      <c r="AD259" s="1">
        <v>42487</v>
      </c>
      <c r="AE259" t="s">
        <v>1536</v>
      </c>
      <c r="AF259" t="s">
        <v>1537</v>
      </c>
      <c r="AG259" t="s">
        <v>1538</v>
      </c>
      <c r="AH259" t="s">
        <v>1539</v>
      </c>
      <c r="AI259" t="s">
        <v>84</v>
      </c>
      <c r="AJ259" t="s">
        <v>63</v>
      </c>
      <c r="AL259" t="s">
        <v>70</v>
      </c>
      <c r="AM259" t="s">
        <v>70</v>
      </c>
      <c r="AN259" t="s">
        <v>1540</v>
      </c>
      <c r="AO259" t="s">
        <v>1541</v>
      </c>
      <c r="AP259" t="b">
        <v>1</v>
      </c>
      <c r="AQ259" t="s">
        <v>79</v>
      </c>
      <c r="AR259" t="s">
        <v>1542</v>
      </c>
      <c r="AV259" t="s">
        <v>1543</v>
      </c>
      <c r="AW259" t="s">
        <v>1544</v>
      </c>
      <c r="AX259" t="s">
        <v>1545</v>
      </c>
      <c r="AY259" t="s">
        <v>1546</v>
      </c>
      <c r="BA259" t="b">
        <v>1</v>
      </c>
    </row>
    <row r="260" spans="2:54" x14ac:dyDescent="0.2">
      <c r="B260" t="s">
        <v>1547</v>
      </c>
      <c r="C260" t="s">
        <v>1548</v>
      </c>
      <c r="H260" t="s">
        <v>88</v>
      </c>
      <c r="I260" t="s">
        <v>60</v>
      </c>
      <c r="J260" t="s">
        <v>154</v>
      </c>
      <c r="K260" t="s">
        <v>70</v>
      </c>
      <c r="L260" t="s">
        <v>286</v>
      </c>
      <c r="M260" t="s">
        <v>70</v>
      </c>
      <c r="N260" s="1"/>
      <c r="S260" t="s">
        <v>71</v>
      </c>
      <c r="T260" s="1"/>
      <c r="U260" t="s">
        <v>70</v>
      </c>
      <c r="V260" t="s">
        <v>70</v>
      </c>
      <c r="W260" t="s">
        <v>70</v>
      </c>
      <c r="X260" t="s">
        <v>70</v>
      </c>
      <c r="Y260" t="s">
        <v>70</v>
      </c>
      <c r="Z260" t="s">
        <v>70</v>
      </c>
      <c r="AA260" t="s">
        <v>70</v>
      </c>
      <c r="AB260" t="s">
        <v>70</v>
      </c>
      <c r="AD260" s="1"/>
      <c r="AE260" t="s">
        <v>70</v>
      </c>
      <c r="AF260" t="s">
        <v>120</v>
      </c>
      <c r="AG260" t="s">
        <v>78</v>
      </c>
      <c r="AH260" t="s">
        <v>76</v>
      </c>
      <c r="AI260" t="s">
        <v>128</v>
      </c>
      <c r="AJ260" t="s">
        <v>63</v>
      </c>
      <c r="AL260" t="s">
        <v>70</v>
      </c>
      <c r="AM260" t="s">
        <v>70</v>
      </c>
      <c r="AN260" t="s">
        <v>78</v>
      </c>
      <c r="AO260" t="s">
        <v>70</v>
      </c>
      <c r="AP260" t="b">
        <v>1</v>
      </c>
      <c r="AQ260" t="s">
        <v>104</v>
      </c>
      <c r="BA260" t="b">
        <v>0</v>
      </c>
    </row>
    <row r="261" spans="2:54" x14ac:dyDescent="0.2">
      <c r="B261" t="s">
        <v>1549</v>
      </c>
      <c r="C261" t="s">
        <v>1550</v>
      </c>
      <c r="E261">
        <v>5000</v>
      </c>
      <c r="H261" t="s">
        <v>60</v>
      </c>
      <c r="I261" t="s">
        <v>60</v>
      </c>
      <c r="J261" t="s">
        <v>243</v>
      </c>
      <c r="K261" t="s">
        <v>69</v>
      </c>
      <c r="L261" t="s">
        <v>60</v>
      </c>
      <c r="M261" t="s">
        <v>244</v>
      </c>
      <c r="N261" s="1"/>
      <c r="S261" t="s">
        <v>125</v>
      </c>
      <c r="T261" s="1"/>
      <c r="U261" t="s">
        <v>70</v>
      </c>
      <c r="V261" t="s">
        <v>1551</v>
      </c>
      <c r="W261" t="s">
        <v>70</v>
      </c>
      <c r="X261" t="s">
        <v>70</v>
      </c>
      <c r="Y261" t="s">
        <v>70</v>
      </c>
      <c r="Z261" t="s">
        <v>70</v>
      </c>
      <c r="AA261" t="s">
        <v>70</v>
      </c>
      <c r="AB261" t="s">
        <v>70</v>
      </c>
      <c r="AD261" s="1"/>
      <c r="AE261" t="s">
        <v>605</v>
      </c>
      <c r="AF261" t="s">
        <v>120</v>
      </c>
      <c r="AG261" t="s">
        <v>1552</v>
      </c>
      <c r="AH261" t="s">
        <v>102</v>
      </c>
      <c r="AI261" t="s">
        <v>84</v>
      </c>
      <c r="AJ261" t="s">
        <v>63</v>
      </c>
      <c r="AL261" t="s">
        <v>70</v>
      </c>
      <c r="AM261" t="s">
        <v>70</v>
      </c>
      <c r="AN261" t="s">
        <v>78</v>
      </c>
      <c r="AO261" t="s">
        <v>70</v>
      </c>
      <c r="AP261" t="b">
        <v>1</v>
      </c>
      <c r="AQ261" t="s">
        <v>262</v>
      </c>
      <c r="BA261" t="b">
        <v>0</v>
      </c>
    </row>
    <row r="262" spans="2:54" x14ac:dyDescent="0.2">
      <c r="B262" t="s">
        <v>1553</v>
      </c>
      <c r="C262" t="s">
        <v>1554</v>
      </c>
      <c r="E262">
        <v>0</v>
      </c>
      <c r="H262" t="s">
        <v>60</v>
      </c>
      <c r="I262" t="s">
        <v>60</v>
      </c>
      <c r="J262" t="s">
        <v>336</v>
      </c>
      <c r="K262" t="s">
        <v>70</v>
      </c>
      <c r="L262" t="s">
        <v>286</v>
      </c>
      <c r="M262" t="s">
        <v>70</v>
      </c>
      <c r="N262" s="1"/>
      <c r="S262" t="s">
        <v>71</v>
      </c>
      <c r="T262" s="1"/>
      <c r="U262" t="s">
        <v>70</v>
      </c>
      <c r="V262" t="s">
        <v>70</v>
      </c>
      <c r="W262" t="s">
        <v>70</v>
      </c>
      <c r="X262" t="s">
        <v>70</v>
      </c>
      <c r="Y262" t="s">
        <v>70</v>
      </c>
      <c r="Z262" t="s">
        <v>70</v>
      </c>
      <c r="AA262" t="s">
        <v>70</v>
      </c>
      <c r="AB262" t="s">
        <v>70</v>
      </c>
      <c r="AD262" s="1"/>
      <c r="AE262" t="s">
        <v>70</v>
      </c>
      <c r="AF262" t="s">
        <v>398</v>
      </c>
      <c r="AG262" t="s">
        <v>78</v>
      </c>
      <c r="AH262" t="s">
        <v>102</v>
      </c>
      <c r="AI262" t="s">
        <v>84</v>
      </c>
      <c r="AJ262" t="s">
        <v>63</v>
      </c>
      <c r="AL262" t="s">
        <v>70</v>
      </c>
      <c r="AM262" t="s">
        <v>70</v>
      </c>
      <c r="AO262" t="s">
        <v>70</v>
      </c>
      <c r="AP262" t="b">
        <v>1</v>
      </c>
      <c r="AQ262" t="s">
        <v>79</v>
      </c>
      <c r="BA262" t="b">
        <v>0</v>
      </c>
    </row>
    <row r="263" spans="2:54" x14ac:dyDescent="0.2">
      <c r="B263" t="s">
        <v>1555</v>
      </c>
      <c r="C263" t="s">
        <v>1556</v>
      </c>
      <c r="E263">
        <v>3200</v>
      </c>
      <c r="F263" t="s">
        <v>1557</v>
      </c>
      <c r="H263" t="s">
        <v>60</v>
      </c>
      <c r="I263" t="s">
        <v>60</v>
      </c>
      <c r="K263" t="s">
        <v>70</v>
      </c>
      <c r="L263" t="s">
        <v>70</v>
      </c>
      <c r="M263" t="s">
        <v>70</v>
      </c>
      <c r="N263" s="1"/>
      <c r="S263" t="s">
        <v>71</v>
      </c>
      <c r="T263" s="1"/>
      <c r="U263" t="s">
        <v>70</v>
      </c>
      <c r="V263" t="s">
        <v>1558</v>
      </c>
      <c r="W263" t="s">
        <v>70</v>
      </c>
      <c r="X263" t="s">
        <v>70</v>
      </c>
      <c r="Y263" t="s">
        <v>70</v>
      </c>
      <c r="Z263" t="s">
        <v>70</v>
      </c>
      <c r="AA263" t="s">
        <v>70</v>
      </c>
      <c r="AB263" t="s">
        <v>70</v>
      </c>
      <c r="AC263">
        <v>2008</v>
      </c>
      <c r="AD263" s="1"/>
      <c r="AE263" t="s">
        <v>1559</v>
      </c>
      <c r="AF263" t="s">
        <v>1453</v>
      </c>
      <c r="AG263" t="s">
        <v>1560</v>
      </c>
      <c r="AH263" t="s">
        <v>1455</v>
      </c>
      <c r="AI263" t="s">
        <v>84</v>
      </c>
      <c r="AJ263" t="s">
        <v>1561</v>
      </c>
      <c r="AL263" t="s">
        <v>70</v>
      </c>
      <c r="AM263" t="s">
        <v>1562</v>
      </c>
      <c r="AN263" t="s">
        <v>78</v>
      </c>
      <c r="AO263" t="s">
        <v>70</v>
      </c>
      <c r="AP263" t="b">
        <v>1</v>
      </c>
      <c r="AQ263" t="s">
        <v>1563</v>
      </c>
      <c r="BA263" t="b">
        <v>0</v>
      </c>
    </row>
    <row r="264" spans="2:54" x14ac:dyDescent="0.2">
      <c r="B264" t="s">
        <v>1564</v>
      </c>
      <c r="C264" t="s">
        <v>1565</v>
      </c>
      <c r="E264">
        <v>0</v>
      </c>
      <c r="H264" t="s">
        <v>60</v>
      </c>
      <c r="I264" t="s">
        <v>219</v>
      </c>
      <c r="J264" t="s">
        <v>70</v>
      </c>
      <c r="K264" t="s">
        <v>70</v>
      </c>
      <c r="L264" t="s">
        <v>219</v>
      </c>
      <c r="M264" t="s">
        <v>288</v>
      </c>
      <c r="N264" s="1"/>
      <c r="S264" t="s">
        <v>71</v>
      </c>
      <c r="T264" s="1"/>
      <c r="U264" t="s">
        <v>70</v>
      </c>
      <c r="V264" t="s">
        <v>1566</v>
      </c>
      <c r="W264" t="s">
        <v>1567</v>
      </c>
      <c r="X264" t="s">
        <v>70</v>
      </c>
      <c r="Y264" t="s">
        <v>70</v>
      </c>
      <c r="Z264" t="s">
        <v>70</v>
      </c>
      <c r="AA264" t="s">
        <v>70</v>
      </c>
      <c r="AB264" t="s">
        <v>70</v>
      </c>
      <c r="AD264" s="1"/>
      <c r="AE264" t="s">
        <v>1568</v>
      </c>
      <c r="AF264" t="s">
        <v>82</v>
      </c>
      <c r="AG264" t="s">
        <v>1569</v>
      </c>
      <c r="AH264" t="s">
        <v>149</v>
      </c>
      <c r="AI264" t="s">
        <v>128</v>
      </c>
      <c r="AJ264" t="s">
        <v>63</v>
      </c>
      <c r="AL264" t="s">
        <v>70</v>
      </c>
      <c r="AM264" t="s">
        <v>70</v>
      </c>
      <c r="AN264" t="s">
        <v>78</v>
      </c>
      <c r="AO264" t="s">
        <v>70</v>
      </c>
      <c r="AP264" t="b">
        <v>0</v>
      </c>
      <c r="AQ264" t="s">
        <v>79</v>
      </c>
      <c r="BA264" t="b">
        <v>0</v>
      </c>
    </row>
    <row r="265" spans="2:54" x14ac:dyDescent="0.2">
      <c r="B265" t="s">
        <v>1570</v>
      </c>
      <c r="C265" t="s">
        <v>1571</v>
      </c>
      <c r="F265" t="s">
        <v>1572</v>
      </c>
      <c r="H265" t="s">
        <v>60</v>
      </c>
      <c r="I265" t="s">
        <v>60</v>
      </c>
      <c r="J265" t="s">
        <v>220</v>
      </c>
      <c r="K265" t="s">
        <v>336</v>
      </c>
      <c r="L265" t="s">
        <v>60</v>
      </c>
      <c r="M265" t="s">
        <v>286</v>
      </c>
      <c r="N265" s="1"/>
      <c r="S265" t="s">
        <v>71</v>
      </c>
      <c r="T265" s="1"/>
      <c r="U265" t="s">
        <v>70</v>
      </c>
      <c r="V265" t="s">
        <v>1573</v>
      </c>
      <c r="W265" t="s">
        <v>70</v>
      </c>
      <c r="X265" t="s">
        <v>70</v>
      </c>
      <c r="Y265" t="s">
        <v>70</v>
      </c>
      <c r="Z265" t="s">
        <v>70</v>
      </c>
      <c r="AA265" t="s">
        <v>70</v>
      </c>
      <c r="AB265" t="s">
        <v>70</v>
      </c>
      <c r="AD265" s="1"/>
      <c r="AE265" t="s">
        <v>1452</v>
      </c>
      <c r="AF265" t="s">
        <v>1452</v>
      </c>
      <c r="AG265" t="s">
        <v>1574</v>
      </c>
      <c r="AH265" t="s">
        <v>901</v>
      </c>
      <c r="AI265" t="s">
        <v>128</v>
      </c>
      <c r="AJ265" t="s">
        <v>63</v>
      </c>
      <c r="AL265" t="s">
        <v>70</v>
      </c>
      <c r="AM265" t="s">
        <v>70</v>
      </c>
      <c r="AN265" t="s">
        <v>78</v>
      </c>
      <c r="AO265" t="s">
        <v>70</v>
      </c>
      <c r="AP265" t="b">
        <v>0</v>
      </c>
      <c r="AQ265" t="s">
        <v>79</v>
      </c>
      <c r="BA265" t="b">
        <v>0</v>
      </c>
    </row>
    <row r="266" spans="2:54" x14ac:dyDescent="0.2">
      <c r="B266" t="s">
        <v>1575</v>
      </c>
      <c r="C266" t="s">
        <v>1576</v>
      </c>
      <c r="E266">
        <v>5700</v>
      </c>
      <c r="H266" t="s">
        <v>60</v>
      </c>
      <c r="I266" t="s">
        <v>244</v>
      </c>
      <c r="J266" t="s">
        <v>243</v>
      </c>
      <c r="K266" t="s">
        <v>70</v>
      </c>
      <c r="L266" t="s">
        <v>60</v>
      </c>
      <c r="M266" t="s">
        <v>70</v>
      </c>
      <c r="N266" s="1"/>
      <c r="S266" t="s">
        <v>1153</v>
      </c>
      <c r="T266" s="1"/>
      <c r="U266" t="s">
        <v>70</v>
      </c>
      <c r="V266" t="s">
        <v>1577</v>
      </c>
      <c r="W266" t="s">
        <v>1578</v>
      </c>
      <c r="X266" t="s">
        <v>70</v>
      </c>
      <c r="Y266" t="s">
        <v>70</v>
      </c>
      <c r="Z266" t="s">
        <v>70</v>
      </c>
      <c r="AA266" t="s">
        <v>70</v>
      </c>
      <c r="AB266" t="s">
        <v>70</v>
      </c>
      <c r="AD266" s="1"/>
      <c r="AE266" t="s">
        <v>70</v>
      </c>
      <c r="AF266" t="s">
        <v>267</v>
      </c>
      <c r="AG266" t="s">
        <v>78</v>
      </c>
      <c r="AH266" t="s">
        <v>102</v>
      </c>
      <c r="AI266" t="s">
        <v>128</v>
      </c>
      <c r="AJ266" t="s">
        <v>63</v>
      </c>
      <c r="AL266" t="s">
        <v>70</v>
      </c>
      <c r="AM266" t="s">
        <v>70</v>
      </c>
      <c r="AO266" t="s">
        <v>70</v>
      </c>
      <c r="AP266" t="b">
        <v>0</v>
      </c>
      <c r="AQ266" t="s">
        <v>79</v>
      </c>
      <c r="BA266" t="b">
        <v>0</v>
      </c>
    </row>
    <row r="267" spans="2:54" x14ac:dyDescent="0.2">
      <c r="B267" t="s">
        <v>1579</v>
      </c>
      <c r="C267" t="s">
        <v>1580</v>
      </c>
      <c r="E267">
        <v>2677</v>
      </c>
      <c r="F267" t="s">
        <v>1581</v>
      </c>
      <c r="G267" t="s">
        <v>1582</v>
      </c>
      <c r="H267" t="s">
        <v>60</v>
      </c>
      <c r="I267" t="s">
        <v>220</v>
      </c>
      <c r="J267" t="s">
        <v>220</v>
      </c>
      <c r="K267" t="s">
        <v>70</v>
      </c>
      <c r="L267" t="s">
        <v>448</v>
      </c>
      <c r="M267" t="s">
        <v>70</v>
      </c>
      <c r="N267" s="1"/>
      <c r="S267" t="s">
        <v>71</v>
      </c>
      <c r="T267" s="1"/>
      <c r="U267" t="s">
        <v>70</v>
      </c>
      <c r="V267" t="s">
        <v>1583</v>
      </c>
      <c r="W267" t="s">
        <v>1584</v>
      </c>
      <c r="X267" t="s">
        <v>1585</v>
      </c>
      <c r="Y267" t="s">
        <v>1586</v>
      </c>
      <c r="Z267" t="s">
        <v>1587</v>
      </c>
      <c r="AA267" t="s">
        <v>2845</v>
      </c>
      <c r="AB267" t="s">
        <v>2846</v>
      </c>
      <c r="AD267" s="1"/>
      <c r="AE267" t="s">
        <v>1588</v>
      </c>
      <c r="AF267" t="s">
        <v>1589</v>
      </c>
      <c r="AG267" t="s">
        <v>1590</v>
      </c>
      <c r="AH267" t="s">
        <v>901</v>
      </c>
      <c r="AI267" t="s">
        <v>77</v>
      </c>
      <c r="AJ267" t="s">
        <v>70</v>
      </c>
      <c r="AK267">
        <v>480</v>
      </c>
      <c r="AL267" t="s">
        <v>70</v>
      </c>
      <c r="AM267" t="s">
        <v>70</v>
      </c>
      <c r="AN267" t="s">
        <v>1591</v>
      </c>
      <c r="AO267" t="s">
        <v>378</v>
      </c>
      <c r="AP267" t="b">
        <v>1</v>
      </c>
      <c r="AQ267" t="s">
        <v>79</v>
      </c>
      <c r="AR267" t="s">
        <v>177</v>
      </c>
      <c r="AS267" t="s">
        <v>379</v>
      </c>
      <c r="AT267" t="s">
        <v>1592</v>
      </c>
      <c r="AY267" t="s">
        <v>1593</v>
      </c>
      <c r="BA267" t="b">
        <v>0</v>
      </c>
      <c r="BB267" t="s">
        <v>1594</v>
      </c>
    </row>
    <row r="268" spans="2:54" x14ac:dyDescent="0.2">
      <c r="B268" t="s">
        <v>1595</v>
      </c>
      <c r="C268" t="s">
        <v>1596</v>
      </c>
      <c r="E268">
        <v>1590</v>
      </c>
      <c r="F268" t="s">
        <v>198</v>
      </c>
      <c r="H268" t="s">
        <v>88</v>
      </c>
      <c r="I268" t="s">
        <v>68</v>
      </c>
      <c r="J268" t="s">
        <v>220</v>
      </c>
      <c r="K268" t="s">
        <v>70</v>
      </c>
      <c r="L268" t="s">
        <v>68</v>
      </c>
      <c r="N268" s="1"/>
      <c r="S268" t="s">
        <v>425</v>
      </c>
      <c r="T268" s="1"/>
      <c r="U268" t="s">
        <v>70</v>
      </c>
      <c r="V268" t="s">
        <v>1597</v>
      </c>
      <c r="W268" t="s">
        <v>1598</v>
      </c>
      <c r="X268" t="s">
        <v>1599</v>
      </c>
      <c r="Y268" t="s">
        <v>70</v>
      </c>
      <c r="Z268" t="s">
        <v>70</v>
      </c>
      <c r="AA268" t="s">
        <v>70</v>
      </c>
      <c r="AB268" t="s">
        <v>70</v>
      </c>
      <c r="AD268" s="1"/>
      <c r="AE268" t="s">
        <v>1600</v>
      </c>
      <c r="AF268" t="s">
        <v>1601</v>
      </c>
      <c r="AG268" t="s">
        <v>1602</v>
      </c>
      <c r="AH268" t="s">
        <v>750</v>
      </c>
      <c r="AI268" t="s">
        <v>108</v>
      </c>
      <c r="AJ268" t="s">
        <v>63</v>
      </c>
      <c r="AK268">
        <v>90</v>
      </c>
      <c r="AL268" t="s">
        <v>70</v>
      </c>
      <c r="AM268" t="s">
        <v>70</v>
      </c>
      <c r="AN268" t="s">
        <v>78</v>
      </c>
      <c r="AO268" t="s">
        <v>70</v>
      </c>
      <c r="AP268" t="b">
        <v>1</v>
      </c>
      <c r="AQ268" t="s">
        <v>79</v>
      </c>
      <c r="BA268" t="b">
        <v>0</v>
      </c>
    </row>
    <row r="269" spans="2:54" x14ac:dyDescent="0.2">
      <c r="B269" t="s">
        <v>1603</v>
      </c>
      <c r="C269" t="s">
        <v>1604</v>
      </c>
      <c r="E269">
        <v>2836</v>
      </c>
      <c r="F269" t="s">
        <v>1605</v>
      </c>
      <c r="H269" t="s">
        <v>60</v>
      </c>
      <c r="I269" t="s">
        <v>448</v>
      </c>
      <c r="J269" t="s">
        <v>220</v>
      </c>
      <c r="K269" t="s">
        <v>70</v>
      </c>
      <c r="L269" t="s">
        <v>448</v>
      </c>
      <c r="M269" t="s">
        <v>70</v>
      </c>
      <c r="N269" s="1"/>
      <c r="S269" t="s">
        <v>71</v>
      </c>
      <c r="T269" s="1"/>
      <c r="U269" t="s">
        <v>70</v>
      </c>
      <c r="V269" t="s">
        <v>1606</v>
      </c>
      <c r="W269" t="s">
        <v>1607</v>
      </c>
      <c r="X269" t="s">
        <v>1608</v>
      </c>
      <c r="Y269" t="s">
        <v>1609</v>
      </c>
      <c r="Z269" t="s">
        <v>1610</v>
      </c>
      <c r="AA269" t="s">
        <v>1611</v>
      </c>
      <c r="AB269" t="s">
        <v>1612</v>
      </c>
      <c r="AD269" s="1"/>
      <c r="AE269" t="s">
        <v>1613</v>
      </c>
      <c r="AF269" t="s">
        <v>1614</v>
      </c>
      <c r="AG269" t="s">
        <v>1615</v>
      </c>
      <c r="AH269" t="s">
        <v>901</v>
      </c>
      <c r="AI269" t="s">
        <v>77</v>
      </c>
      <c r="AJ269" t="s">
        <v>1616</v>
      </c>
      <c r="AK269">
        <v>480</v>
      </c>
      <c r="AL269" t="s">
        <v>70</v>
      </c>
      <c r="AM269" t="s">
        <v>70</v>
      </c>
      <c r="AN269" t="s">
        <v>1617</v>
      </c>
      <c r="AO269" t="s">
        <v>378</v>
      </c>
      <c r="AP269" t="b">
        <v>1</v>
      </c>
      <c r="AQ269" t="s">
        <v>79</v>
      </c>
      <c r="AR269" t="s">
        <v>177</v>
      </c>
      <c r="BA269" t="b">
        <v>0</v>
      </c>
      <c r="BB269" t="s">
        <v>1618</v>
      </c>
    </row>
    <row r="270" spans="2:54" x14ac:dyDescent="0.2">
      <c r="B270" t="s">
        <v>1619</v>
      </c>
      <c r="C270" t="s">
        <v>1620</v>
      </c>
      <c r="E270">
        <v>23000</v>
      </c>
      <c r="F270" t="s">
        <v>1621</v>
      </c>
      <c r="G270" t="s">
        <v>1622</v>
      </c>
      <c r="H270" t="s">
        <v>88</v>
      </c>
      <c r="I270" t="s">
        <v>88</v>
      </c>
      <c r="J270" t="s">
        <v>220</v>
      </c>
      <c r="K270" t="s">
        <v>70</v>
      </c>
      <c r="L270" t="s">
        <v>88</v>
      </c>
      <c r="M270" t="s">
        <v>70</v>
      </c>
      <c r="N270" s="1"/>
      <c r="S270" t="s">
        <v>1623</v>
      </c>
      <c r="T270" s="1"/>
      <c r="U270" t="s">
        <v>70</v>
      </c>
      <c r="V270" t="s">
        <v>70</v>
      </c>
      <c r="W270" t="s">
        <v>70</v>
      </c>
      <c r="X270" t="s">
        <v>70</v>
      </c>
      <c r="Y270" t="s">
        <v>70</v>
      </c>
      <c r="Z270" t="s">
        <v>70</v>
      </c>
      <c r="AA270" t="s">
        <v>70</v>
      </c>
      <c r="AB270" t="s">
        <v>70</v>
      </c>
      <c r="AD270" s="1"/>
      <c r="AE270" t="s">
        <v>1624</v>
      </c>
      <c r="AF270" t="s">
        <v>74</v>
      </c>
      <c r="AG270" t="s">
        <v>1625</v>
      </c>
      <c r="AH270" t="s">
        <v>93</v>
      </c>
      <c r="AI270" t="s">
        <v>77</v>
      </c>
      <c r="AJ270" t="s">
        <v>70</v>
      </c>
      <c r="AK270">
        <v>0</v>
      </c>
      <c r="AL270" t="s">
        <v>70</v>
      </c>
      <c r="AM270" t="s">
        <v>70</v>
      </c>
      <c r="AN270" t="s">
        <v>78</v>
      </c>
      <c r="AO270" t="s">
        <v>70</v>
      </c>
      <c r="AP270" t="b">
        <v>0</v>
      </c>
      <c r="AQ270" t="s">
        <v>79</v>
      </c>
      <c r="AS270" t="s">
        <v>379</v>
      </c>
      <c r="AT270" t="s">
        <v>1626</v>
      </c>
      <c r="BA270" t="b">
        <v>0</v>
      </c>
    </row>
    <row r="271" spans="2:54" x14ac:dyDescent="0.2">
      <c r="B271" t="s">
        <v>1627</v>
      </c>
      <c r="C271" t="s">
        <v>1628</v>
      </c>
      <c r="E271">
        <v>0</v>
      </c>
      <c r="H271" t="s">
        <v>88</v>
      </c>
      <c r="I271" t="s">
        <v>286</v>
      </c>
      <c r="J271" t="s">
        <v>243</v>
      </c>
      <c r="K271" t="s">
        <v>220</v>
      </c>
      <c r="L271" t="s">
        <v>286</v>
      </c>
      <c r="N271" s="1"/>
      <c r="S271" t="s">
        <v>71</v>
      </c>
      <c r="T271" s="1"/>
      <c r="U271" t="s">
        <v>70</v>
      </c>
      <c r="V271" t="s">
        <v>1629</v>
      </c>
      <c r="W271" t="s">
        <v>70</v>
      </c>
      <c r="X271" t="s">
        <v>70</v>
      </c>
      <c r="Y271" t="s">
        <v>70</v>
      </c>
      <c r="Z271" t="s">
        <v>70</v>
      </c>
      <c r="AA271" t="s">
        <v>70</v>
      </c>
      <c r="AB271" t="s">
        <v>70</v>
      </c>
      <c r="AD271" s="1"/>
      <c r="AE271" t="s">
        <v>1630</v>
      </c>
      <c r="AF271" t="s">
        <v>398</v>
      </c>
      <c r="AG271" t="s">
        <v>1631</v>
      </c>
      <c r="AH271" t="s">
        <v>295</v>
      </c>
      <c r="AI271" t="s">
        <v>66</v>
      </c>
      <c r="AJ271" t="s">
        <v>63</v>
      </c>
      <c r="AK271">
        <v>0</v>
      </c>
      <c r="AL271" t="s">
        <v>70</v>
      </c>
      <c r="AM271" t="s">
        <v>70</v>
      </c>
      <c r="AN271" t="s">
        <v>78</v>
      </c>
      <c r="AO271" t="s">
        <v>70</v>
      </c>
      <c r="AP271" t="b">
        <v>0</v>
      </c>
      <c r="AQ271" t="s">
        <v>79</v>
      </c>
      <c r="BA271" t="b">
        <v>0</v>
      </c>
    </row>
    <row r="272" spans="2:54" x14ac:dyDescent="0.2">
      <c r="B272" t="s">
        <v>1632</v>
      </c>
      <c r="C272" t="s">
        <v>1633</v>
      </c>
      <c r="H272" t="s">
        <v>60</v>
      </c>
      <c r="I272" t="s">
        <v>60</v>
      </c>
      <c r="J272" t="s">
        <v>448</v>
      </c>
      <c r="K272" t="s">
        <v>70</v>
      </c>
      <c r="L272" t="s">
        <v>448</v>
      </c>
      <c r="M272" t="s">
        <v>70</v>
      </c>
      <c r="N272" s="1"/>
      <c r="S272" t="s">
        <v>71</v>
      </c>
      <c r="T272" s="1"/>
      <c r="U272" t="s">
        <v>70</v>
      </c>
      <c r="V272" t="s">
        <v>1634</v>
      </c>
      <c r="W272" t="s">
        <v>1635</v>
      </c>
      <c r="X272" t="s">
        <v>1636</v>
      </c>
      <c r="Y272" t="s">
        <v>1637</v>
      </c>
      <c r="Z272" t="s">
        <v>1638</v>
      </c>
      <c r="AA272" t="s">
        <v>70</v>
      </c>
      <c r="AB272" t="s">
        <v>70</v>
      </c>
      <c r="AD272" s="1"/>
      <c r="AE272" t="s">
        <v>1452</v>
      </c>
      <c r="AF272" t="s">
        <v>1452</v>
      </c>
      <c r="AG272" t="s">
        <v>1639</v>
      </c>
      <c r="AH272" t="s">
        <v>545</v>
      </c>
      <c r="AI272" t="s">
        <v>108</v>
      </c>
      <c r="AJ272" t="s">
        <v>70</v>
      </c>
      <c r="AK272">
        <v>0</v>
      </c>
      <c r="AL272" t="s">
        <v>70</v>
      </c>
      <c r="AM272" t="s">
        <v>70</v>
      </c>
      <c r="AN272" t="s">
        <v>1640</v>
      </c>
      <c r="AO272" t="s">
        <v>70</v>
      </c>
      <c r="AP272" t="b">
        <v>1</v>
      </c>
      <c r="AQ272" t="s">
        <v>79</v>
      </c>
      <c r="BA272" t="b">
        <v>0</v>
      </c>
    </row>
    <row r="273" spans="2:53" x14ac:dyDescent="0.2">
      <c r="B273" t="s">
        <v>1641</v>
      </c>
      <c r="C273" t="s">
        <v>1642</v>
      </c>
      <c r="H273" t="s">
        <v>60</v>
      </c>
      <c r="I273" t="s">
        <v>60</v>
      </c>
      <c r="J273" t="s">
        <v>70</v>
      </c>
      <c r="K273" t="s">
        <v>70</v>
      </c>
      <c r="L273" t="s">
        <v>448</v>
      </c>
      <c r="M273" t="s">
        <v>60</v>
      </c>
      <c r="N273" s="1"/>
      <c r="S273" t="s">
        <v>1153</v>
      </c>
      <c r="T273" s="1"/>
      <c r="U273" t="s">
        <v>70</v>
      </c>
      <c r="V273" t="s">
        <v>1643</v>
      </c>
      <c r="W273" t="s">
        <v>70</v>
      </c>
      <c r="X273" t="s">
        <v>70</v>
      </c>
      <c r="Y273" t="s">
        <v>70</v>
      </c>
      <c r="Z273" t="s">
        <v>70</v>
      </c>
      <c r="AA273" t="s">
        <v>70</v>
      </c>
      <c r="AB273" t="s">
        <v>70</v>
      </c>
      <c r="AD273" s="1"/>
      <c r="AE273" t="s">
        <v>467</v>
      </c>
      <c r="AF273" t="s">
        <v>1453</v>
      </c>
      <c r="AG273" t="s">
        <v>1644</v>
      </c>
      <c r="AH273" t="s">
        <v>1455</v>
      </c>
      <c r="AI273" t="s">
        <v>77</v>
      </c>
      <c r="AJ273" t="s">
        <v>70</v>
      </c>
      <c r="AK273">
        <v>0</v>
      </c>
      <c r="AL273" t="s">
        <v>70</v>
      </c>
      <c r="AM273" t="s">
        <v>70</v>
      </c>
      <c r="AN273" t="s">
        <v>78</v>
      </c>
      <c r="AO273" t="s">
        <v>70</v>
      </c>
      <c r="AP273" t="b">
        <v>1</v>
      </c>
      <c r="AQ273" t="s">
        <v>1645</v>
      </c>
      <c r="BA273" t="b">
        <v>0</v>
      </c>
    </row>
    <row r="274" spans="2:53" x14ac:dyDescent="0.2">
      <c r="B274" t="s">
        <v>1646</v>
      </c>
      <c r="C274" t="s">
        <v>1647</v>
      </c>
      <c r="E274">
        <v>400</v>
      </c>
      <c r="F274" t="s">
        <v>1648</v>
      </c>
      <c r="H274" t="s">
        <v>88</v>
      </c>
      <c r="I274" t="s">
        <v>336</v>
      </c>
      <c r="K274" t="s">
        <v>70</v>
      </c>
      <c r="M274" t="s">
        <v>70</v>
      </c>
      <c r="N274" s="1"/>
      <c r="S274" t="s">
        <v>71</v>
      </c>
      <c r="T274" s="1"/>
      <c r="U274" t="s">
        <v>70</v>
      </c>
      <c r="V274" t="s">
        <v>1649</v>
      </c>
      <c r="W274" t="s">
        <v>70</v>
      </c>
      <c r="X274" t="s">
        <v>70</v>
      </c>
      <c r="Y274" t="s">
        <v>70</v>
      </c>
      <c r="Z274" t="s">
        <v>70</v>
      </c>
      <c r="AA274" t="s">
        <v>70</v>
      </c>
      <c r="AB274" t="s">
        <v>70</v>
      </c>
      <c r="AD274" s="1"/>
      <c r="AE274" t="s">
        <v>70</v>
      </c>
      <c r="AF274" t="s">
        <v>82</v>
      </c>
      <c r="AG274" t="s">
        <v>78</v>
      </c>
      <c r="AH274" t="s">
        <v>70</v>
      </c>
      <c r="AI274" t="s">
        <v>66</v>
      </c>
      <c r="AJ274" t="s">
        <v>70</v>
      </c>
      <c r="AK274">
        <v>0</v>
      </c>
      <c r="AL274" t="s">
        <v>70</v>
      </c>
      <c r="AM274" t="s">
        <v>70</v>
      </c>
      <c r="AN274" t="s">
        <v>78</v>
      </c>
      <c r="AO274" t="s">
        <v>70</v>
      </c>
      <c r="AP274" t="b">
        <v>0</v>
      </c>
      <c r="AQ274" t="s">
        <v>79</v>
      </c>
      <c r="BA274" t="b">
        <v>0</v>
      </c>
    </row>
    <row r="275" spans="2:53" x14ac:dyDescent="0.2">
      <c r="B275" t="s">
        <v>1650</v>
      </c>
      <c r="C275" t="s">
        <v>1651</v>
      </c>
      <c r="H275" t="s">
        <v>88</v>
      </c>
      <c r="I275" t="s">
        <v>60</v>
      </c>
      <c r="N275" s="1"/>
      <c r="S275" t="s">
        <v>71</v>
      </c>
      <c r="T275" s="1"/>
      <c r="AD275" s="1"/>
      <c r="AH275" t="s">
        <v>295</v>
      </c>
      <c r="AI275" t="s">
        <v>77</v>
      </c>
      <c r="AJ275" t="s">
        <v>1652</v>
      </c>
      <c r="AP275" t="b">
        <v>0</v>
      </c>
      <c r="BA275" t="b">
        <v>0</v>
      </c>
    </row>
    <row r="276" spans="2:53" x14ac:dyDescent="0.2">
      <c r="B276" t="s">
        <v>1653</v>
      </c>
      <c r="C276" t="s">
        <v>1654</v>
      </c>
      <c r="E276">
        <v>5035</v>
      </c>
      <c r="F276" t="s">
        <v>1655</v>
      </c>
      <c r="H276" t="s">
        <v>60</v>
      </c>
      <c r="I276" t="s">
        <v>448</v>
      </c>
      <c r="J276" t="s">
        <v>448</v>
      </c>
      <c r="K276" t="s">
        <v>70</v>
      </c>
      <c r="L276" t="s">
        <v>448</v>
      </c>
      <c r="M276" t="s">
        <v>70</v>
      </c>
      <c r="N276" s="1"/>
      <c r="S276" t="s">
        <v>71</v>
      </c>
      <c r="T276" s="1"/>
      <c r="U276" t="s">
        <v>70</v>
      </c>
      <c r="V276" t="s">
        <v>1656</v>
      </c>
      <c r="W276" t="s">
        <v>1657</v>
      </c>
      <c r="X276" t="s">
        <v>1658</v>
      </c>
      <c r="Y276" t="s">
        <v>1659</v>
      </c>
      <c r="Z276" t="s">
        <v>70</v>
      </c>
      <c r="AA276" t="s">
        <v>70</v>
      </c>
      <c r="AB276" t="s">
        <v>70</v>
      </c>
      <c r="AC276">
        <v>2008</v>
      </c>
      <c r="AD276" s="1">
        <v>39561</v>
      </c>
      <c r="AE276" t="s">
        <v>1660</v>
      </c>
      <c r="AF276" t="s">
        <v>429</v>
      </c>
      <c r="AG276" t="s">
        <v>1661</v>
      </c>
      <c r="AH276" t="s">
        <v>962</v>
      </c>
      <c r="AI276" t="s">
        <v>108</v>
      </c>
      <c r="AJ276" t="s">
        <v>1662</v>
      </c>
      <c r="AK276">
        <v>0</v>
      </c>
      <c r="AL276" t="s">
        <v>70</v>
      </c>
      <c r="AM276" t="s">
        <v>70</v>
      </c>
      <c r="AN276" t="s">
        <v>1663</v>
      </c>
      <c r="AO276" t="s">
        <v>1664</v>
      </c>
      <c r="AP276" t="b">
        <v>1</v>
      </c>
      <c r="AQ276" t="s">
        <v>79</v>
      </c>
      <c r="BA276" t="b">
        <v>0</v>
      </c>
    </row>
    <row r="277" spans="2:53" x14ac:dyDescent="0.2">
      <c r="B277" t="s">
        <v>1665</v>
      </c>
      <c r="C277" t="s">
        <v>1666</v>
      </c>
      <c r="H277" t="s">
        <v>60</v>
      </c>
      <c r="I277" t="s">
        <v>288</v>
      </c>
      <c r="K277" t="s">
        <v>70</v>
      </c>
      <c r="L277" t="s">
        <v>288</v>
      </c>
      <c r="M277" t="s">
        <v>60</v>
      </c>
      <c r="N277" s="1"/>
      <c r="S277" t="s">
        <v>962</v>
      </c>
      <c r="T277" s="1"/>
      <c r="U277" t="s">
        <v>70</v>
      </c>
      <c r="V277" t="s">
        <v>70</v>
      </c>
      <c r="W277" t="s">
        <v>70</v>
      </c>
      <c r="X277" t="s">
        <v>70</v>
      </c>
      <c r="Y277" t="s">
        <v>70</v>
      </c>
      <c r="Z277" t="s">
        <v>70</v>
      </c>
      <c r="AA277" t="s">
        <v>70</v>
      </c>
      <c r="AB277" t="s">
        <v>70</v>
      </c>
      <c r="AD277" s="1"/>
      <c r="AE277" t="s">
        <v>70</v>
      </c>
      <c r="AF277" t="s">
        <v>1667</v>
      </c>
      <c r="AG277" t="s">
        <v>1668</v>
      </c>
      <c r="AH277" t="s">
        <v>962</v>
      </c>
      <c r="AI277" t="s">
        <v>66</v>
      </c>
      <c r="AJ277" t="s">
        <v>70</v>
      </c>
      <c r="AK277">
        <v>0</v>
      </c>
      <c r="AL277" t="s">
        <v>70</v>
      </c>
      <c r="AM277" t="s">
        <v>70</v>
      </c>
      <c r="AN277" t="s">
        <v>78</v>
      </c>
      <c r="AO277" t="s">
        <v>70</v>
      </c>
      <c r="AP277" t="b">
        <v>0</v>
      </c>
      <c r="AQ277" t="s">
        <v>79</v>
      </c>
      <c r="BA277" t="b">
        <v>0</v>
      </c>
    </row>
    <row r="278" spans="2:53" x14ac:dyDescent="0.2">
      <c r="B278" t="s">
        <v>1669</v>
      </c>
      <c r="C278" t="s">
        <v>1670</v>
      </c>
      <c r="E278">
        <v>0</v>
      </c>
      <c r="H278" t="s">
        <v>60</v>
      </c>
      <c r="I278" t="s">
        <v>60</v>
      </c>
      <c r="J278" t="s">
        <v>60</v>
      </c>
      <c r="K278" t="s">
        <v>70</v>
      </c>
      <c r="L278" t="s">
        <v>448</v>
      </c>
      <c r="M278" t="s">
        <v>70</v>
      </c>
      <c r="N278" s="1"/>
      <c r="S278" t="s">
        <v>125</v>
      </c>
      <c r="T278" s="1"/>
      <c r="U278" t="s">
        <v>70</v>
      </c>
      <c r="V278" t="s">
        <v>1671</v>
      </c>
      <c r="W278" t="s">
        <v>70</v>
      </c>
      <c r="X278" t="s">
        <v>70</v>
      </c>
      <c r="Y278" t="s">
        <v>70</v>
      </c>
      <c r="Z278" t="s">
        <v>70</v>
      </c>
      <c r="AA278" t="s">
        <v>70</v>
      </c>
      <c r="AB278" t="s">
        <v>70</v>
      </c>
      <c r="AD278" s="1"/>
      <c r="AF278" t="s">
        <v>467</v>
      </c>
      <c r="AG278" t="s">
        <v>1672</v>
      </c>
      <c r="AH278" t="s">
        <v>83</v>
      </c>
      <c r="AI278" t="s">
        <v>77</v>
      </c>
      <c r="AP278" t="b">
        <v>0</v>
      </c>
      <c r="AQ278" t="s">
        <v>79</v>
      </c>
      <c r="BA278" t="b">
        <v>0</v>
      </c>
    </row>
    <row r="279" spans="2:53" x14ac:dyDescent="0.2">
      <c r="B279" t="s">
        <v>1673</v>
      </c>
      <c r="C279" t="s">
        <v>1674</v>
      </c>
      <c r="H279" t="s">
        <v>60</v>
      </c>
      <c r="I279" t="s">
        <v>448</v>
      </c>
      <c r="L279" t="s">
        <v>448</v>
      </c>
      <c r="M279" t="s">
        <v>60</v>
      </c>
      <c r="N279" s="1"/>
      <c r="S279" t="s">
        <v>71</v>
      </c>
      <c r="T279" s="1"/>
      <c r="AD279" s="1"/>
      <c r="AF279" t="s">
        <v>82</v>
      </c>
      <c r="AH279" t="s">
        <v>102</v>
      </c>
      <c r="AI279" t="s">
        <v>77</v>
      </c>
      <c r="AP279" t="b">
        <v>0</v>
      </c>
      <c r="AQ279" t="s">
        <v>79</v>
      </c>
      <c r="BA279" t="b">
        <v>0</v>
      </c>
    </row>
    <row r="280" spans="2:53" x14ac:dyDescent="0.2">
      <c r="B280" t="s">
        <v>1675</v>
      </c>
      <c r="C280" t="s">
        <v>1676</v>
      </c>
      <c r="H280" t="s">
        <v>70</v>
      </c>
      <c r="K280" t="s">
        <v>70</v>
      </c>
      <c r="M280" t="s">
        <v>70</v>
      </c>
      <c r="N280" s="1"/>
      <c r="S280" t="s">
        <v>125</v>
      </c>
      <c r="T280" s="1"/>
      <c r="U280" t="s">
        <v>70</v>
      </c>
      <c r="V280" t="s">
        <v>1677</v>
      </c>
      <c r="W280" t="s">
        <v>1678</v>
      </c>
      <c r="X280" t="s">
        <v>70</v>
      </c>
      <c r="Y280" t="s">
        <v>70</v>
      </c>
      <c r="Z280" t="s">
        <v>70</v>
      </c>
      <c r="AA280" t="s">
        <v>70</v>
      </c>
      <c r="AB280" t="s">
        <v>70</v>
      </c>
      <c r="AD280" s="1"/>
      <c r="AE280" t="s">
        <v>1679</v>
      </c>
      <c r="AF280" t="s">
        <v>1680</v>
      </c>
      <c r="AG280" t="s">
        <v>1681</v>
      </c>
      <c r="AH280" t="s">
        <v>184</v>
      </c>
      <c r="AI280" t="s">
        <v>77</v>
      </c>
      <c r="AJ280" t="s">
        <v>70</v>
      </c>
      <c r="AK280">
        <v>0</v>
      </c>
      <c r="AL280" t="s">
        <v>70</v>
      </c>
      <c r="AM280" t="s">
        <v>70</v>
      </c>
      <c r="AN280" t="s">
        <v>78</v>
      </c>
      <c r="AO280" t="s">
        <v>70</v>
      </c>
      <c r="AP280" t="b">
        <v>1</v>
      </c>
      <c r="AQ280" t="s">
        <v>79</v>
      </c>
      <c r="BA280" t="b">
        <v>0</v>
      </c>
    </row>
    <row r="281" spans="2:53" x14ac:dyDescent="0.2">
      <c r="B281" t="s">
        <v>1682</v>
      </c>
      <c r="C281" t="s">
        <v>1683</v>
      </c>
      <c r="E281">
        <v>200</v>
      </c>
      <c r="F281" t="s">
        <v>67</v>
      </c>
      <c r="G281" t="s">
        <v>56</v>
      </c>
      <c r="H281" t="s">
        <v>60</v>
      </c>
      <c r="I281" t="s">
        <v>337</v>
      </c>
      <c r="J281" t="s">
        <v>337</v>
      </c>
      <c r="K281" t="s">
        <v>70</v>
      </c>
      <c r="L281" t="s">
        <v>219</v>
      </c>
      <c r="M281" t="s">
        <v>70</v>
      </c>
      <c r="N281" s="1"/>
      <c r="S281" t="s">
        <v>125</v>
      </c>
      <c r="T281" s="1"/>
      <c r="U281" t="s">
        <v>70</v>
      </c>
      <c r="V281" t="s">
        <v>1684</v>
      </c>
      <c r="W281" t="s">
        <v>70</v>
      </c>
      <c r="X281" t="s">
        <v>70</v>
      </c>
      <c r="Y281" t="s">
        <v>70</v>
      </c>
      <c r="Z281" t="s">
        <v>70</v>
      </c>
      <c r="AA281" t="s">
        <v>70</v>
      </c>
      <c r="AB281" t="s">
        <v>70</v>
      </c>
      <c r="AC281">
        <v>0</v>
      </c>
      <c r="AD281" s="1"/>
      <c r="AE281" t="s">
        <v>70</v>
      </c>
      <c r="AF281" t="s">
        <v>74</v>
      </c>
      <c r="AG281" t="s">
        <v>78</v>
      </c>
      <c r="AH281" t="s">
        <v>70</v>
      </c>
      <c r="AI281" t="s">
        <v>108</v>
      </c>
      <c r="AJ281" t="s">
        <v>70</v>
      </c>
      <c r="AK281">
        <v>0</v>
      </c>
      <c r="AL281" t="s">
        <v>70</v>
      </c>
      <c r="AM281" t="s">
        <v>70</v>
      </c>
      <c r="AN281" t="s">
        <v>78</v>
      </c>
      <c r="AO281" t="s">
        <v>70</v>
      </c>
      <c r="AP281" t="b">
        <v>0</v>
      </c>
      <c r="BA281" t="b">
        <v>0</v>
      </c>
    </row>
    <row r="282" spans="2:53" x14ac:dyDescent="0.2">
      <c r="B282" t="s">
        <v>1685</v>
      </c>
      <c r="C282" t="s">
        <v>1686</v>
      </c>
      <c r="E282">
        <v>2011</v>
      </c>
      <c r="H282" t="s">
        <v>60</v>
      </c>
      <c r="I282" t="s">
        <v>219</v>
      </c>
      <c r="J282" t="s">
        <v>70</v>
      </c>
      <c r="K282" t="s">
        <v>70</v>
      </c>
      <c r="L282" t="s">
        <v>219</v>
      </c>
      <c r="M282" t="s">
        <v>70</v>
      </c>
      <c r="N282" s="1"/>
      <c r="S282" t="s">
        <v>125</v>
      </c>
      <c r="T282" s="1"/>
      <c r="U282" t="s">
        <v>70</v>
      </c>
      <c r="V282" t="s">
        <v>1687</v>
      </c>
      <c r="W282" t="s">
        <v>1688</v>
      </c>
      <c r="X282" t="s">
        <v>1689</v>
      </c>
      <c r="Y282" t="s">
        <v>70</v>
      </c>
      <c r="Z282" t="s">
        <v>70</v>
      </c>
      <c r="AA282" t="s">
        <v>70</v>
      </c>
      <c r="AB282" t="s">
        <v>70</v>
      </c>
      <c r="AC282">
        <v>0</v>
      </c>
      <c r="AD282" s="1"/>
      <c r="AE282" t="s">
        <v>1690</v>
      </c>
      <c r="AF282" t="s">
        <v>82</v>
      </c>
      <c r="AG282" t="s">
        <v>1691</v>
      </c>
      <c r="AH282" t="s">
        <v>102</v>
      </c>
      <c r="AI282" t="s">
        <v>77</v>
      </c>
      <c r="AJ282" t="s">
        <v>70</v>
      </c>
      <c r="AK282">
        <v>0</v>
      </c>
      <c r="AL282" t="s">
        <v>70</v>
      </c>
      <c r="AM282" t="s">
        <v>70</v>
      </c>
      <c r="AN282" t="s">
        <v>1692</v>
      </c>
      <c r="AO282" t="s">
        <v>70</v>
      </c>
      <c r="AP282" t="b">
        <v>1</v>
      </c>
      <c r="AQ282" t="s">
        <v>79</v>
      </c>
      <c r="BA282" t="b">
        <v>0</v>
      </c>
    </row>
    <row r="283" spans="2:53" x14ac:dyDescent="0.2">
      <c r="B283" t="s">
        <v>1693</v>
      </c>
      <c r="C283" t="s">
        <v>1694</v>
      </c>
      <c r="H283" t="s">
        <v>70</v>
      </c>
      <c r="I283" t="s">
        <v>70</v>
      </c>
      <c r="J283" t="s">
        <v>70</v>
      </c>
      <c r="K283" t="s">
        <v>70</v>
      </c>
      <c r="L283" t="s">
        <v>70</v>
      </c>
      <c r="M283" t="s">
        <v>70</v>
      </c>
      <c r="N283" s="1"/>
      <c r="S283" t="s">
        <v>125</v>
      </c>
      <c r="T283" s="1"/>
      <c r="U283" t="s">
        <v>70</v>
      </c>
      <c r="V283" t="s">
        <v>70</v>
      </c>
      <c r="W283" t="s">
        <v>70</v>
      </c>
      <c r="X283" t="s">
        <v>70</v>
      </c>
      <c r="Y283" t="s">
        <v>70</v>
      </c>
      <c r="Z283" t="s">
        <v>70</v>
      </c>
      <c r="AA283" t="s">
        <v>70</v>
      </c>
      <c r="AB283" t="s">
        <v>70</v>
      </c>
      <c r="AC283">
        <v>0</v>
      </c>
      <c r="AD283" s="1"/>
      <c r="AF283" t="s">
        <v>82</v>
      </c>
      <c r="AK283">
        <v>0</v>
      </c>
      <c r="AP283" t="b">
        <v>0</v>
      </c>
      <c r="BA283" t="b">
        <v>0</v>
      </c>
    </row>
    <row r="284" spans="2:53" x14ac:dyDescent="0.2">
      <c r="B284" t="s">
        <v>1695</v>
      </c>
      <c r="C284" t="s">
        <v>1696</v>
      </c>
      <c r="E284">
        <v>13500</v>
      </c>
      <c r="F284" t="s">
        <v>1697</v>
      </c>
      <c r="G284" t="s">
        <v>1698</v>
      </c>
      <c r="H284" t="s">
        <v>88</v>
      </c>
      <c r="I284" t="s">
        <v>336</v>
      </c>
      <c r="J284" t="s">
        <v>337</v>
      </c>
      <c r="K284" t="s">
        <v>336</v>
      </c>
      <c r="L284" t="s">
        <v>68</v>
      </c>
      <c r="M284" t="s">
        <v>219</v>
      </c>
      <c r="N284" s="1">
        <v>39661</v>
      </c>
      <c r="S284" t="s">
        <v>125</v>
      </c>
      <c r="T284" s="1"/>
      <c r="U284" t="s">
        <v>70</v>
      </c>
      <c r="V284" t="s">
        <v>1700</v>
      </c>
      <c r="W284" t="s">
        <v>1701</v>
      </c>
      <c r="X284" t="s">
        <v>1702</v>
      </c>
      <c r="Y284" t="s">
        <v>70</v>
      </c>
      <c r="Z284" t="s">
        <v>70</v>
      </c>
      <c r="AA284" t="s">
        <v>70</v>
      </c>
      <c r="AB284" t="s">
        <v>70</v>
      </c>
      <c r="AD284" s="1"/>
      <c r="AE284" t="s">
        <v>1703</v>
      </c>
      <c r="AF284" t="s">
        <v>82</v>
      </c>
      <c r="AG284" t="s">
        <v>1704</v>
      </c>
      <c r="AH284" t="s">
        <v>76</v>
      </c>
      <c r="AI284" t="s">
        <v>77</v>
      </c>
      <c r="AJ284" t="s">
        <v>70</v>
      </c>
      <c r="AL284" t="s">
        <v>70</v>
      </c>
      <c r="AM284" t="s">
        <v>70</v>
      </c>
      <c r="AN284" t="s">
        <v>1705</v>
      </c>
      <c r="AO284" t="s">
        <v>70</v>
      </c>
      <c r="AP284" t="b">
        <v>0</v>
      </c>
      <c r="AS284" t="s">
        <v>1133</v>
      </c>
      <c r="AT284" t="s">
        <v>1592</v>
      </c>
      <c r="AV284" t="s">
        <v>381</v>
      </c>
      <c r="AW284" t="s">
        <v>1706</v>
      </c>
      <c r="AX284" t="s">
        <v>1707</v>
      </c>
      <c r="AY284" t="s">
        <v>1708</v>
      </c>
      <c r="AZ284" t="s">
        <v>1709</v>
      </c>
      <c r="BA284" t="b">
        <v>0</v>
      </c>
    </row>
    <row r="285" spans="2:53" x14ac:dyDescent="0.2">
      <c r="B285" t="s">
        <v>1710</v>
      </c>
      <c r="C285" t="s">
        <v>1711</v>
      </c>
      <c r="G285" t="s">
        <v>1712</v>
      </c>
      <c r="H285" t="s">
        <v>60</v>
      </c>
      <c r="I285" t="s">
        <v>60</v>
      </c>
      <c r="J285" t="s">
        <v>337</v>
      </c>
      <c r="K285" t="s">
        <v>220</v>
      </c>
      <c r="L285" t="s">
        <v>219</v>
      </c>
      <c r="M285" t="s">
        <v>70</v>
      </c>
      <c r="N285" s="1">
        <v>39715</v>
      </c>
      <c r="S285" t="s">
        <v>1713</v>
      </c>
      <c r="T285" s="1">
        <v>39749</v>
      </c>
      <c r="U285" t="s">
        <v>1714</v>
      </c>
      <c r="V285" t="s">
        <v>1715</v>
      </c>
      <c r="W285" t="s">
        <v>1716</v>
      </c>
      <c r="X285" t="s">
        <v>1717</v>
      </c>
      <c r="Y285" t="s">
        <v>70</v>
      </c>
      <c r="Z285" t="s">
        <v>70</v>
      </c>
      <c r="AA285" t="s">
        <v>70</v>
      </c>
      <c r="AB285" t="s">
        <v>70</v>
      </c>
      <c r="AD285" s="1"/>
      <c r="AE285" t="s">
        <v>1718</v>
      </c>
      <c r="AF285" t="s">
        <v>1719</v>
      </c>
      <c r="AG285" t="s">
        <v>1720</v>
      </c>
      <c r="AH285" t="s">
        <v>76</v>
      </c>
      <c r="AI285" t="s">
        <v>77</v>
      </c>
      <c r="AJ285" t="s">
        <v>70</v>
      </c>
      <c r="AL285" t="s">
        <v>70</v>
      </c>
      <c r="AM285" t="s">
        <v>70</v>
      </c>
      <c r="AN285" t="s">
        <v>1721</v>
      </c>
      <c r="AO285" t="s">
        <v>70</v>
      </c>
      <c r="AP285" t="b">
        <v>0</v>
      </c>
      <c r="AS285" t="s">
        <v>1722</v>
      </c>
      <c r="AT285" t="s">
        <v>56</v>
      </c>
      <c r="AW285" t="s">
        <v>1723</v>
      </c>
      <c r="AX285" t="s">
        <v>1724</v>
      </c>
      <c r="AY285" t="s">
        <v>1725</v>
      </c>
      <c r="AZ285" t="s">
        <v>1726</v>
      </c>
      <c r="BA285" t="b">
        <v>0</v>
      </c>
    </row>
    <row r="286" spans="2:53" x14ac:dyDescent="0.2">
      <c r="B286" t="s">
        <v>1727</v>
      </c>
      <c r="C286" t="s">
        <v>1728</v>
      </c>
      <c r="H286" t="s">
        <v>60</v>
      </c>
      <c r="I286" t="s">
        <v>1729</v>
      </c>
      <c r="N286" s="1"/>
      <c r="S286" t="s">
        <v>125</v>
      </c>
      <c r="T286" s="1"/>
      <c r="AD286" s="1"/>
      <c r="AH286" t="s">
        <v>1730</v>
      </c>
      <c r="AP286" t="b">
        <v>0</v>
      </c>
      <c r="BA286" t="b">
        <v>0</v>
      </c>
    </row>
    <row r="287" spans="2:53" x14ac:dyDescent="0.2">
      <c r="B287" t="s">
        <v>1731</v>
      </c>
      <c r="C287" t="s">
        <v>1732</v>
      </c>
      <c r="E287">
        <v>10800</v>
      </c>
      <c r="H287" t="s">
        <v>60</v>
      </c>
      <c r="I287" t="s">
        <v>60</v>
      </c>
      <c r="L287" t="s">
        <v>448</v>
      </c>
      <c r="N287" s="1"/>
      <c r="S287" t="s">
        <v>71</v>
      </c>
      <c r="T287" s="1"/>
      <c r="AD287" s="1"/>
      <c r="AH287" t="s">
        <v>76</v>
      </c>
      <c r="AI287" t="s">
        <v>77</v>
      </c>
      <c r="AO287" t="s">
        <v>1733</v>
      </c>
      <c r="AP287" t="b">
        <v>0</v>
      </c>
      <c r="BA287" t="b">
        <v>0</v>
      </c>
    </row>
    <row r="288" spans="2:53" x14ac:dyDescent="0.2">
      <c r="B288" t="s">
        <v>1734</v>
      </c>
      <c r="C288" t="s">
        <v>1735</v>
      </c>
      <c r="E288">
        <v>21084</v>
      </c>
      <c r="F288" t="s">
        <v>1736</v>
      </c>
      <c r="H288" t="s">
        <v>88</v>
      </c>
      <c r="I288" t="s">
        <v>60</v>
      </c>
      <c r="J288" t="s">
        <v>58</v>
      </c>
      <c r="L288" t="s">
        <v>244</v>
      </c>
      <c r="N288" s="1"/>
      <c r="S288" t="s">
        <v>125</v>
      </c>
      <c r="T288" s="1"/>
      <c r="AD288" s="1"/>
      <c r="AG288" t="s">
        <v>1738</v>
      </c>
      <c r="AH288" t="s">
        <v>1739</v>
      </c>
      <c r="AI288" t="s">
        <v>77</v>
      </c>
      <c r="AN288" t="s">
        <v>2342</v>
      </c>
      <c r="AP288" t="b">
        <v>0</v>
      </c>
      <c r="AY288" t="s">
        <v>1740</v>
      </c>
      <c r="BA288" t="b">
        <v>0</v>
      </c>
    </row>
    <row r="289" spans="2:54" x14ac:dyDescent="0.2">
      <c r="B289" t="s">
        <v>1741</v>
      </c>
      <c r="C289" t="s">
        <v>1742</v>
      </c>
      <c r="E289">
        <v>5035</v>
      </c>
      <c r="F289" t="s">
        <v>1743</v>
      </c>
      <c r="H289" t="s">
        <v>60</v>
      </c>
      <c r="I289" t="s">
        <v>448</v>
      </c>
      <c r="L289" t="s">
        <v>448</v>
      </c>
      <c r="N289" s="1"/>
      <c r="S289" t="s">
        <v>71</v>
      </c>
      <c r="T289" s="1"/>
      <c r="V289" t="s">
        <v>1744</v>
      </c>
      <c r="W289" t="s">
        <v>1745</v>
      </c>
      <c r="X289" t="s">
        <v>1746</v>
      </c>
      <c r="Y289" t="s">
        <v>1747</v>
      </c>
      <c r="Z289" t="s">
        <v>1748</v>
      </c>
      <c r="AD289" s="1"/>
      <c r="AE289" t="s">
        <v>1660</v>
      </c>
      <c r="AF289" t="s">
        <v>429</v>
      </c>
      <c r="AG289" t="s">
        <v>1749</v>
      </c>
      <c r="AH289" t="s">
        <v>102</v>
      </c>
      <c r="AI289" t="s">
        <v>108</v>
      </c>
      <c r="AJ289" t="s">
        <v>1750</v>
      </c>
      <c r="AO289" t="s">
        <v>1751</v>
      </c>
      <c r="AP289" t="b">
        <v>1</v>
      </c>
      <c r="AQ289" t="s">
        <v>1752</v>
      </c>
      <c r="AR289" t="s">
        <v>1753</v>
      </c>
      <c r="AY289" t="s">
        <v>1593</v>
      </c>
      <c r="BA289" t="b">
        <v>0</v>
      </c>
    </row>
    <row r="290" spans="2:54" x14ac:dyDescent="0.2">
      <c r="B290" t="s">
        <v>1754</v>
      </c>
      <c r="C290" t="s">
        <v>1755</v>
      </c>
      <c r="I290" t="s">
        <v>448</v>
      </c>
      <c r="N290" s="1">
        <v>39791</v>
      </c>
      <c r="S290" t="s">
        <v>71</v>
      </c>
      <c r="T290" s="1"/>
      <c r="V290" t="s">
        <v>1756</v>
      </c>
      <c r="AD290" s="1"/>
      <c r="AH290" t="s">
        <v>93</v>
      </c>
      <c r="AI290" t="s">
        <v>70</v>
      </c>
      <c r="AP290" t="b">
        <v>0</v>
      </c>
      <c r="BA290" t="b">
        <v>0</v>
      </c>
    </row>
    <row r="291" spans="2:54" x14ac:dyDescent="0.2">
      <c r="B291" t="s">
        <v>1757</v>
      </c>
      <c r="C291" t="s">
        <v>1758</v>
      </c>
      <c r="H291" t="s">
        <v>88</v>
      </c>
      <c r="I291" t="s">
        <v>88</v>
      </c>
      <c r="J291" t="s">
        <v>220</v>
      </c>
      <c r="L291" t="s">
        <v>244</v>
      </c>
      <c r="N291" s="1"/>
      <c r="S291" t="s">
        <v>71</v>
      </c>
      <c r="T291" s="1"/>
      <c r="AD291" s="1"/>
      <c r="AH291" t="s">
        <v>76</v>
      </c>
      <c r="AI291" t="s">
        <v>108</v>
      </c>
      <c r="AP291" t="b">
        <v>0</v>
      </c>
      <c r="BA291" t="b">
        <v>0</v>
      </c>
    </row>
    <row r="292" spans="2:54" x14ac:dyDescent="0.2">
      <c r="B292" t="s">
        <v>1759</v>
      </c>
      <c r="C292" t="s">
        <v>1760</v>
      </c>
      <c r="H292" t="s">
        <v>60</v>
      </c>
      <c r="I292" t="s">
        <v>60</v>
      </c>
      <c r="N292" s="1"/>
      <c r="S292" t="s">
        <v>125</v>
      </c>
      <c r="T292" s="1"/>
      <c r="V292" t="s">
        <v>1761</v>
      </c>
      <c r="AD292" s="1"/>
      <c r="AG292" t="s">
        <v>1762</v>
      </c>
      <c r="AH292" t="s">
        <v>76</v>
      </c>
      <c r="AI292" t="s">
        <v>77</v>
      </c>
      <c r="AP292" t="b">
        <v>0</v>
      </c>
      <c r="AR292" t="s">
        <v>70</v>
      </c>
      <c r="BA292" t="b">
        <v>0</v>
      </c>
    </row>
    <row r="293" spans="2:54" x14ac:dyDescent="0.2">
      <c r="B293" t="s">
        <v>1763</v>
      </c>
      <c r="C293" t="s">
        <v>1764</v>
      </c>
      <c r="E293">
        <v>685</v>
      </c>
      <c r="F293" t="s">
        <v>1765</v>
      </c>
      <c r="G293" t="s">
        <v>1766</v>
      </c>
      <c r="H293" t="s">
        <v>88</v>
      </c>
      <c r="I293" t="s">
        <v>220</v>
      </c>
      <c r="J293" t="s">
        <v>220</v>
      </c>
      <c r="L293" t="s">
        <v>219</v>
      </c>
      <c r="N293" s="1"/>
      <c r="S293" t="s">
        <v>71</v>
      </c>
      <c r="T293" s="1">
        <v>39965</v>
      </c>
      <c r="U293" t="s">
        <v>1767</v>
      </c>
      <c r="V293" t="s">
        <v>1768</v>
      </c>
      <c r="W293" t="s">
        <v>1769</v>
      </c>
      <c r="X293" t="s">
        <v>1770</v>
      </c>
      <c r="Y293" t="s">
        <v>1771</v>
      </c>
      <c r="Z293" t="s">
        <v>1772</v>
      </c>
      <c r="AA293" t="s">
        <v>1773</v>
      </c>
      <c r="AC293">
        <v>2010</v>
      </c>
      <c r="AD293" s="1"/>
      <c r="AE293" t="s">
        <v>1774</v>
      </c>
      <c r="AF293" t="s">
        <v>398</v>
      </c>
      <c r="AG293" t="s">
        <v>1775</v>
      </c>
      <c r="AH293" t="s">
        <v>295</v>
      </c>
      <c r="AI293" t="s">
        <v>77</v>
      </c>
      <c r="AK293">
        <v>55</v>
      </c>
      <c r="AN293" t="s">
        <v>1776</v>
      </c>
      <c r="AO293" t="s">
        <v>1777</v>
      </c>
      <c r="AP293" t="b">
        <v>1</v>
      </c>
      <c r="AR293" t="s">
        <v>1778</v>
      </c>
      <c r="AS293" t="s">
        <v>1779</v>
      </c>
      <c r="AX293" t="s">
        <v>1780</v>
      </c>
      <c r="AY293" t="s">
        <v>1781</v>
      </c>
      <c r="AZ293" t="s">
        <v>1782</v>
      </c>
      <c r="BA293" t="b">
        <v>0</v>
      </c>
    </row>
    <row r="294" spans="2:54" x14ac:dyDescent="0.2">
      <c r="B294" t="s">
        <v>1783</v>
      </c>
      <c r="C294" t="s">
        <v>1784</v>
      </c>
      <c r="E294">
        <v>3580</v>
      </c>
      <c r="H294" t="s">
        <v>60</v>
      </c>
      <c r="I294" t="s">
        <v>244</v>
      </c>
      <c r="L294" t="s">
        <v>244</v>
      </c>
      <c r="N294" s="1"/>
      <c r="S294" t="s">
        <v>71</v>
      </c>
      <c r="T294" s="1"/>
      <c r="AD294" s="1"/>
      <c r="AG294" t="s">
        <v>1785</v>
      </c>
      <c r="AH294" t="s">
        <v>83</v>
      </c>
      <c r="AI294" t="s">
        <v>108</v>
      </c>
      <c r="AO294" t="s">
        <v>1786</v>
      </c>
      <c r="AP294" t="b">
        <v>0</v>
      </c>
      <c r="BA294" t="b">
        <v>0</v>
      </c>
      <c r="BB294" t="s">
        <v>1787</v>
      </c>
    </row>
    <row r="295" spans="2:54" x14ac:dyDescent="0.2">
      <c r="B295" t="s">
        <v>1788</v>
      </c>
      <c r="C295" t="s">
        <v>1789</v>
      </c>
      <c r="H295" t="s">
        <v>60</v>
      </c>
      <c r="I295" t="s">
        <v>448</v>
      </c>
      <c r="N295" s="1"/>
      <c r="S295" t="s">
        <v>71</v>
      </c>
      <c r="T295" s="1"/>
      <c r="AD295" s="1"/>
      <c r="AH295" t="s">
        <v>76</v>
      </c>
      <c r="AO295" t="s">
        <v>1790</v>
      </c>
      <c r="AP295" t="b">
        <v>0</v>
      </c>
      <c r="BA295" t="b">
        <v>0</v>
      </c>
    </row>
    <row r="296" spans="2:54" x14ac:dyDescent="0.2">
      <c r="B296" t="s">
        <v>1791</v>
      </c>
      <c r="C296" t="s">
        <v>1792</v>
      </c>
      <c r="E296">
        <v>2340</v>
      </c>
      <c r="H296" t="s">
        <v>88</v>
      </c>
      <c r="I296" t="s">
        <v>244</v>
      </c>
      <c r="N296" s="1"/>
      <c r="S296" t="s">
        <v>71</v>
      </c>
      <c r="T296" s="1"/>
      <c r="AD296" s="1"/>
      <c r="AH296" t="s">
        <v>115</v>
      </c>
      <c r="AI296" t="s">
        <v>77</v>
      </c>
      <c r="AP296" t="b">
        <v>0</v>
      </c>
      <c r="BA296" t="b">
        <v>0</v>
      </c>
    </row>
    <row r="297" spans="2:54" x14ac:dyDescent="0.2">
      <c r="B297" t="s">
        <v>1793</v>
      </c>
      <c r="C297" t="s">
        <v>1794</v>
      </c>
      <c r="H297" t="s">
        <v>60</v>
      </c>
      <c r="I297" t="s">
        <v>448</v>
      </c>
      <c r="L297" t="s">
        <v>448</v>
      </c>
      <c r="N297" s="1"/>
      <c r="S297" t="s">
        <v>71</v>
      </c>
      <c r="T297" s="1"/>
      <c r="V297" t="s">
        <v>1795</v>
      </c>
      <c r="AC297">
        <v>2009</v>
      </c>
      <c r="AD297" s="1"/>
      <c r="AG297" t="s">
        <v>1796</v>
      </c>
      <c r="AH297" t="s">
        <v>1455</v>
      </c>
      <c r="AI297" t="s">
        <v>108</v>
      </c>
      <c r="AP297" t="b">
        <v>0</v>
      </c>
      <c r="BA297" t="b">
        <v>1</v>
      </c>
    </row>
    <row r="298" spans="2:54" x14ac:dyDescent="0.2">
      <c r="B298" t="s">
        <v>1797</v>
      </c>
      <c r="C298" t="s">
        <v>1798</v>
      </c>
      <c r="E298">
        <v>1096</v>
      </c>
      <c r="F298" t="s">
        <v>1799</v>
      </c>
      <c r="G298" t="s">
        <v>1800</v>
      </c>
      <c r="H298" t="s">
        <v>60</v>
      </c>
      <c r="I298" t="s">
        <v>61</v>
      </c>
      <c r="J298" t="s">
        <v>220</v>
      </c>
      <c r="L298" t="s">
        <v>61</v>
      </c>
      <c r="N298" s="1"/>
      <c r="S298" t="s">
        <v>71</v>
      </c>
      <c r="T298" s="1"/>
      <c r="V298" t="s">
        <v>1801</v>
      </c>
      <c r="W298" t="s">
        <v>1802</v>
      </c>
      <c r="X298" t="s">
        <v>1803</v>
      </c>
      <c r="Y298" t="s">
        <v>1804</v>
      </c>
      <c r="Z298" t="s">
        <v>1805</v>
      </c>
      <c r="AD298" s="1"/>
      <c r="AE298" t="s">
        <v>1806</v>
      </c>
      <c r="AF298" t="s">
        <v>174</v>
      </c>
      <c r="AG298" t="s">
        <v>1807</v>
      </c>
      <c r="AH298" t="s">
        <v>83</v>
      </c>
      <c r="AI298" t="s">
        <v>108</v>
      </c>
      <c r="AN298" t="s">
        <v>1808</v>
      </c>
      <c r="AO298" t="s">
        <v>378</v>
      </c>
      <c r="AP298" t="b">
        <v>1</v>
      </c>
      <c r="AQ298" t="s">
        <v>79</v>
      </c>
      <c r="AS298" t="s">
        <v>1809</v>
      </c>
      <c r="AT298" t="s">
        <v>1810</v>
      </c>
      <c r="AV298" t="s">
        <v>1811</v>
      </c>
      <c r="AY298" t="s">
        <v>1812</v>
      </c>
      <c r="BA298" t="b">
        <v>0</v>
      </c>
      <c r="BB298" t="s">
        <v>1813</v>
      </c>
    </row>
    <row r="299" spans="2:54" x14ac:dyDescent="0.2">
      <c r="B299" t="s">
        <v>1814</v>
      </c>
      <c r="C299" t="s">
        <v>1815</v>
      </c>
      <c r="G299" t="s">
        <v>1816</v>
      </c>
      <c r="H299" t="s">
        <v>60</v>
      </c>
      <c r="I299" t="s">
        <v>448</v>
      </c>
      <c r="N299" s="1"/>
      <c r="S299" t="s">
        <v>71</v>
      </c>
      <c r="T299" s="1"/>
      <c r="V299" t="s">
        <v>1817</v>
      </c>
      <c r="AC299">
        <v>2009</v>
      </c>
      <c r="AD299" s="1"/>
      <c r="AH299" t="s">
        <v>962</v>
      </c>
      <c r="AI299" t="s">
        <v>77</v>
      </c>
      <c r="AP299" t="b">
        <v>0</v>
      </c>
      <c r="AR299" t="s">
        <v>1818</v>
      </c>
      <c r="AS299" t="s">
        <v>1819</v>
      </c>
      <c r="AT299" t="s">
        <v>1592</v>
      </c>
      <c r="BA299" t="b">
        <v>1</v>
      </c>
    </row>
    <row r="300" spans="2:54" x14ac:dyDescent="0.2">
      <c r="B300" t="s">
        <v>1820</v>
      </c>
      <c r="C300" t="s">
        <v>1821</v>
      </c>
      <c r="H300" t="s">
        <v>60</v>
      </c>
      <c r="I300" t="s">
        <v>448</v>
      </c>
      <c r="N300" s="1"/>
      <c r="S300" t="s">
        <v>71</v>
      </c>
      <c r="T300" s="1"/>
      <c r="AD300" s="1"/>
      <c r="AH300" t="s">
        <v>1455</v>
      </c>
      <c r="AI300" t="s">
        <v>128</v>
      </c>
      <c r="AP300" t="b">
        <v>0</v>
      </c>
      <c r="BA300" t="b">
        <v>0</v>
      </c>
    </row>
    <row r="301" spans="2:54" x14ac:dyDescent="0.2">
      <c r="B301" t="s">
        <v>1822</v>
      </c>
      <c r="C301" t="s">
        <v>1823</v>
      </c>
      <c r="E301">
        <v>1000000</v>
      </c>
      <c r="F301" t="s">
        <v>1824</v>
      </c>
      <c r="N301" s="1"/>
      <c r="S301" t="s">
        <v>125</v>
      </c>
      <c r="T301" s="1"/>
      <c r="AD301" s="1"/>
      <c r="AH301" t="s">
        <v>295</v>
      </c>
      <c r="AI301" t="s">
        <v>77</v>
      </c>
      <c r="AP301" t="b">
        <v>0</v>
      </c>
      <c r="BA301" t="b">
        <v>0</v>
      </c>
    </row>
    <row r="302" spans="2:54" x14ac:dyDescent="0.2">
      <c r="B302" t="s">
        <v>1825</v>
      </c>
      <c r="C302" t="s">
        <v>1826</v>
      </c>
      <c r="F302" t="s">
        <v>1827</v>
      </c>
      <c r="N302" s="1"/>
      <c r="S302" t="s">
        <v>71</v>
      </c>
      <c r="T302" s="1"/>
      <c r="AD302" s="1"/>
      <c r="AH302" t="s">
        <v>76</v>
      </c>
      <c r="AP302" t="b">
        <v>0</v>
      </c>
      <c r="BA302" t="b">
        <v>0</v>
      </c>
      <c r="BB302" t="s">
        <v>1828</v>
      </c>
    </row>
    <row r="303" spans="2:54" x14ac:dyDescent="0.2">
      <c r="B303" t="s">
        <v>1829</v>
      </c>
      <c r="C303" t="s">
        <v>1830</v>
      </c>
      <c r="G303" t="s">
        <v>1831</v>
      </c>
      <c r="H303" t="s">
        <v>60</v>
      </c>
      <c r="I303" t="s">
        <v>448</v>
      </c>
      <c r="N303" s="1"/>
      <c r="S303" t="s">
        <v>71</v>
      </c>
      <c r="T303" s="1"/>
      <c r="V303" t="s">
        <v>1832</v>
      </c>
      <c r="W303" t="s">
        <v>1833</v>
      </c>
      <c r="AD303" s="1"/>
      <c r="AE303" t="s">
        <v>1834</v>
      </c>
      <c r="AH303" t="s">
        <v>1455</v>
      </c>
      <c r="AI303" t="s">
        <v>108</v>
      </c>
      <c r="AP303" t="b">
        <v>0</v>
      </c>
      <c r="BA303" t="b">
        <v>0</v>
      </c>
    </row>
    <row r="304" spans="2:54" x14ac:dyDescent="0.2">
      <c r="B304" t="s">
        <v>1835</v>
      </c>
      <c r="C304" t="s">
        <v>1836</v>
      </c>
      <c r="E304">
        <v>2432</v>
      </c>
      <c r="F304" t="s">
        <v>1837</v>
      </c>
      <c r="H304" t="s">
        <v>60</v>
      </c>
      <c r="I304" t="s">
        <v>219</v>
      </c>
      <c r="L304" t="s">
        <v>219</v>
      </c>
      <c r="N304" s="1"/>
      <c r="S304" t="s">
        <v>71</v>
      </c>
      <c r="T304" s="1"/>
      <c r="AC304">
        <v>2009</v>
      </c>
      <c r="AD304" s="1"/>
      <c r="AH304" t="s">
        <v>83</v>
      </c>
      <c r="AI304" t="s">
        <v>108</v>
      </c>
      <c r="AO304" t="s">
        <v>1838</v>
      </c>
      <c r="AP304" t="b">
        <v>0</v>
      </c>
      <c r="BA304" t="b">
        <v>0</v>
      </c>
    </row>
    <row r="305" spans="2:54" x14ac:dyDescent="0.2">
      <c r="B305" t="s">
        <v>1839</v>
      </c>
      <c r="C305" t="s">
        <v>1840</v>
      </c>
      <c r="E305">
        <v>40000</v>
      </c>
      <c r="H305" t="s">
        <v>60</v>
      </c>
      <c r="I305" t="s">
        <v>60</v>
      </c>
      <c r="J305" t="s">
        <v>2251</v>
      </c>
      <c r="L305" t="s">
        <v>1968</v>
      </c>
      <c r="N305" s="1">
        <v>40679</v>
      </c>
      <c r="S305" t="s">
        <v>62</v>
      </c>
      <c r="T305" s="1"/>
      <c r="V305" t="s">
        <v>1841</v>
      </c>
      <c r="AD305" s="1"/>
      <c r="AE305" t="s">
        <v>1842</v>
      </c>
      <c r="AF305" t="s">
        <v>82</v>
      </c>
      <c r="AG305" t="s">
        <v>3024</v>
      </c>
      <c r="AH305" t="s">
        <v>102</v>
      </c>
      <c r="AI305" t="s">
        <v>77</v>
      </c>
      <c r="AK305">
        <v>1400</v>
      </c>
      <c r="AN305" t="s">
        <v>1843</v>
      </c>
      <c r="AP305" t="b">
        <v>1</v>
      </c>
      <c r="AQ305" t="s">
        <v>79</v>
      </c>
      <c r="AR305" t="s">
        <v>1844</v>
      </c>
      <c r="AW305" t="s">
        <v>1845</v>
      </c>
      <c r="AY305" t="s">
        <v>1846</v>
      </c>
      <c r="AZ305" t="s">
        <v>1847</v>
      </c>
      <c r="BA305" t="b">
        <v>0</v>
      </c>
    </row>
    <row r="306" spans="2:54" x14ac:dyDescent="0.2">
      <c r="B306" t="s">
        <v>1848</v>
      </c>
      <c r="C306" t="s">
        <v>1849</v>
      </c>
      <c r="H306" t="s">
        <v>60</v>
      </c>
      <c r="I306" t="s">
        <v>60</v>
      </c>
      <c r="L306" t="s">
        <v>60</v>
      </c>
      <c r="N306" s="1"/>
      <c r="S306" t="s">
        <v>125</v>
      </c>
      <c r="T306" s="1"/>
      <c r="V306" t="s">
        <v>1850</v>
      </c>
      <c r="AD306" s="1"/>
      <c r="AG306" t="s">
        <v>1851</v>
      </c>
      <c r="AH306" t="s">
        <v>1455</v>
      </c>
      <c r="AI306" t="s">
        <v>77</v>
      </c>
      <c r="AP306" t="b">
        <v>0</v>
      </c>
      <c r="BA306" t="b">
        <v>0</v>
      </c>
    </row>
    <row r="307" spans="2:54" x14ac:dyDescent="0.2">
      <c r="B307" t="s">
        <v>1852</v>
      </c>
      <c r="C307" t="s">
        <v>1853</v>
      </c>
      <c r="D307" t="s">
        <v>66</v>
      </c>
      <c r="E307">
        <v>0</v>
      </c>
      <c r="F307" t="s">
        <v>56</v>
      </c>
      <c r="H307" t="s">
        <v>88</v>
      </c>
      <c r="N307" s="1"/>
      <c r="S307" t="s">
        <v>125</v>
      </c>
      <c r="T307" s="1"/>
      <c r="AD307" s="1"/>
      <c r="AI307" t="s">
        <v>84</v>
      </c>
      <c r="AJ307" t="s">
        <v>63</v>
      </c>
      <c r="AP307" t="b">
        <v>0</v>
      </c>
      <c r="AQ307" t="s">
        <v>79</v>
      </c>
      <c r="BA307" t="b">
        <v>0</v>
      </c>
    </row>
    <row r="308" spans="2:54" x14ac:dyDescent="0.2">
      <c r="B308" t="s">
        <v>1854</v>
      </c>
      <c r="C308" t="s">
        <v>1855</v>
      </c>
      <c r="E308">
        <v>800</v>
      </c>
      <c r="F308" t="s">
        <v>1856</v>
      </c>
      <c r="G308" t="s">
        <v>1857</v>
      </c>
      <c r="H308" t="s">
        <v>60</v>
      </c>
      <c r="I308" t="s">
        <v>448</v>
      </c>
      <c r="N308" s="1"/>
      <c r="S308" t="s">
        <v>71</v>
      </c>
      <c r="T308" s="1">
        <v>39990</v>
      </c>
      <c r="U308" t="s">
        <v>1858</v>
      </c>
      <c r="V308" t="s">
        <v>1859</v>
      </c>
      <c r="W308" t="s">
        <v>1860</v>
      </c>
      <c r="X308" t="s">
        <v>1861</v>
      </c>
      <c r="AD308" s="1"/>
      <c r="AE308" t="s">
        <v>1862</v>
      </c>
      <c r="AH308" t="s">
        <v>1455</v>
      </c>
      <c r="AI308" t="s">
        <v>70</v>
      </c>
      <c r="AO308" t="s">
        <v>1863</v>
      </c>
      <c r="AP308" t="b">
        <v>0</v>
      </c>
      <c r="BA308" t="b">
        <v>0</v>
      </c>
    </row>
    <row r="309" spans="2:54" x14ac:dyDescent="0.2">
      <c r="B309" t="s">
        <v>1864</v>
      </c>
      <c r="C309" t="s">
        <v>1865</v>
      </c>
      <c r="E309">
        <v>9172</v>
      </c>
      <c r="H309" t="s">
        <v>60</v>
      </c>
      <c r="I309" t="s">
        <v>337</v>
      </c>
      <c r="J309" t="s">
        <v>337</v>
      </c>
      <c r="L309" t="s">
        <v>219</v>
      </c>
      <c r="M309" t="s">
        <v>244</v>
      </c>
      <c r="N309" s="1">
        <v>40004</v>
      </c>
      <c r="S309" t="s">
        <v>125</v>
      </c>
      <c r="T309" s="1"/>
      <c r="U309" t="s">
        <v>1866</v>
      </c>
      <c r="V309" t="s">
        <v>1867</v>
      </c>
      <c r="AC309">
        <v>2010</v>
      </c>
      <c r="AD309" s="1"/>
      <c r="AE309" t="s">
        <v>1868</v>
      </c>
      <c r="AG309" t="s">
        <v>1869</v>
      </c>
      <c r="AH309" t="s">
        <v>76</v>
      </c>
      <c r="AI309" t="s">
        <v>77</v>
      </c>
      <c r="AK309">
        <v>1000</v>
      </c>
      <c r="AN309" t="s">
        <v>1870</v>
      </c>
      <c r="AP309" t="b">
        <v>0</v>
      </c>
      <c r="AQ309" t="s">
        <v>1871</v>
      </c>
      <c r="AV309" t="s">
        <v>1872</v>
      </c>
      <c r="AW309" t="s">
        <v>1873</v>
      </c>
      <c r="AY309" t="s">
        <v>1874</v>
      </c>
      <c r="BA309" t="b">
        <v>0</v>
      </c>
    </row>
    <row r="310" spans="2:54" x14ac:dyDescent="0.2">
      <c r="B310" t="s">
        <v>2847</v>
      </c>
      <c r="C310" t="s">
        <v>1875</v>
      </c>
      <c r="H310" t="s">
        <v>60</v>
      </c>
      <c r="I310" t="s">
        <v>448</v>
      </c>
      <c r="N310" s="1">
        <v>40002</v>
      </c>
      <c r="S310" t="s">
        <v>71</v>
      </c>
      <c r="T310" s="1"/>
      <c r="V310" t="s">
        <v>1876</v>
      </c>
      <c r="W310" t="s">
        <v>70</v>
      </c>
      <c r="AD310" s="1"/>
      <c r="AE310" t="s">
        <v>1877</v>
      </c>
      <c r="AF310" t="s">
        <v>293</v>
      </c>
      <c r="AH310" t="s">
        <v>1455</v>
      </c>
      <c r="AI310" t="s">
        <v>128</v>
      </c>
      <c r="AP310" t="b">
        <v>0</v>
      </c>
      <c r="BA310" t="b">
        <v>0</v>
      </c>
    </row>
    <row r="311" spans="2:54" x14ac:dyDescent="0.2">
      <c r="B311" t="s">
        <v>1878</v>
      </c>
      <c r="C311" t="s">
        <v>1879</v>
      </c>
      <c r="F311" t="s">
        <v>1880</v>
      </c>
      <c r="G311" t="s">
        <v>1881</v>
      </c>
      <c r="H311" t="s">
        <v>60</v>
      </c>
      <c r="I311" t="s">
        <v>448</v>
      </c>
      <c r="N311" s="1"/>
      <c r="S311" t="s">
        <v>71</v>
      </c>
      <c r="T311" s="1"/>
      <c r="V311" t="s">
        <v>1882</v>
      </c>
      <c r="W311" t="s">
        <v>1883</v>
      </c>
      <c r="X311" t="s">
        <v>1884</v>
      </c>
      <c r="Y311" t="s">
        <v>1885</v>
      </c>
      <c r="Z311" t="s">
        <v>1886</v>
      </c>
      <c r="AA311" t="s">
        <v>1887</v>
      </c>
      <c r="AB311" t="s">
        <v>70</v>
      </c>
      <c r="AC311">
        <v>2009</v>
      </c>
      <c r="AD311" s="1"/>
      <c r="AE311" t="s">
        <v>1888</v>
      </c>
      <c r="AF311" t="s">
        <v>1889</v>
      </c>
      <c r="AG311" t="s">
        <v>1890</v>
      </c>
      <c r="AH311" t="s">
        <v>1455</v>
      </c>
      <c r="AI311" t="s">
        <v>108</v>
      </c>
      <c r="AO311" t="s">
        <v>1891</v>
      </c>
      <c r="AP311" t="b">
        <v>0</v>
      </c>
      <c r="AS311" t="s">
        <v>1892</v>
      </c>
      <c r="AU311" t="s">
        <v>1893</v>
      </c>
      <c r="BA311" t="b">
        <v>0</v>
      </c>
    </row>
    <row r="312" spans="2:54" x14ac:dyDescent="0.2">
      <c r="B312" t="s">
        <v>1894</v>
      </c>
      <c r="C312" t="s">
        <v>1895</v>
      </c>
      <c r="E312">
        <v>3500</v>
      </c>
      <c r="F312" t="s">
        <v>1896</v>
      </c>
      <c r="G312" t="s">
        <v>1897</v>
      </c>
      <c r="H312" t="s">
        <v>60</v>
      </c>
      <c r="I312" t="s">
        <v>219</v>
      </c>
      <c r="J312" t="s">
        <v>58</v>
      </c>
      <c r="L312" t="s">
        <v>219</v>
      </c>
      <c r="N312" s="1"/>
      <c r="S312" t="s">
        <v>71</v>
      </c>
      <c r="T312" s="1">
        <v>40419</v>
      </c>
      <c r="U312" t="s">
        <v>1898</v>
      </c>
      <c r="V312" t="s">
        <v>1899</v>
      </c>
      <c r="W312" t="s">
        <v>1900</v>
      </c>
      <c r="X312" t="s">
        <v>1901</v>
      </c>
      <c r="Y312" t="s">
        <v>1902</v>
      </c>
      <c r="Z312" t="s">
        <v>1903</v>
      </c>
      <c r="AA312" t="s">
        <v>1904</v>
      </c>
      <c r="AC312">
        <v>2010</v>
      </c>
      <c r="AD312" s="1"/>
      <c r="AE312" t="s">
        <v>1905</v>
      </c>
      <c r="AF312" t="s">
        <v>82</v>
      </c>
      <c r="AG312" t="s">
        <v>1906</v>
      </c>
      <c r="AH312" t="s">
        <v>102</v>
      </c>
      <c r="AI312" t="s">
        <v>77</v>
      </c>
      <c r="AJ312" t="s">
        <v>1907</v>
      </c>
      <c r="AK312">
        <v>240</v>
      </c>
      <c r="AN312" t="s">
        <v>1908</v>
      </c>
      <c r="AO312" t="s">
        <v>1909</v>
      </c>
      <c r="AP312" t="b">
        <v>1</v>
      </c>
      <c r="AR312" t="s">
        <v>1910</v>
      </c>
      <c r="AU312" t="s">
        <v>70</v>
      </c>
      <c r="AV312" t="s">
        <v>1911</v>
      </c>
      <c r="AX312" t="s">
        <v>1912</v>
      </c>
      <c r="AY312" t="s">
        <v>1812</v>
      </c>
      <c r="BA312" t="b">
        <v>1</v>
      </c>
    </row>
    <row r="313" spans="2:54" x14ac:dyDescent="0.2">
      <c r="B313" t="s">
        <v>1913</v>
      </c>
      <c r="C313" t="s">
        <v>1914</v>
      </c>
      <c r="E313">
        <v>1</v>
      </c>
      <c r="F313" t="s">
        <v>1837</v>
      </c>
      <c r="H313" t="s">
        <v>60</v>
      </c>
      <c r="I313" t="s">
        <v>337</v>
      </c>
      <c r="J313" t="s">
        <v>337</v>
      </c>
      <c r="L313" t="s">
        <v>337</v>
      </c>
      <c r="N313" s="1"/>
      <c r="S313" t="s">
        <v>125</v>
      </c>
      <c r="T313" s="1"/>
      <c r="AD313" s="1"/>
      <c r="AH313" t="s">
        <v>295</v>
      </c>
      <c r="AI313" t="s">
        <v>77</v>
      </c>
      <c r="AK313">
        <v>1</v>
      </c>
      <c r="AO313" t="s">
        <v>1915</v>
      </c>
      <c r="AP313" t="b">
        <v>0</v>
      </c>
      <c r="AV313" t="s">
        <v>1916</v>
      </c>
      <c r="BA313" t="b">
        <v>0</v>
      </c>
    </row>
    <row r="314" spans="2:54" x14ac:dyDescent="0.2">
      <c r="B314" t="s">
        <v>1917</v>
      </c>
      <c r="C314" t="s">
        <v>1918</v>
      </c>
      <c r="G314" t="s">
        <v>1919</v>
      </c>
      <c r="H314" t="s">
        <v>60</v>
      </c>
      <c r="I314" t="s">
        <v>448</v>
      </c>
      <c r="N314" s="1"/>
      <c r="S314" t="s">
        <v>1920</v>
      </c>
      <c r="T314" s="1"/>
      <c r="AD314" s="1"/>
      <c r="AE314" t="s">
        <v>1921</v>
      </c>
      <c r="AG314" t="s">
        <v>1922</v>
      </c>
      <c r="AH314" t="s">
        <v>1455</v>
      </c>
      <c r="AI314" t="s">
        <v>108</v>
      </c>
      <c r="AP314" t="b">
        <v>0</v>
      </c>
      <c r="BA314" t="b">
        <v>0</v>
      </c>
    </row>
    <row r="315" spans="2:54" x14ac:dyDescent="0.2">
      <c r="B315" t="s">
        <v>1923</v>
      </c>
      <c r="C315" t="s">
        <v>1924</v>
      </c>
      <c r="F315" t="s">
        <v>1925</v>
      </c>
      <c r="H315" t="s">
        <v>60</v>
      </c>
      <c r="I315" t="s">
        <v>337</v>
      </c>
      <c r="J315" t="s">
        <v>337</v>
      </c>
      <c r="L315" t="s">
        <v>219</v>
      </c>
      <c r="N315" s="1"/>
      <c r="S315" t="s">
        <v>71</v>
      </c>
      <c r="T315" s="1"/>
      <c r="AD315" s="1"/>
      <c r="AH315" t="s">
        <v>295</v>
      </c>
      <c r="AI315" t="s">
        <v>77</v>
      </c>
      <c r="AP315" t="b">
        <v>0</v>
      </c>
      <c r="BA315" t="b">
        <v>0</v>
      </c>
    </row>
    <row r="316" spans="2:54" x14ac:dyDescent="0.2">
      <c r="B316" t="s">
        <v>1926</v>
      </c>
      <c r="C316" t="s">
        <v>1927</v>
      </c>
      <c r="F316" t="s">
        <v>1928</v>
      </c>
      <c r="G316" t="s">
        <v>1929</v>
      </c>
      <c r="H316" t="s">
        <v>60</v>
      </c>
      <c r="I316" t="s">
        <v>219</v>
      </c>
      <c r="N316" s="1"/>
      <c r="S316" t="s">
        <v>125</v>
      </c>
      <c r="T316" s="1"/>
      <c r="V316" t="s">
        <v>1930</v>
      </c>
      <c r="W316" t="s">
        <v>1931</v>
      </c>
      <c r="X316" t="s">
        <v>1932</v>
      </c>
      <c r="Y316" t="s">
        <v>1933</v>
      </c>
      <c r="Z316" t="s">
        <v>1934</v>
      </c>
      <c r="AC316">
        <v>2010</v>
      </c>
      <c r="AD316" s="1"/>
      <c r="AE316" t="s">
        <v>1935</v>
      </c>
      <c r="AF316" t="s">
        <v>82</v>
      </c>
      <c r="AG316" t="s">
        <v>1936</v>
      </c>
      <c r="AH316" t="s">
        <v>83</v>
      </c>
      <c r="AI316" t="s">
        <v>108</v>
      </c>
      <c r="AN316" t="s">
        <v>1937</v>
      </c>
      <c r="AP316" t="b">
        <v>0</v>
      </c>
      <c r="AS316" t="s">
        <v>1938</v>
      </c>
      <c r="AV316" t="s">
        <v>1939</v>
      </c>
      <c r="AY316" t="s">
        <v>1940</v>
      </c>
      <c r="BA316" t="b">
        <v>1</v>
      </c>
      <c r="BB316" t="s">
        <v>1941</v>
      </c>
    </row>
    <row r="317" spans="2:54" x14ac:dyDescent="0.2">
      <c r="B317" t="s">
        <v>1942</v>
      </c>
      <c r="C317" t="s">
        <v>1943</v>
      </c>
      <c r="N317" s="1"/>
      <c r="S317" t="s">
        <v>125</v>
      </c>
      <c r="T317" s="1"/>
      <c r="AD317" s="1"/>
      <c r="AH317" t="s">
        <v>76</v>
      </c>
      <c r="AP317" t="b">
        <v>0</v>
      </c>
      <c r="BA317" t="b">
        <v>0</v>
      </c>
    </row>
    <row r="318" spans="2:54" x14ac:dyDescent="0.2">
      <c r="B318" t="s">
        <v>1944</v>
      </c>
      <c r="C318" t="s">
        <v>1945</v>
      </c>
      <c r="E318">
        <v>9200</v>
      </c>
      <c r="F318" t="s">
        <v>1946</v>
      </c>
      <c r="G318" t="s">
        <v>1947</v>
      </c>
      <c r="H318" t="s">
        <v>88</v>
      </c>
      <c r="I318" t="s">
        <v>244</v>
      </c>
      <c r="J318" t="s">
        <v>366</v>
      </c>
      <c r="K318" t="s">
        <v>70</v>
      </c>
      <c r="L318" t="s">
        <v>491</v>
      </c>
      <c r="M318" t="s">
        <v>70</v>
      </c>
      <c r="N318" s="1">
        <v>40060</v>
      </c>
      <c r="S318" t="s">
        <v>367</v>
      </c>
      <c r="T318" s="1"/>
      <c r="U318" t="s">
        <v>1948</v>
      </c>
      <c r="V318" t="s">
        <v>1949</v>
      </c>
      <c r="W318" t="s">
        <v>1950</v>
      </c>
      <c r="X318" t="s">
        <v>1951</v>
      </c>
      <c r="Y318" t="s">
        <v>4312</v>
      </c>
      <c r="Z318" t="s">
        <v>70</v>
      </c>
      <c r="AC318">
        <v>2013</v>
      </c>
      <c r="AD318" s="1"/>
      <c r="AE318" t="s">
        <v>1952</v>
      </c>
      <c r="AF318" t="s">
        <v>429</v>
      </c>
      <c r="AG318" t="s">
        <v>1953</v>
      </c>
      <c r="AH318" t="s">
        <v>83</v>
      </c>
      <c r="AI318" t="s">
        <v>77</v>
      </c>
      <c r="AJ318" t="s">
        <v>3025</v>
      </c>
      <c r="AK318">
        <v>786</v>
      </c>
      <c r="AN318" t="s">
        <v>2848</v>
      </c>
      <c r="AO318" t="s">
        <v>1954</v>
      </c>
      <c r="AP318" t="b">
        <v>1</v>
      </c>
      <c r="AQ318" t="s">
        <v>79</v>
      </c>
      <c r="AR318" t="s">
        <v>1955</v>
      </c>
      <c r="AS318" t="s">
        <v>1956</v>
      </c>
      <c r="AV318" t="s">
        <v>2849</v>
      </c>
      <c r="AW318" t="s">
        <v>1957</v>
      </c>
      <c r="AX318" t="s">
        <v>1958</v>
      </c>
      <c r="AY318" t="s">
        <v>1740</v>
      </c>
      <c r="BA318" t="b">
        <v>1</v>
      </c>
      <c r="BB318" t="s">
        <v>1959</v>
      </c>
    </row>
    <row r="319" spans="2:54" x14ac:dyDescent="0.2">
      <c r="B319" t="s">
        <v>1960</v>
      </c>
      <c r="C319" t="s">
        <v>1961</v>
      </c>
      <c r="H319" t="s">
        <v>60</v>
      </c>
      <c r="I319" t="s">
        <v>448</v>
      </c>
      <c r="N319" s="1"/>
      <c r="S319" t="s">
        <v>71</v>
      </c>
      <c r="T319" s="1">
        <v>40221</v>
      </c>
      <c r="U319" t="s">
        <v>1962</v>
      </c>
      <c r="AD319" s="1"/>
      <c r="AH319" t="s">
        <v>962</v>
      </c>
      <c r="AI319" t="s">
        <v>77</v>
      </c>
      <c r="AP319" t="b">
        <v>0</v>
      </c>
      <c r="BA319" t="b">
        <v>0</v>
      </c>
    </row>
    <row r="320" spans="2:54" x14ac:dyDescent="0.2">
      <c r="B320" t="s">
        <v>1963</v>
      </c>
      <c r="C320" t="s">
        <v>1964</v>
      </c>
      <c r="H320" t="s">
        <v>60</v>
      </c>
      <c r="L320" t="s">
        <v>448</v>
      </c>
      <c r="M320" t="s">
        <v>288</v>
      </c>
      <c r="N320" s="1"/>
      <c r="S320" t="s">
        <v>71</v>
      </c>
      <c r="T320" s="1"/>
      <c r="AD320" s="1"/>
      <c r="AP320" t="b">
        <v>0</v>
      </c>
      <c r="BA320" t="b">
        <v>0</v>
      </c>
    </row>
    <row r="321" spans="2:54" x14ac:dyDescent="0.2">
      <c r="B321" t="s">
        <v>1965</v>
      </c>
      <c r="C321" t="s">
        <v>1966</v>
      </c>
      <c r="E321">
        <v>16165</v>
      </c>
      <c r="F321" t="s">
        <v>1967</v>
      </c>
      <c r="H321" t="s">
        <v>60</v>
      </c>
      <c r="I321" t="s">
        <v>60</v>
      </c>
      <c r="J321" t="s">
        <v>58</v>
      </c>
      <c r="K321" t="s">
        <v>366</v>
      </c>
      <c r="L321" t="s">
        <v>491</v>
      </c>
      <c r="M321" t="s">
        <v>1968</v>
      </c>
      <c r="N321" s="1"/>
      <c r="S321" t="s">
        <v>1969</v>
      </c>
      <c r="T321" s="1"/>
      <c r="U321" t="s">
        <v>3026</v>
      </c>
      <c r="V321" t="s">
        <v>1970</v>
      </c>
      <c r="W321" t="s">
        <v>1971</v>
      </c>
      <c r="X321" t="s">
        <v>3027</v>
      </c>
      <c r="AD321" s="1"/>
      <c r="AE321" t="s">
        <v>1972</v>
      </c>
      <c r="AG321" t="s">
        <v>1973</v>
      </c>
      <c r="AH321" t="s">
        <v>76</v>
      </c>
      <c r="AI321" t="s">
        <v>77</v>
      </c>
      <c r="AJ321" t="s">
        <v>1974</v>
      </c>
      <c r="AM321" t="s">
        <v>1975</v>
      </c>
      <c r="AN321" t="s">
        <v>1976</v>
      </c>
      <c r="AO321" t="s">
        <v>1977</v>
      </c>
      <c r="AP321" t="b">
        <v>1</v>
      </c>
      <c r="AW321" t="s">
        <v>1978</v>
      </c>
      <c r="AY321" t="s">
        <v>1979</v>
      </c>
      <c r="BA321" t="b">
        <v>1</v>
      </c>
    </row>
    <row r="322" spans="2:54" x14ac:dyDescent="0.2">
      <c r="B322" t="s">
        <v>1980</v>
      </c>
      <c r="C322" t="s">
        <v>1981</v>
      </c>
      <c r="F322" t="s">
        <v>1982</v>
      </c>
      <c r="G322" t="s">
        <v>1983</v>
      </c>
      <c r="H322" t="s">
        <v>60</v>
      </c>
      <c r="I322" t="s">
        <v>58</v>
      </c>
      <c r="J322" t="s">
        <v>58</v>
      </c>
      <c r="K322" t="s">
        <v>220</v>
      </c>
      <c r="N322" s="1"/>
      <c r="S322" t="s">
        <v>71</v>
      </c>
      <c r="T322" s="1"/>
      <c r="V322" t="s">
        <v>1930</v>
      </c>
      <c r="W322" t="s">
        <v>1984</v>
      </c>
      <c r="AD322" s="1"/>
      <c r="AE322" t="s">
        <v>70</v>
      </c>
      <c r="AF322" t="s">
        <v>82</v>
      </c>
      <c r="AH322" t="s">
        <v>83</v>
      </c>
      <c r="AI322" t="s">
        <v>108</v>
      </c>
      <c r="AO322" t="s">
        <v>1985</v>
      </c>
      <c r="AP322" t="b">
        <v>0</v>
      </c>
      <c r="AS322" t="s">
        <v>1938</v>
      </c>
      <c r="BA322" t="b">
        <v>1</v>
      </c>
      <c r="BB322" t="s">
        <v>1986</v>
      </c>
    </row>
    <row r="323" spans="2:54" x14ac:dyDescent="0.2">
      <c r="B323" t="s">
        <v>1987</v>
      </c>
      <c r="C323" t="s">
        <v>1988</v>
      </c>
      <c r="F323" t="s">
        <v>1989</v>
      </c>
      <c r="G323" t="s">
        <v>1990</v>
      </c>
      <c r="H323" t="s">
        <v>60</v>
      </c>
      <c r="I323" t="s">
        <v>220</v>
      </c>
      <c r="J323" t="s">
        <v>220</v>
      </c>
      <c r="K323" t="s">
        <v>58</v>
      </c>
      <c r="N323" s="1"/>
      <c r="S323" t="s">
        <v>71</v>
      </c>
      <c r="T323" s="1"/>
      <c r="V323" t="s">
        <v>1930</v>
      </c>
      <c r="AD323" s="1"/>
      <c r="AE323" t="s">
        <v>1991</v>
      </c>
      <c r="AF323" t="s">
        <v>1992</v>
      </c>
      <c r="AH323" t="s">
        <v>83</v>
      </c>
      <c r="AI323" t="s">
        <v>108</v>
      </c>
      <c r="AJ323" t="s">
        <v>1993</v>
      </c>
      <c r="AO323" t="s">
        <v>1994</v>
      </c>
      <c r="AP323" t="b">
        <v>0</v>
      </c>
      <c r="AS323" t="s">
        <v>1938</v>
      </c>
      <c r="BA323" t="b">
        <v>1</v>
      </c>
      <c r="BB323" t="s">
        <v>1995</v>
      </c>
    </row>
    <row r="324" spans="2:54" x14ac:dyDescent="0.2">
      <c r="B324" t="s">
        <v>1996</v>
      </c>
      <c r="C324" t="s">
        <v>1997</v>
      </c>
      <c r="E324">
        <v>1310</v>
      </c>
      <c r="F324" t="s">
        <v>1998</v>
      </c>
      <c r="G324" t="s">
        <v>1999</v>
      </c>
      <c r="H324" t="s">
        <v>60</v>
      </c>
      <c r="I324" t="s">
        <v>244</v>
      </c>
      <c r="J324" t="s">
        <v>70</v>
      </c>
      <c r="L324" t="s">
        <v>244</v>
      </c>
      <c r="M324" t="s">
        <v>448</v>
      </c>
      <c r="N324" s="1"/>
      <c r="S324" t="s">
        <v>71</v>
      </c>
      <c r="T324" s="1"/>
      <c r="V324" t="s">
        <v>1930</v>
      </c>
      <c r="W324" t="s">
        <v>2000</v>
      </c>
      <c r="AD324" s="1"/>
      <c r="AG324" t="s">
        <v>2001</v>
      </c>
      <c r="AH324" t="s">
        <v>83</v>
      </c>
      <c r="AI324" t="s">
        <v>108</v>
      </c>
      <c r="AN324" t="s">
        <v>2002</v>
      </c>
      <c r="AP324" t="b">
        <v>0</v>
      </c>
      <c r="AS324" t="s">
        <v>1938</v>
      </c>
      <c r="AV324" t="s">
        <v>2003</v>
      </c>
      <c r="AX324" t="s">
        <v>2004</v>
      </c>
      <c r="AY324" t="s">
        <v>2005</v>
      </c>
      <c r="AZ324" t="s">
        <v>2006</v>
      </c>
      <c r="BA324" t="b">
        <v>1</v>
      </c>
      <c r="BB324" t="s">
        <v>2007</v>
      </c>
    </row>
    <row r="325" spans="2:54" x14ac:dyDescent="0.2">
      <c r="B325" t="s">
        <v>2008</v>
      </c>
      <c r="C325" t="s">
        <v>2009</v>
      </c>
      <c r="E325">
        <v>1185</v>
      </c>
      <c r="F325" t="s">
        <v>2010</v>
      </c>
      <c r="G325" t="s">
        <v>2011</v>
      </c>
      <c r="H325" t="s">
        <v>60</v>
      </c>
      <c r="I325" t="s">
        <v>244</v>
      </c>
      <c r="L325" t="s">
        <v>244</v>
      </c>
      <c r="M325" t="s">
        <v>448</v>
      </c>
      <c r="N325" s="1">
        <v>40330</v>
      </c>
      <c r="S325" t="s">
        <v>71</v>
      </c>
      <c r="T325" s="1"/>
      <c r="V325" t="s">
        <v>1930</v>
      </c>
      <c r="W325" t="s">
        <v>2012</v>
      </c>
      <c r="X325" t="s">
        <v>2013</v>
      </c>
      <c r="AC325">
        <v>2010</v>
      </c>
      <c r="AD325" s="1"/>
      <c r="AE325" t="s">
        <v>2014</v>
      </c>
      <c r="AF325" t="s">
        <v>2015</v>
      </c>
      <c r="AG325" t="s">
        <v>2016</v>
      </c>
      <c r="AH325" t="s">
        <v>83</v>
      </c>
      <c r="AI325" t="s">
        <v>108</v>
      </c>
      <c r="AN325" t="s">
        <v>2017</v>
      </c>
      <c r="AP325" t="b">
        <v>1</v>
      </c>
      <c r="AR325" t="s">
        <v>2018</v>
      </c>
      <c r="AS325" t="s">
        <v>1938</v>
      </c>
      <c r="AV325" t="s">
        <v>2019</v>
      </c>
      <c r="AX325" t="s">
        <v>2020</v>
      </c>
      <c r="AY325" t="s">
        <v>2021</v>
      </c>
      <c r="AZ325" t="s">
        <v>2022</v>
      </c>
      <c r="BA325" t="b">
        <v>1</v>
      </c>
      <c r="BB325" t="s">
        <v>2023</v>
      </c>
    </row>
    <row r="326" spans="2:54" x14ac:dyDescent="0.2">
      <c r="B326" t="s">
        <v>2024</v>
      </c>
      <c r="C326" t="s">
        <v>2025</v>
      </c>
      <c r="E326">
        <v>8861</v>
      </c>
      <c r="H326" t="s">
        <v>88</v>
      </c>
      <c r="I326" t="s">
        <v>58</v>
      </c>
      <c r="J326" t="s">
        <v>58</v>
      </c>
      <c r="L326" t="s">
        <v>244</v>
      </c>
      <c r="N326" s="1">
        <v>40280</v>
      </c>
      <c r="S326" t="s">
        <v>125</v>
      </c>
      <c r="T326" s="1"/>
      <c r="V326" t="s">
        <v>2027</v>
      </c>
      <c r="W326" t="s">
        <v>2028</v>
      </c>
      <c r="AC326">
        <v>2011</v>
      </c>
      <c r="AD326" s="1"/>
      <c r="AE326" t="s">
        <v>2029</v>
      </c>
      <c r="AF326" t="s">
        <v>2030</v>
      </c>
      <c r="AG326" t="s">
        <v>2031</v>
      </c>
      <c r="AH326" t="s">
        <v>76</v>
      </c>
      <c r="AI326" t="s">
        <v>77</v>
      </c>
      <c r="AK326">
        <v>600</v>
      </c>
      <c r="AP326" t="b">
        <v>0</v>
      </c>
      <c r="AX326" t="s">
        <v>2032</v>
      </c>
      <c r="AY326" t="s">
        <v>2033</v>
      </c>
      <c r="AZ326" t="s">
        <v>2034</v>
      </c>
      <c r="BA326" t="b">
        <v>0</v>
      </c>
    </row>
    <row r="327" spans="2:54" x14ac:dyDescent="0.2">
      <c r="B327" t="s">
        <v>2035</v>
      </c>
      <c r="C327" t="s">
        <v>2036</v>
      </c>
      <c r="H327" t="s">
        <v>60</v>
      </c>
      <c r="I327" t="s">
        <v>60</v>
      </c>
      <c r="L327" t="s">
        <v>219</v>
      </c>
      <c r="N327" s="1"/>
      <c r="S327" t="s">
        <v>71</v>
      </c>
      <c r="T327" s="1"/>
      <c r="AD327" s="1"/>
      <c r="AG327" t="s">
        <v>2037</v>
      </c>
      <c r="AH327" t="s">
        <v>1455</v>
      </c>
      <c r="AI327" t="s">
        <v>108</v>
      </c>
      <c r="AN327" t="s">
        <v>2342</v>
      </c>
      <c r="AP327" t="b">
        <v>0</v>
      </c>
      <c r="BA327" t="b">
        <v>0</v>
      </c>
    </row>
    <row r="328" spans="2:54" x14ac:dyDescent="0.2">
      <c r="B328" t="s">
        <v>2038</v>
      </c>
      <c r="C328" t="s">
        <v>2039</v>
      </c>
      <c r="F328" t="s">
        <v>2040</v>
      </c>
      <c r="H328" t="s">
        <v>60</v>
      </c>
      <c r="I328" t="s">
        <v>60</v>
      </c>
      <c r="J328" t="s">
        <v>58</v>
      </c>
      <c r="L328" t="s">
        <v>60</v>
      </c>
      <c r="N328" s="1"/>
      <c r="S328" t="s">
        <v>71</v>
      </c>
      <c r="T328" s="1"/>
      <c r="V328" t="s">
        <v>2041</v>
      </c>
      <c r="AD328" s="1"/>
      <c r="AG328" t="s">
        <v>2042</v>
      </c>
      <c r="AH328" t="s">
        <v>2043</v>
      </c>
      <c r="AI328" t="s">
        <v>108</v>
      </c>
      <c r="AO328" t="s">
        <v>2044</v>
      </c>
      <c r="AP328" t="b">
        <v>0</v>
      </c>
      <c r="BA328" t="b">
        <v>0</v>
      </c>
    </row>
    <row r="329" spans="2:54" x14ac:dyDescent="0.2">
      <c r="B329" t="s">
        <v>2045</v>
      </c>
      <c r="C329" t="s">
        <v>2046</v>
      </c>
      <c r="F329" t="s">
        <v>2047</v>
      </c>
      <c r="G329" t="s">
        <v>2047</v>
      </c>
      <c r="H329" t="s">
        <v>60</v>
      </c>
      <c r="I329" t="s">
        <v>448</v>
      </c>
      <c r="N329" s="1"/>
      <c r="S329" t="s">
        <v>71</v>
      </c>
      <c r="T329" s="1"/>
      <c r="V329" t="s">
        <v>2048</v>
      </c>
      <c r="W329" t="s">
        <v>2049</v>
      </c>
      <c r="X329" t="s">
        <v>2050</v>
      </c>
      <c r="Y329" t="s">
        <v>2051</v>
      </c>
      <c r="Z329" t="s">
        <v>70</v>
      </c>
      <c r="AD329" s="1"/>
      <c r="AE329" t="s">
        <v>2052</v>
      </c>
      <c r="AH329" t="s">
        <v>962</v>
      </c>
      <c r="AI329" t="s">
        <v>108</v>
      </c>
      <c r="AO329" t="s">
        <v>2053</v>
      </c>
      <c r="AP329" t="b">
        <v>0</v>
      </c>
      <c r="BA329" t="b">
        <v>0</v>
      </c>
    </row>
    <row r="330" spans="2:54" x14ac:dyDescent="0.2">
      <c r="B330" t="s">
        <v>2054</v>
      </c>
      <c r="C330" t="s">
        <v>2055</v>
      </c>
      <c r="H330" t="s">
        <v>88</v>
      </c>
      <c r="I330" t="s">
        <v>60</v>
      </c>
      <c r="J330" t="s">
        <v>220</v>
      </c>
      <c r="L330" t="s">
        <v>448</v>
      </c>
      <c r="N330" s="1">
        <v>40535</v>
      </c>
      <c r="S330" t="s">
        <v>125</v>
      </c>
      <c r="T330" s="1"/>
      <c r="V330" t="s">
        <v>2056</v>
      </c>
      <c r="AC330">
        <v>2011</v>
      </c>
      <c r="AD330" s="1"/>
      <c r="AE330" t="s">
        <v>2057</v>
      </c>
      <c r="AF330" t="s">
        <v>2058</v>
      </c>
      <c r="AG330" t="s">
        <v>2059</v>
      </c>
      <c r="AH330" t="s">
        <v>76</v>
      </c>
      <c r="AI330" t="s">
        <v>77</v>
      </c>
      <c r="AN330" t="s">
        <v>2060</v>
      </c>
      <c r="AP330" t="b">
        <v>0</v>
      </c>
      <c r="AQ330" t="s">
        <v>2061</v>
      </c>
      <c r="BA330" t="b">
        <v>0</v>
      </c>
    </row>
    <row r="331" spans="2:54" x14ac:dyDescent="0.2">
      <c r="B331" t="s">
        <v>2062</v>
      </c>
      <c r="C331" t="s">
        <v>2063</v>
      </c>
      <c r="E331">
        <v>2575</v>
      </c>
      <c r="F331" t="s">
        <v>2064</v>
      </c>
      <c r="G331" t="s">
        <v>2065</v>
      </c>
      <c r="H331" t="s">
        <v>60</v>
      </c>
      <c r="I331" t="s">
        <v>219</v>
      </c>
      <c r="J331" t="s">
        <v>220</v>
      </c>
      <c r="L331" t="s">
        <v>219</v>
      </c>
      <c r="N331" s="1">
        <v>40679</v>
      </c>
      <c r="S331" t="s">
        <v>71</v>
      </c>
      <c r="T331" s="1"/>
      <c r="U331" t="s">
        <v>2066</v>
      </c>
      <c r="V331" t="s">
        <v>2067</v>
      </c>
      <c r="W331" t="s">
        <v>2068</v>
      </c>
      <c r="X331" t="s">
        <v>2069</v>
      </c>
      <c r="Y331" t="s">
        <v>2070</v>
      </c>
      <c r="Z331" t="s">
        <v>2071</v>
      </c>
      <c r="AA331" t="s">
        <v>2072</v>
      </c>
      <c r="AC331">
        <v>2013</v>
      </c>
      <c r="AD331" s="1">
        <v>41607</v>
      </c>
      <c r="AE331" t="s">
        <v>2073</v>
      </c>
      <c r="AF331" t="s">
        <v>398</v>
      </c>
      <c r="AG331" t="s">
        <v>2074</v>
      </c>
      <c r="AH331" t="s">
        <v>295</v>
      </c>
      <c r="AI331" t="s">
        <v>77</v>
      </c>
      <c r="AK331">
        <v>450</v>
      </c>
      <c r="AN331" t="s">
        <v>2075</v>
      </c>
      <c r="AP331" t="b">
        <v>1</v>
      </c>
      <c r="AQ331" t="s">
        <v>79</v>
      </c>
      <c r="AS331" t="s">
        <v>2076</v>
      </c>
      <c r="AT331" t="s">
        <v>56</v>
      </c>
      <c r="AU331" t="s">
        <v>2077</v>
      </c>
      <c r="AV331" t="s">
        <v>2078</v>
      </c>
      <c r="AW331" t="s">
        <v>2079</v>
      </c>
      <c r="AY331" t="s">
        <v>2080</v>
      </c>
      <c r="BA331" t="b">
        <v>1</v>
      </c>
    </row>
    <row r="332" spans="2:54" x14ac:dyDescent="0.2">
      <c r="B332" t="s">
        <v>2081</v>
      </c>
      <c r="C332" t="s">
        <v>2082</v>
      </c>
      <c r="D332" t="s">
        <v>66</v>
      </c>
      <c r="E332">
        <v>7296</v>
      </c>
      <c r="F332" t="s">
        <v>2083</v>
      </c>
      <c r="H332" t="s">
        <v>60</v>
      </c>
      <c r="I332" t="s">
        <v>244</v>
      </c>
      <c r="J332" t="s">
        <v>1505</v>
      </c>
      <c r="K332" t="s">
        <v>70</v>
      </c>
      <c r="L332" t="s">
        <v>1506</v>
      </c>
      <c r="M332" t="s">
        <v>70</v>
      </c>
      <c r="N332" s="1"/>
      <c r="S332" t="s">
        <v>367</v>
      </c>
      <c r="T332" s="1"/>
      <c r="U332" t="s">
        <v>70</v>
      </c>
      <c r="V332" t="s">
        <v>2084</v>
      </c>
      <c r="W332" t="s">
        <v>2085</v>
      </c>
      <c r="X332" t="s">
        <v>2086</v>
      </c>
      <c r="Y332" t="s">
        <v>2087</v>
      </c>
      <c r="Z332" t="s">
        <v>2088</v>
      </c>
      <c r="AA332" t="s">
        <v>2089</v>
      </c>
      <c r="AB332" t="s">
        <v>4349</v>
      </c>
      <c r="AC332">
        <v>2015</v>
      </c>
      <c r="AD332" s="1"/>
      <c r="AE332" t="s">
        <v>2090</v>
      </c>
      <c r="AF332" t="s">
        <v>355</v>
      </c>
      <c r="AG332" t="s">
        <v>2091</v>
      </c>
      <c r="AH332" t="s">
        <v>76</v>
      </c>
      <c r="AI332" t="s">
        <v>77</v>
      </c>
      <c r="AJ332" t="s">
        <v>63</v>
      </c>
      <c r="AK332">
        <v>450</v>
      </c>
      <c r="AL332" t="s">
        <v>70</v>
      </c>
      <c r="AM332" t="s">
        <v>70</v>
      </c>
      <c r="AN332" t="s">
        <v>2092</v>
      </c>
      <c r="AO332" t="s">
        <v>2093</v>
      </c>
      <c r="AP332" t="b">
        <v>1</v>
      </c>
      <c r="AQ332" t="s">
        <v>79</v>
      </c>
      <c r="AR332" t="s">
        <v>2094</v>
      </c>
      <c r="AV332" t="s">
        <v>2095</v>
      </c>
      <c r="AW332" t="s">
        <v>2096</v>
      </c>
      <c r="AX332" t="s">
        <v>2097</v>
      </c>
      <c r="AY332" t="s">
        <v>508</v>
      </c>
      <c r="AZ332" t="s">
        <v>464</v>
      </c>
      <c r="BA332" t="b">
        <v>1</v>
      </c>
      <c r="BB332" t="s">
        <v>2098</v>
      </c>
    </row>
    <row r="333" spans="2:54" x14ac:dyDescent="0.2">
      <c r="B333" t="s">
        <v>2099</v>
      </c>
      <c r="C333" t="s">
        <v>2100</v>
      </c>
      <c r="H333" t="s">
        <v>60</v>
      </c>
      <c r="I333" t="s">
        <v>60</v>
      </c>
      <c r="N333" s="1"/>
      <c r="S333" t="s">
        <v>1713</v>
      </c>
      <c r="T333" s="1"/>
      <c r="AC333">
        <v>2011</v>
      </c>
      <c r="AD333" s="1"/>
      <c r="AI333" t="s">
        <v>77</v>
      </c>
      <c r="AP333" t="b">
        <v>0</v>
      </c>
      <c r="BA333" t="b">
        <v>0</v>
      </c>
    </row>
    <row r="334" spans="2:54" x14ac:dyDescent="0.2">
      <c r="B334" t="s">
        <v>2101</v>
      </c>
      <c r="C334" t="s">
        <v>2102</v>
      </c>
      <c r="F334" t="s">
        <v>2103</v>
      </c>
      <c r="G334" t="s">
        <v>2104</v>
      </c>
      <c r="H334" t="s">
        <v>60</v>
      </c>
      <c r="I334" t="s">
        <v>448</v>
      </c>
      <c r="L334" t="s">
        <v>448</v>
      </c>
      <c r="N334" s="1"/>
      <c r="S334" t="s">
        <v>71</v>
      </c>
      <c r="T334" s="1"/>
      <c r="V334" t="s">
        <v>2105</v>
      </c>
      <c r="W334" t="s">
        <v>2106</v>
      </c>
      <c r="X334" t="s">
        <v>2107</v>
      </c>
      <c r="AD334" s="1"/>
      <c r="AE334" t="s">
        <v>2108</v>
      </c>
      <c r="AF334" t="s">
        <v>899</v>
      </c>
      <c r="AH334" t="s">
        <v>83</v>
      </c>
      <c r="AI334" t="s">
        <v>108</v>
      </c>
      <c r="AJ334" t="s">
        <v>2109</v>
      </c>
      <c r="AK334">
        <v>460</v>
      </c>
      <c r="AO334" t="s">
        <v>2110</v>
      </c>
      <c r="AP334" t="b">
        <v>0</v>
      </c>
      <c r="BA334" t="b">
        <v>1</v>
      </c>
      <c r="BB334" t="s">
        <v>2111</v>
      </c>
    </row>
    <row r="335" spans="2:54" x14ac:dyDescent="0.2">
      <c r="B335" t="s">
        <v>2112</v>
      </c>
      <c r="C335" t="s">
        <v>2113</v>
      </c>
      <c r="H335" t="s">
        <v>88</v>
      </c>
      <c r="N335" s="1"/>
      <c r="S335" t="s">
        <v>125</v>
      </c>
      <c r="T335" s="1"/>
      <c r="AD335" s="1"/>
      <c r="AG335" t="s">
        <v>2114</v>
      </c>
      <c r="AH335" t="s">
        <v>93</v>
      </c>
      <c r="AI335" t="s">
        <v>108</v>
      </c>
      <c r="AN335" t="s">
        <v>2342</v>
      </c>
      <c r="AP335" t="b">
        <v>0</v>
      </c>
      <c r="BA335" t="b">
        <v>0</v>
      </c>
    </row>
    <row r="336" spans="2:54" x14ac:dyDescent="0.2">
      <c r="B336" t="s">
        <v>2115</v>
      </c>
      <c r="C336" t="s">
        <v>2116</v>
      </c>
      <c r="H336" t="s">
        <v>60</v>
      </c>
      <c r="I336" t="s">
        <v>448</v>
      </c>
      <c r="J336" t="s">
        <v>220</v>
      </c>
      <c r="K336" t="s">
        <v>58</v>
      </c>
      <c r="L336" t="s">
        <v>219</v>
      </c>
      <c r="M336" t="s">
        <v>244</v>
      </c>
      <c r="N336" s="1"/>
      <c r="S336" t="s">
        <v>125</v>
      </c>
      <c r="T336" s="1"/>
      <c r="AD336" s="1"/>
      <c r="AH336" t="s">
        <v>83</v>
      </c>
      <c r="AI336" t="s">
        <v>108</v>
      </c>
      <c r="AP336" t="b">
        <v>0</v>
      </c>
      <c r="BA336" t="b">
        <v>0</v>
      </c>
      <c r="BB336" t="s">
        <v>70</v>
      </c>
    </row>
    <row r="337" spans="2:54" x14ac:dyDescent="0.2">
      <c r="B337" t="s">
        <v>2117</v>
      </c>
      <c r="C337" t="s">
        <v>2118</v>
      </c>
      <c r="H337" t="s">
        <v>2119</v>
      </c>
      <c r="I337" t="s">
        <v>2120</v>
      </c>
      <c r="J337" t="s">
        <v>58</v>
      </c>
      <c r="L337" t="s">
        <v>448</v>
      </c>
      <c r="N337" s="1"/>
      <c r="S337" t="s">
        <v>71</v>
      </c>
      <c r="T337" s="1"/>
      <c r="AD337" s="1"/>
      <c r="AH337" t="s">
        <v>295</v>
      </c>
      <c r="AI337" t="s">
        <v>108</v>
      </c>
      <c r="AP337" t="b">
        <v>0</v>
      </c>
      <c r="AY337" t="s">
        <v>2121</v>
      </c>
      <c r="BA337" t="b">
        <v>0</v>
      </c>
    </row>
    <row r="338" spans="2:54" x14ac:dyDescent="0.2">
      <c r="B338" t="s">
        <v>2122</v>
      </c>
      <c r="C338" t="s">
        <v>2123</v>
      </c>
      <c r="H338" t="s">
        <v>60</v>
      </c>
      <c r="I338" t="s">
        <v>60</v>
      </c>
      <c r="L338" t="s">
        <v>448</v>
      </c>
      <c r="N338" s="1"/>
      <c r="S338" t="s">
        <v>125</v>
      </c>
      <c r="T338" s="1"/>
      <c r="AD338" s="1"/>
      <c r="AG338" t="s">
        <v>2124</v>
      </c>
      <c r="AH338" t="s">
        <v>962</v>
      </c>
      <c r="AI338" t="s">
        <v>77</v>
      </c>
      <c r="AN338" t="s">
        <v>2342</v>
      </c>
      <c r="AP338" t="b">
        <v>0</v>
      </c>
      <c r="BA338" t="b">
        <v>0</v>
      </c>
    </row>
    <row r="339" spans="2:54" x14ac:dyDescent="0.2">
      <c r="B339" t="s">
        <v>2125</v>
      </c>
      <c r="C339" t="s">
        <v>2126</v>
      </c>
      <c r="F339" t="s">
        <v>2127</v>
      </c>
      <c r="G339" t="s">
        <v>1919</v>
      </c>
      <c r="H339" t="s">
        <v>60</v>
      </c>
      <c r="I339" t="s">
        <v>448</v>
      </c>
      <c r="N339" s="1"/>
      <c r="S339" t="s">
        <v>125</v>
      </c>
      <c r="T339" s="1"/>
      <c r="W339" t="s">
        <v>2128</v>
      </c>
      <c r="AD339" s="1"/>
      <c r="AE339" t="s">
        <v>2129</v>
      </c>
      <c r="AF339" t="s">
        <v>2130</v>
      </c>
      <c r="AH339" t="s">
        <v>962</v>
      </c>
      <c r="AI339" t="s">
        <v>108</v>
      </c>
      <c r="AN339" t="s">
        <v>2342</v>
      </c>
      <c r="AO339" t="s">
        <v>378</v>
      </c>
      <c r="AP339" t="b">
        <v>0</v>
      </c>
      <c r="BA339" t="b">
        <v>0</v>
      </c>
    </row>
    <row r="340" spans="2:54" x14ac:dyDescent="0.2">
      <c r="B340" t="s">
        <v>2131</v>
      </c>
      <c r="C340" t="s">
        <v>2132</v>
      </c>
      <c r="E340">
        <v>2524</v>
      </c>
      <c r="F340" t="s">
        <v>2133</v>
      </c>
      <c r="G340" t="s">
        <v>2134</v>
      </c>
      <c r="H340" t="s">
        <v>60</v>
      </c>
      <c r="I340" t="s">
        <v>1968</v>
      </c>
      <c r="J340" t="s">
        <v>366</v>
      </c>
      <c r="L340" t="s">
        <v>1968</v>
      </c>
      <c r="M340" t="s">
        <v>448</v>
      </c>
      <c r="N340" s="1">
        <v>40590</v>
      </c>
      <c r="S340" t="s">
        <v>1737</v>
      </c>
      <c r="T340" s="1"/>
      <c r="V340" t="s">
        <v>2135</v>
      </c>
      <c r="W340" t="s">
        <v>2136</v>
      </c>
      <c r="X340" t="s">
        <v>2137</v>
      </c>
      <c r="Y340" t="s">
        <v>2138</v>
      </c>
      <c r="Z340" t="s">
        <v>2139</v>
      </c>
      <c r="AD340" s="1"/>
      <c r="AE340" t="s">
        <v>2140</v>
      </c>
      <c r="AF340" t="s">
        <v>2141</v>
      </c>
      <c r="AG340" t="s">
        <v>2142</v>
      </c>
      <c r="AH340" t="s">
        <v>83</v>
      </c>
      <c r="AI340" t="s">
        <v>77</v>
      </c>
      <c r="AK340">
        <v>480</v>
      </c>
      <c r="AN340" t="s">
        <v>2143</v>
      </c>
      <c r="AO340" t="s">
        <v>2144</v>
      </c>
      <c r="AP340" t="b">
        <v>1</v>
      </c>
      <c r="AQ340" t="s">
        <v>79</v>
      </c>
      <c r="AS340" t="s">
        <v>2145</v>
      </c>
      <c r="AT340" t="s">
        <v>1592</v>
      </c>
      <c r="AW340" t="s">
        <v>2146</v>
      </c>
      <c r="AX340" t="s">
        <v>2147</v>
      </c>
      <c r="AY340" t="s">
        <v>2148</v>
      </c>
      <c r="AZ340" t="s">
        <v>2149</v>
      </c>
      <c r="BA340" t="b">
        <v>1</v>
      </c>
      <c r="BB340" t="s">
        <v>2150</v>
      </c>
    </row>
    <row r="341" spans="2:54" x14ac:dyDescent="0.2">
      <c r="B341" t="s">
        <v>2151</v>
      </c>
      <c r="C341" t="s">
        <v>2152</v>
      </c>
      <c r="E341">
        <v>135</v>
      </c>
      <c r="N341" s="1"/>
      <c r="S341" t="s">
        <v>71</v>
      </c>
      <c r="T341" s="1"/>
      <c r="V341" t="s">
        <v>2153</v>
      </c>
      <c r="AD341" s="1"/>
      <c r="AG341" t="s">
        <v>2154</v>
      </c>
      <c r="AH341" t="s">
        <v>83</v>
      </c>
      <c r="AI341" t="s">
        <v>108</v>
      </c>
      <c r="AO341" t="s">
        <v>2155</v>
      </c>
      <c r="AP341" t="b">
        <v>0</v>
      </c>
      <c r="BA341" t="b">
        <v>0</v>
      </c>
    </row>
    <row r="342" spans="2:54" x14ac:dyDescent="0.2">
      <c r="B342" t="s">
        <v>2156</v>
      </c>
      <c r="C342" t="s">
        <v>2157</v>
      </c>
      <c r="E342">
        <v>6990</v>
      </c>
      <c r="F342" t="s">
        <v>2158</v>
      </c>
      <c r="G342" t="s">
        <v>2159</v>
      </c>
      <c r="H342" t="s">
        <v>88</v>
      </c>
      <c r="I342" t="s">
        <v>1505</v>
      </c>
      <c r="J342" t="s">
        <v>59</v>
      </c>
      <c r="L342" t="s">
        <v>2160</v>
      </c>
      <c r="N342" s="1">
        <v>41033</v>
      </c>
      <c r="S342" t="s">
        <v>367</v>
      </c>
      <c r="T342" s="1">
        <v>41117</v>
      </c>
      <c r="U342" t="s">
        <v>2161</v>
      </c>
      <c r="V342" t="s">
        <v>2162</v>
      </c>
      <c r="W342" t="s">
        <v>2163</v>
      </c>
      <c r="X342" t="s">
        <v>2164</v>
      </c>
      <c r="Y342" t="s">
        <v>2165</v>
      </c>
      <c r="Z342" t="s">
        <v>2166</v>
      </c>
      <c r="AC342">
        <v>2015</v>
      </c>
      <c r="AD342" s="1"/>
      <c r="AE342" t="s">
        <v>2167</v>
      </c>
      <c r="AF342" t="s">
        <v>120</v>
      </c>
      <c r="AG342" t="s">
        <v>2168</v>
      </c>
      <c r="AH342" t="s">
        <v>76</v>
      </c>
      <c r="AI342" t="s">
        <v>77</v>
      </c>
      <c r="AK342">
        <v>675</v>
      </c>
      <c r="AN342" t="s">
        <v>2169</v>
      </c>
      <c r="AO342" t="s">
        <v>2144</v>
      </c>
      <c r="AP342" t="b">
        <v>1</v>
      </c>
      <c r="AQ342" t="s">
        <v>79</v>
      </c>
      <c r="AS342" t="s">
        <v>2170</v>
      </c>
      <c r="AT342" t="s">
        <v>2171</v>
      </c>
      <c r="AV342" t="s">
        <v>2172</v>
      </c>
      <c r="AW342" t="s">
        <v>2173</v>
      </c>
      <c r="AX342" t="s">
        <v>2174</v>
      </c>
      <c r="AY342" t="s">
        <v>2175</v>
      </c>
      <c r="AZ342" t="s">
        <v>2176</v>
      </c>
      <c r="BA342" t="b">
        <v>1</v>
      </c>
      <c r="BB342" t="s">
        <v>2177</v>
      </c>
    </row>
    <row r="343" spans="2:54" x14ac:dyDescent="0.2">
      <c r="B343" t="s">
        <v>2178</v>
      </c>
      <c r="C343" t="s">
        <v>2179</v>
      </c>
      <c r="E343">
        <v>1400</v>
      </c>
      <c r="F343" t="s">
        <v>2180</v>
      </c>
      <c r="G343" t="s">
        <v>2181</v>
      </c>
      <c r="H343" t="s">
        <v>60</v>
      </c>
      <c r="I343" t="s">
        <v>448</v>
      </c>
      <c r="J343" t="s">
        <v>2182</v>
      </c>
      <c r="L343" t="s">
        <v>448</v>
      </c>
      <c r="N343" s="1"/>
      <c r="S343" t="s">
        <v>125</v>
      </c>
      <c r="T343" s="1"/>
      <c r="V343" t="s">
        <v>2183</v>
      </c>
      <c r="AD343" s="1"/>
      <c r="AE343" t="s">
        <v>2184</v>
      </c>
      <c r="AF343" t="s">
        <v>2185</v>
      </c>
      <c r="AG343" t="s">
        <v>2186</v>
      </c>
      <c r="AH343" t="s">
        <v>83</v>
      </c>
      <c r="AI343" t="s">
        <v>108</v>
      </c>
      <c r="AN343" t="s">
        <v>2342</v>
      </c>
      <c r="AO343" t="s">
        <v>2187</v>
      </c>
      <c r="AP343" t="b">
        <v>0</v>
      </c>
      <c r="BA343" t="b">
        <v>0</v>
      </c>
      <c r="BB343" t="s">
        <v>2188</v>
      </c>
    </row>
    <row r="344" spans="2:54" x14ac:dyDescent="0.2">
      <c r="B344" t="s">
        <v>2189</v>
      </c>
      <c r="C344" t="s">
        <v>2190</v>
      </c>
      <c r="F344" t="s">
        <v>2191</v>
      </c>
      <c r="H344" t="s">
        <v>88</v>
      </c>
      <c r="I344" t="s">
        <v>448</v>
      </c>
      <c r="J344" t="s">
        <v>2192</v>
      </c>
      <c r="K344" t="s">
        <v>58</v>
      </c>
      <c r="L344" t="s">
        <v>70</v>
      </c>
      <c r="N344" s="1"/>
      <c r="S344" t="s">
        <v>125</v>
      </c>
      <c r="T344" s="1"/>
      <c r="AD344" s="1"/>
      <c r="AE344" t="s">
        <v>2193</v>
      </c>
      <c r="AF344" t="s">
        <v>2185</v>
      </c>
      <c r="AH344" t="s">
        <v>83</v>
      </c>
      <c r="AI344" t="s">
        <v>108</v>
      </c>
      <c r="AN344" t="s">
        <v>2342</v>
      </c>
      <c r="AP344" t="b">
        <v>0</v>
      </c>
      <c r="BA344" t="b">
        <v>0</v>
      </c>
      <c r="BB344" t="s">
        <v>2194</v>
      </c>
    </row>
    <row r="345" spans="2:54" x14ac:dyDescent="0.2">
      <c r="B345" t="s">
        <v>2195</v>
      </c>
      <c r="C345" t="s">
        <v>2196</v>
      </c>
      <c r="E345">
        <v>1303</v>
      </c>
      <c r="F345" t="s">
        <v>2197</v>
      </c>
      <c r="H345" t="s">
        <v>60</v>
      </c>
      <c r="I345" t="s">
        <v>1968</v>
      </c>
      <c r="J345" t="s">
        <v>58</v>
      </c>
      <c r="L345" t="s">
        <v>1968</v>
      </c>
      <c r="N345" s="1"/>
      <c r="S345" t="s">
        <v>125</v>
      </c>
      <c r="T345" s="1">
        <v>41228</v>
      </c>
      <c r="U345" t="s">
        <v>2198</v>
      </c>
      <c r="V345" t="s">
        <v>2199</v>
      </c>
      <c r="W345" t="s">
        <v>2200</v>
      </c>
      <c r="X345" t="s">
        <v>2201</v>
      </c>
      <c r="Y345" t="s">
        <v>2202</v>
      </c>
      <c r="AC345">
        <v>2015</v>
      </c>
      <c r="AD345" s="1">
        <v>42118</v>
      </c>
      <c r="AE345" t="s">
        <v>2203</v>
      </c>
      <c r="AF345" t="s">
        <v>2204</v>
      </c>
      <c r="AG345" t="s">
        <v>2205</v>
      </c>
      <c r="AH345" t="s">
        <v>83</v>
      </c>
      <c r="AI345" t="s">
        <v>70</v>
      </c>
      <c r="AJ345" t="s">
        <v>2206</v>
      </c>
      <c r="AK345">
        <v>379</v>
      </c>
      <c r="AN345" t="s">
        <v>2207</v>
      </c>
      <c r="AO345" t="s">
        <v>2144</v>
      </c>
      <c r="AP345" t="b">
        <v>1</v>
      </c>
      <c r="AQ345" t="s">
        <v>79</v>
      </c>
      <c r="AY345" t="s">
        <v>2208</v>
      </c>
      <c r="BA345" t="b">
        <v>1</v>
      </c>
      <c r="BB345" t="s">
        <v>2209</v>
      </c>
    </row>
    <row r="346" spans="2:54" x14ac:dyDescent="0.2">
      <c r="B346" t="s">
        <v>2210</v>
      </c>
      <c r="C346" t="s">
        <v>2211</v>
      </c>
      <c r="H346" t="s">
        <v>88</v>
      </c>
      <c r="I346" t="s">
        <v>88</v>
      </c>
      <c r="J346" t="s">
        <v>58</v>
      </c>
      <c r="K346" t="s">
        <v>366</v>
      </c>
      <c r="L346" t="s">
        <v>244</v>
      </c>
      <c r="N346" s="1">
        <v>40644</v>
      </c>
      <c r="S346" t="s">
        <v>125</v>
      </c>
      <c r="T346" s="1"/>
      <c r="V346" t="s">
        <v>2212</v>
      </c>
      <c r="AD346" s="1"/>
      <c r="AG346" t="s">
        <v>2213</v>
      </c>
      <c r="AH346" t="s">
        <v>164</v>
      </c>
      <c r="AI346" t="s">
        <v>108</v>
      </c>
      <c r="AN346" t="s">
        <v>2342</v>
      </c>
      <c r="AO346" t="s">
        <v>2214</v>
      </c>
      <c r="AP346" t="b">
        <v>0</v>
      </c>
      <c r="BA346" t="b">
        <v>0</v>
      </c>
    </row>
    <row r="347" spans="2:54" x14ac:dyDescent="0.2">
      <c r="B347" t="s">
        <v>2215</v>
      </c>
      <c r="C347" t="s">
        <v>2216</v>
      </c>
      <c r="N347" s="1"/>
      <c r="S347" t="s">
        <v>125</v>
      </c>
      <c r="T347" s="1"/>
      <c r="AD347" s="1"/>
      <c r="AP347" t="b">
        <v>0</v>
      </c>
      <c r="BA347" t="b">
        <v>0</v>
      </c>
    </row>
    <row r="348" spans="2:54" x14ac:dyDescent="0.2">
      <c r="B348" t="s">
        <v>2217</v>
      </c>
      <c r="C348" t="s">
        <v>2218</v>
      </c>
      <c r="E348">
        <v>2000</v>
      </c>
      <c r="L348" t="s">
        <v>244</v>
      </c>
      <c r="N348" s="1"/>
      <c r="S348" t="s">
        <v>71</v>
      </c>
      <c r="T348" s="1"/>
      <c r="V348" t="s">
        <v>2153</v>
      </c>
      <c r="W348" t="s">
        <v>2219</v>
      </c>
      <c r="AD348" s="1"/>
      <c r="AG348" t="s">
        <v>2220</v>
      </c>
      <c r="AH348" t="s">
        <v>76</v>
      </c>
      <c r="AI348" t="s">
        <v>108</v>
      </c>
      <c r="AO348" t="s">
        <v>2221</v>
      </c>
      <c r="AP348" t="b">
        <v>0</v>
      </c>
      <c r="BA348" t="b">
        <v>0</v>
      </c>
      <c r="BB348" t="s">
        <v>2222</v>
      </c>
    </row>
    <row r="349" spans="2:54" x14ac:dyDescent="0.2">
      <c r="B349" t="s">
        <v>2223</v>
      </c>
      <c r="C349" t="s">
        <v>2224</v>
      </c>
      <c r="L349" t="s">
        <v>70</v>
      </c>
      <c r="N349" s="1"/>
      <c r="S349" t="s">
        <v>71</v>
      </c>
      <c r="T349" s="1"/>
      <c r="V349" t="s">
        <v>2225</v>
      </c>
      <c r="W349" t="s">
        <v>2226</v>
      </c>
      <c r="AD349" s="1"/>
      <c r="AG349" t="s">
        <v>2220</v>
      </c>
      <c r="AH349" t="s">
        <v>83</v>
      </c>
      <c r="AI349" t="s">
        <v>2227</v>
      </c>
      <c r="AO349" t="s">
        <v>2228</v>
      </c>
      <c r="AP349" t="b">
        <v>0</v>
      </c>
      <c r="BA349" t="b">
        <v>0</v>
      </c>
      <c r="BB349" t="s">
        <v>2229</v>
      </c>
    </row>
    <row r="350" spans="2:54" x14ac:dyDescent="0.2">
      <c r="B350" t="s">
        <v>2230</v>
      </c>
      <c r="C350" t="s">
        <v>2231</v>
      </c>
      <c r="E350">
        <v>1897</v>
      </c>
      <c r="N350" s="1"/>
      <c r="S350" t="s">
        <v>71</v>
      </c>
      <c r="T350" s="1"/>
      <c r="V350" t="s">
        <v>2225</v>
      </c>
      <c r="W350" t="s">
        <v>2226</v>
      </c>
      <c r="AD350" s="1"/>
      <c r="AG350" t="s">
        <v>2232</v>
      </c>
      <c r="AH350" t="s">
        <v>83</v>
      </c>
      <c r="AI350" t="s">
        <v>2227</v>
      </c>
      <c r="AO350" t="s">
        <v>2233</v>
      </c>
      <c r="AP350" t="b">
        <v>0</v>
      </c>
      <c r="BA350" t="b">
        <v>0</v>
      </c>
      <c r="BB350" t="s">
        <v>2234</v>
      </c>
    </row>
    <row r="351" spans="2:54" x14ac:dyDescent="0.2">
      <c r="B351" t="s">
        <v>2235</v>
      </c>
      <c r="C351" t="s">
        <v>2236</v>
      </c>
      <c r="E351">
        <v>2310</v>
      </c>
      <c r="H351" t="s">
        <v>60</v>
      </c>
      <c r="I351" t="s">
        <v>244</v>
      </c>
      <c r="N351" s="1"/>
      <c r="S351" t="s">
        <v>71</v>
      </c>
      <c r="T351" s="1"/>
      <c r="V351" t="s">
        <v>2237</v>
      </c>
      <c r="AD351" s="1"/>
      <c r="AI351" t="s">
        <v>2227</v>
      </c>
      <c r="AO351" t="s">
        <v>2238</v>
      </c>
      <c r="AP351" t="b">
        <v>0</v>
      </c>
      <c r="BA351" t="b">
        <v>0</v>
      </c>
    </row>
    <row r="352" spans="2:54" x14ac:dyDescent="0.2">
      <c r="B352" t="s">
        <v>2239</v>
      </c>
      <c r="C352" t="s">
        <v>2240</v>
      </c>
      <c r="I352" t="s">
        <v>220</v>
      </c>
      <c r="J352" t="s">
        <v>2192</v>
      </c>
      <c r="N352" s="1"/>
      <c r="S352" t="s">
        <v>71</v>
      </c>
      <c r="T352" s="1"/>
      <c r="AD352" s="1"/>
      <c r="AH352" t="s">
        <v>83</v>
      </c>
      <c r="AI352" t="s">
        <v>108</v>
      </c>
      <c r="AP352" t="b">
        <v>0</v>
      </c>
      <c r="BA352" t="b">
        <v>0</v>
      </c>
    </row>
    <row r="353" spans="2:54" x14ac:dyDescent="0.2">
      <c r="B353" t="s">
        <v>2241</v>
      </c>
      <c r="C353" t="s">
        <v>2242</v>
      </c>
      <c r="E353">
        <v>20000</v>
      </c>
      <c r="F353" t="s">
        <v>56</v>
      </c>
      <c r="H353" t="s">
        <v>88</v>
      </c>
      <c r="I353" t="s">
        <v>88</v>
      </c>
      <c r="N353" s="1"/>
      <c r="S353" t="s">
        <v>125</v>
      </c>
      <c r="T353" s="1"/>
      <c r="AD353" s="1"/>
      <c r="AG353" t="s">
        <v>2243</v>
      </c>
      <c r="AH353" t="s">
        <v>295</v>
      </c>
      <c r="AI353" t="s">
        <v>108</v>
      </c>
      <c r="AJ353" t="s">
        <v>2244</v>
      </c>
      <c r="AP353" t="b">
        <v>0</v>
      </c>
      <c r="BA353" t="b">
        <v>0</v>
      </c>
    </row>
    <row r="354" spans="2:54" x14ac:dyDescent="0.2">
      <c r="B354" t="s">
        <v>2245</v>
      </c>
      <c r="C354" t="s">
        <v>2246</v>
      </c>
      <c r="H354" t="s">
        <v>60</v>
      </c>
      <c r="I354" t="s">
        <v>60</v>
      </c>
      <c r="J354" t="s">
        <v>70</v>
      </c>
      <c r="L354" t="s">
        <v>61</v>
      </c>
      <c r="N354" s="1">
        <v>40729</v>
      </c>
      <c r="S354" t="s">
        <v>125</v>
      </c>
      <c r="T354" s="1"/>
      <c r="AD354" s="1"/>
      <c r="AE354" t="s">
        <v>2247</v>
      </c>
      <c r="AF354" t="s">
        <v>293</v>
      </c>
      <c r="AG354" t="s">
        <v>2248</v>
      </c>
      <c r="AH354" t="s">
        <v>93</v>
      </c>
      <c r="AI354" t="s">
        <v>77</v>
      </c>
      <c r="AP354" t="b">
        <v>1</v>
      </c>
      <c r="BA354" t="b">
        <v>0</v>
      </c>
    </row>
    <row r="355" spans="2:54" x14ac:dyDescent="0.2">
      <c r="B355" t="s">
        <v>2249</v>
      </c>
      <c r="C355" t="s">
        <v>2250</v>
      </c>
      <c r="E355">
        <v>5537</v>
      </c>
      <c r="F355" t="s">
        <v>3734</v>
      </c>
      <c r="H355" t="s">
        <v>88</v>
      </c>
      <c r="I355" t="s">
        <v>244</v>
      </c>
      <c r="J355" t="s">
        <v>3028</v>
      </c>
      <c r="K355" t="s">
        <v>2251</v>
      </c>
      <c r="L355" t="s">
        <v>2160</v>
      </c>
      <c r="N355" s="1">
        <v>41990</v>
      </c>
      <c r="S355" t="s">
        <v>1699</v>
      </c>
      <c r="T355" s="1">
        <v>42083</v>
      </c>
      <c r="U355" t="s">
        <v>2252</v>
      </c>
      <c r="V355" t="s">
        <v>3735</v>
      </c>
      <c r="W355" t="s">
        <v>70</v>
      </c>
      <c r="AD355" s="1">
        <v>42083</v>
      </c>
      <c r="AE355" t="s">
        <v>3736</v>
      </c>
      <c r="AG355" t="s">
        <v>2253</v>
      </c>
      <c r="AH355" t="s">
        <v>83</v>
      </c>
      <c r="AI355" t="s">
        <v>2254</v>
      </c>
      <c r="AK355">
        <v>672</v>
      </c>
      <c r="AN355" t="s">
        <v>2255</v>
      </c>
      <c r="AP355" t="b">
        <v>0</v>
      </c>
      <c r="AQ355" t="s">
        <v>79</v>
      </c>
      <c r="AV355" t="s">
        <v>2256</v>
      </c>
      <c r="AW355" t="s">
        <v>2257</v>
      </c>
      <c r="AX355" t="s">
        <v>2258</v>
      </c>
      <c r="AY355" t="s">
        <v>1740</v>
      </c>
      <c r="AZ355" t="s">
        <v>2259</v>
      </c>
      <c r="BA355" t="b">
        <v>0</v>
      </c>
      <c r="BB355" t="s">
        <v>2260</v>
      </c>
    </row>
    <row r="356" spans="2:54" x14ac:dyDescent="0.2">
      <c r="B356" t="s">
        <v>2261</v>
      </c>
      <c r="C356" t="s">
        <v>2262</v>
      </c>
      <c r="H356" t="s">
        <v>60</v>
      </c>
      <c r="I356" t="s">
        <v>220</v>
      </c>
      <c r="J356" t="s">
        <v>220</v>
      </c>
      <c r="L356" t="s">
        <v>448</v>
      </c>
      <c r="N356" s="1"/>
      <c r="S356" t="s">
        <v>71</v>
      </c>
      <c r="T356" s="1"/>
      <c r="AD356" s="1"/>
      <c r="AH356" t="s">
        <v>83</v>
      </c>
      <c r="AI356" t="s">
        <v>77</v>
      </c>
      <c r="AP356" t="b">
        <v>0</v>
      </c>
      <c r="BA356" t="b">
        <v>0</v>
      </c>
    </row>
    <row r="357" spans="2:54" x14ac:dyDescent="0.2">
      <c r="B357" t="s">
        <v>2263</v>
      </c>
      <c r="C357" t="s">
        <v>2264</v>
      </c>
      <c r="H357" t="s">
        <v>60</v>
      </c>
      <c r="I357" t="s">
        <v>219</v>
      </c>
      <c r="L357" t="s">
        <v>288</v>
      </c>
      <c r="N357" s="1"/>
      <c r="S357" t="s">
        <v>125</v>
      </c>
      <c r="T357" s="1"/>
      <c r="AD357" s="1"/>
      <c r="AP357" t="b">
        <v>0</v>
      </c>
      <c r="BA357" t="b">
        <v>0</v>
      </c>
    </row>
    <row r="358" spans="2:54" x14ac:dyDescent="0.2">
      <c r="B358" t="s">
        <v>2265</v>
      </c>
      <c r="C358" t="s">
        <v>2266</v>
      </c>
      <c r="H358" t="s">
        <v>60</v>
      </c>
      <c r="I358" t="s">
        <v>244</v>
      </c>
      <c r="J358" t="s">
        <v>2251</v>
      </c>
      <c r="L358" t="s">
        <v>491</v>
      </c>
      <c r="N358" s="1"/>
      <c r="S358" t="s">
        <v>62</v>
      </c>
      <c r="T358" s="1"/>
      <c r="V358" t="s">
        <v>2267</v>
      </c>
      <c r="AD358" s="1"/>
      <c r="AE358" t="s">
        <v>2268</v>
      </c>
      <c r="AF358" t="s">
        <v>2130</v>
      </c>
      <c r="AG358" t="s">
        <v>2269</v>
      </c>
      <c r="AH358" t="s">
        <v>295</v>
      </c>
      <c r="AI358" t="s">
        <v>108</v>
      </c>
      <c r="AN358" t="s">
        <v>2270</v>
      </c>
      <c r="AP358" t="b">
        <v>1</v>
      </c>
      <c r="BA358" t="b">
        <v>0</v>
      </c>
    </row>
    <row r="359" spans="2:54" x14ac:dyDescent="0.2">
      <c r="B359" t="s">
        <v>2271</v>
      </c>
      <c r="C359" t="s">
        <v>2272</v>
      </c>
      <c r="H359" t="s">
        <v>60</v>
      </c>
      <c r="I359" t="s">
        <v>244</v>
      </c>
      <c r="N359" s="1"/>
      <c r="T359" s="1"/>
      <c r="AD359" s="1"/>
      <c r="AN359" t="s">
        <v>2342</v>
      </c>
      <c r="AP359" t="b">
        <v>0</v>
      </c>
      <c r="BA359" t="b">
        <v>0</v>
      </c>
    </row>
    <row r="360" spans="2:54" x14ac:dyDescent="0.2">
      <c r="B360" t="s">
        <v>2273</v>
      </c>
      <c r="C360" t="s">
        <v>2274</v>
      </c>
      <c r="E360">
        <v>1871</v>
      </c>
      <c r="F360" t="s">
        <v>2275</v>
      </c>
      <c r="H360" t="s">
        <v>88</v>
      </c>
      <c r="I360" t="s">
        <v>2251</v>
      </c>
      <c r="J360" t="s">
        <v>2251</v>
      </c>
      <c r="L360" t="s">
        <v>2276</v>
      </c>
      <c r="N360" s="1"/>
      <c r="S360" t="s">
        <v>1737</v>
      </c>
      <c r="T360" s="1">
        <v>42181</v>
      </c>
      <c r="U360" t="s">
        <v>2277</v>
      </c>
      <c r="V360" t="s">
        <v>2278</v>
      </c>
      <c r="W360" t="s">
        <v>2279</v>
      </c>
      <c r="X360" t="s">
        <v>2280</v>
      </c>
      <c r="Y360" t="s">
        <v>2281</v>
      </c>
      <c r="AD360" s="1"/>
      <c r="AE360" t="s">
        <v>2282</v>
      </c>
      <c r="AF360" t="s">
        <v>2141</v>
      </c>
      <c r="AG360" t="s">
        <v>2283</v>
      </c>
      <c r="AH360" t="s">
        <v>83</v>
      </c>
      <c r="AI360" t="s">
        <v>77</v>
      </c>
      <c r="AK360">
        <v>253</v>
      </c>
      <c r="AN360" t="s">
        <v>2284</v>
      </c>
      <c r="AO360" t="s">
        <v>2144</v>
      </c>
      <c r="AP360" t="b">
        <v>1</v>
      </c>
      <c r="AQ360" t="s">
        <v>2285</v>
      </c>
      <c r="AW360" t="s">
        <v>2286</v>
      </c>
      <c r="AY360" t="s">
        <v>2287</v>
      </c>
      <c r="AZ360" t="s">
        <v>2286</v>
      </c>
      <c r="BA360" t="b">
        <v>1</v>
      </c>
      <c r="BB360" t="s">
        <v>2288</v>
      </c>
    </row>
    <row r="361" spans="2:54" x14ac:dyDescent="0.2">
      <c r="B361" t="s">
        <v>2289</v>
      </c>
      <c r="C361" t="s">
        <v>2290</v>
      </c>
      <c r="E361">
        <v>7436</v>
      </c>
      <c r="H361" t="s">
        <v>60</v>
      </c>
      <c r="I361" t="s">
        <v>366</v>
      </c>
      <c r="J361" t="s">
        <v>366</v>
      </c>
      <c r="K361" t="s">
        <v>70</v>
      </c>
      <c r="L361" t="s">
        <v>2276</v>
      </c>
      <c r="N361" s="1">
        <v>40946</v>
      </c>
      <c r="S361" t="s">
        <v>1737</v>
      </c>
      <c r="T361" s="1"/>
      <c r="V361" t="s">
        <v>2291</v>
      </c>
      <c r="W361" t="s">
        <v>2292</v>
      </c>
      <c r="X361" t="s">
        <v>2293</v>
      </c>
      <c r="AC361">
        <v>2015</v>
      </c>
      <c r="AD361" s="1"/>
      <c r="AE361" t="s">
        <v>2294</v>
      </c>
      <c r="AF361" t="s">
        <v>82</v>
      </c>
      <c r="AG361" t="s">
        <v>3737</v>
      </c>
      <c r="AH361" t="s">
        <v>76</v>
      </c>
      <c r="AI361" t="s">
        <v>77</v>
      </c>
      <c r="AK361">
        <v>1000</v>
      </c>
      <c r="AN361" t="s">
        <v>2295</v>
      </c>
      <c r="AP361" t="b">
        <v>1</v>
      </c>
      <c r="AQ361" t="s">
        <v>79</v>
      </c>
      <c r="AR361" t="s">
        <v>2296</v>
      </c>
      <c r="AW361" t="s">
        <v>2297</v>
      </c>
      <c r="AX361" t="s">
        <v>2298</v>
      </c>
      <c r="AY361" t="s">
        <v>2299</v>
      </c>
      <c r="AZ361" t="s">
        <v>2149</v>
      </c>
      <c r="BA361" t="b">
        <v>1</v>
      </c>
      <c r="BB361" t="s">
        <v>2300</v>
      </c>
    </row>
    <row r="362" spans="2:54" x14ac:dyDescent="0.2">
      <c r="B362" t="s">
        <v>2301</v>
      </c>
      <c r="C362" t="s">
        <v>2302</v>
      </c>
      <c r="E362">
        <v>14511</v>
      </c>
      <c r="F362" t="s">
        <v>70</v>
      </c>
      <c r="H362" t="s">
        <v>60</v>
      </c>
      <c r="I362" t="s">
        <v>366</v>
      </c>
      <c r="J362" t="s">
        <v>366</v>
      </c>
      <c r="L362" t="s">
        <v>3815</v>
      </c>
      <c r="N362" s="1">
        <v>40946</v>
      </c>
      <c r="S362" t="s">
        <v>367</v>
      </c>
      <c r="T362" s="1"/>
      <c r="V362" t="s">
        <v>2303</v>
      </c>
      <c r="W362" t="s">
        <v>2304</v>
      </c>
      <c r="X362" t="s">
        <v>2305</v>
      </c>
      <c r="Y362" t="s">
        <v>4350</v>
      </c>
      <c r="AC362">
        <v>2014</v>
      </c>
      <c r="AD362" s="1"/>
      <c r="AE362" t="s">
        <v>2306</v>
      </c>
      <c r="AF362" t="s">
        <v>82</v>
      </c>
      <c r="AG362" t="s">
        <v>2307</v>
      </c>
      <c r="AH362" t="s">
        <v>76</v>
      </c>
      <c r="AI362" t="s">
        <v>77</v>
      </c>
      <c r="AK362">
        <v>1000</v>
      </c>
      <c r="AN362" t="s">
        <v>2308</v>
      </c>
      <c r="AO362" t="s">
        <v>70</v>
      </c>
      <c r="AP362" t="b">
        <v>1</v>
      </c>
      <c r="AQ362" t="s">
        <v>79</v>
      </c>
      <c r="AR362" t="s">
        <v>2296</v>
      </c>
      <c r="AV362" t="s">
        <v>2309</v>
      </c>
      <c r="AW362" t="s">
        <v>2310</v>
      </c>
      <c r="AX362" t="s">
        <v>2298</v>
      </c>
      <c r="AY362" t="s">
        <v>2121</v>
      </c>
      <c r="AZ362" t="s">
        <v>2149</v>
      </c>
      <c r="BA362" t="b">
        <v>1</v>
      </c>
      <c r="BB362" t="s">
        <v>2311</v>
      </c>
    </row>
    <row r="363" spans="2:54" x14ac:dyDescent="0.2">
      <c r="B363" t="s">
        <v>2312</v>
      </c>
      <c r="C363" t="s">
        <v>2313</v>
      </c>
      <c r="E363">
        <v>9935</v>
      </c>
      <c r="F363" t="s">
        <v>2314</v>
      </c>
      <c r="H363" t="s">
        <v>60</v>
      </c>
      <c r="I363" t="s">
        <v>1505</v>
      </c>
      <c r="J363" t="s">
        <v>1505</v>
      </c>
      <c r="K363" t="s">
        <v>70</v>
      </c>
      <c r="L363" t="s">
        <v>2276</v>
      </c>
      <c r="N363" s="1">
        <v>40955</v>
      </c>
      <c r="S363" t="s">
        <v>367</v>
      </c>
      <c r="T363" s="1"/>
      <c r="V363" t="s">
        <v>2315</v>
      </c>
      <c r="W363" t="s">
        <v>2316</v>
      </c>
      <c r="X363" t="s">
        <v>2317</v>
      </c>
      <c r="Y363" t="s">
        <v>2318</v>
      </c>
      <c r="Z363" t="s">
        <v>2319</v>
      </c>
      <c r="AC363">
        <v>2014</v>
      </c>
      <c r="AD363" s="1"/>
      <c r="AE363" t="s">
        <v>2320</v>
      </c>
      <c r="AF363" t="s">
        <v>82</v>
      </c>
      <c r="AG363" t="s">
        <v>2321</v>
      </c>
      <c r="AH363" t="s">
        <v>76</v>
      </c>
      <c r="AI363" t="s">
        <v>77</v>
      </c>
      <c r="AJ363" t="s">
        <v>2322</v>
      </c>
      <c r="AK363">
        <v>1000</v>
      </c>
      <c r="AN363" t="s">
        <v>2323</v>
      </c>
      <c r="AO363" t="s">
        <v>2324</v>
      </c>
      <c r="AP363" t="b">
        <v>1</v>
      </c>
      <c r="AQ363" t="s">
        <v>79</v>
      </c>
      <c r="AR363" t="s">
        <v>2325</v>
      </c>
      <c r="AW363" t="s">
        <v>2326</v>
      </c>
      <c r="AX363" t="s">
        <v>2327</v>
      </c>
      <c r="AY363" t="s">
        <v>2328</v>
      </c>
      <c r="AZ363" t="s">
        <v>2329</v>
      </c>
      <c r="BA363" t="b">
        <v>1</v>
      </c>
      <c r="BB363" t="s">
        <v>2330</v>
      </c>
    </row>
    <row r="364" spans="2:54" x14ac:dyDescent="0.2">
      <c r="B364" t="s">
        <v>2331</v>
      </c>
      <c r="C364" t="s">
        <v>2332</v>
      </c>
      <c r="E364">
        <v>350</v>
      </c>
      <c r="H364" t="s">
        <v>60</v>
      </c>
      <c r="I364" t="s">
        <v>61</v>
      </c>
      <c r="J364" t="s">
        <v>220</v>
      </c>
      <c r="L364" t="s">
        <v>61</v>
      </c>
      <c r="N364" s="1"/>
      <c r="S364" t="s">
        <v>125</v>
      </c>
      <c r="T364" s="1"/>
      <c r="V364" t="s">
        <v>2333</v>
      </c>
      <c r="AD364" s="1"/>
      <c r="AE364" t="s">
        <v>2334</v>
      </c>
      <c r="AF364" t="s">
        <v>82</v>
      </c>
      <c r="AG364" t="s">
        <v>2335</v>
      </c>
      <c r="AH364" t="s">
        <v>76</v>
      </c>
      <c r="AI364" t="s">
        <v>77</v>
      </c>
      <c r="AN364" t="s">
        <v>2342</v>
      </c>
      <c r="AP364" t="b">
        <v>0</v>
      </c>
      <c r="BA364" t="b">
        <v>0</v>
      </c>
      <c r="BB364" t="s">
        <v>2336</v>
      </c>
    </row>
    <row r="365" spans="2:54" x14ac:dyDescent="0.2">
      <c r="B365" t="s">
        <v>2337</v>
      </c>
      <c r="C365" t="s">
        <v>2338</v>
      </c>
      <c r="E365">
        <v>700</v>
      </c>
      <c r="H365" t="s">
        <v>60</v>
      </c>
      <c r="I365" t="s">
        <v>61</v>
      </c>
      <c r="J365" t="s">
        <v>220</v>
      </c>
      <c r="L365" t="s">
        <v>61</v>
      </c>
      <c r="N365" s="1"/>
      <c r="S365" t="s">
        <v>125</v>
      </c>
      <c r="T365" s="1"/>
      <c r="V365" t="s">
        <v>2339</v>
      </c>
      <c r="W365" t="s">
        <v>70</v>
      </c>
      <c r="AD365" s="1"/>
      <c r="AE365" t="s">
        <v>2340</v>
      </c>
      <c r="AF365" t="s">
        <v>82</v>
      </c>
      <c r="AG365" t="s">
        <v>2341</v>
      </c>
      <c r="AH365" t="s">
        <v>76</v>
      </c>
      <c r="AI365" t="s">
        <v>77</v>
      </c>
      <c r="AN365" t="s">
        <v>2342</v>
      </c>
      <c r="AP365" t="b">
        <v>0</v>
      </c>
      <c r="BA365" t="b">
        <v>0</v>
      </c>
      <c r="BB365" t="s">
        <v>2343</v>
      </c>
    </row>
    <row r="366" spans="2:54" x14ac:dyDescent="0.2">
      <c r="B366" t="s">
        <v>2344</v>
      </c>
      <c r="C366" t="s">
        <v>2345</v>
      </c>
      <c r="N366" s="1"/>
      <c r="S366" t="s">
        <v>125</v>
      </c>
      <c r="T366" s="1"/>
      <c r="AD366" s="1"/>
      <c r="AI366" t="s">
        <v>77</v>
      </c>
      <c r="AP366" t="b">
        <v>0</v>
      </c>
      <c r="BA366" t="b">
        <v>0</v>
      </c>
    </row>
    <row r="367" spans="2:54" x14ac:dyDescent="0.2">
      <c r="B367" t="s">
        <v>2346</v>
      </c>
      <c r="C367" t="s">
        <v>2347</v>
      </c>
      <c r="H367" t="s">
        <v>57</v>
      </c>
      <c r="I367" t="s">
        <v>448</v>
      </c>
      <c r="J367" t="s">
        <v>492</v>
      </c>
      <c r="K367" t="s">
        <v>58</v>
      </c>
      <c r="L367" t="s">
        <v>448</v>
      </c>
      <c r="N367" s="1">
        <v>41212</v>
      </c>
      <c r="S367" t="s">
        <v>125</v>
      </c>
      <c r="T367" s="1">
        <v>41423</v>
      </c>
      <c r="U367" t="s">
        <v>2348</v>
      </c>
      <c r="V367" t="s">
        <v>2349</v>
      </c>
      <c r="W367" t="s">
        <v>2350</v>
      </c>
      <c r="X367" t="s">
        <v>2351</v>
      </c>
      <c r="Y367" t="s">
        <v>2352</v>
      </c>
      <c r="AD367" s="1"/>
      <c r="AG367" t="s">
        <v>2353</v>
      </c>
      <c r="AH367" t="s">
        <v>83</v>
      </c>
      <c r="AN367" t="s">
        <v>2342</v>
      </c>
      <c r="AP367" t="b">
        <v>0</v>
      </c>
      <c r="AV367" t="s">
        <v>2354</v>
      </c>
      <c r="AW367" t="s">
        <v>2355</v>
      </c>
      <c r="AX367" t="s">
        <v>2356</v>
      </c>
      <c r="AY367" t="s">
        <v>2357</v>
      </c>
      <c r="BA367" t="b">
        <v>0</v>
      </c>
    </row>
    <row r="368" spans="2:54" x14ac:dyDescent="0.2">
      <c r="B368" t="s">
        <v>2358</v>
      </c>
      <c r="C368" t="s">
        <v>2359</v>
      </c>
      <c r="G368" t="s">
        <v>2360</v>
      </c>
      <c r="N368" s="1"/>
      <c r="S368" t="s">
        <v>125</v>
      </c>
      <c r="T368" s="1"/>
      <c r="AD368" s="1"/>
      <c r="AG368" t="s">
        <v>3264</v>
      </c>
      <c r="AN368" t="s">
        <v>2342</v>
      </c>
      <c r="AP368" t="b">
        <v>0</v>
      </c>
      <c r="AS368" t="s">
        <v>2361</v>
      </c>
      <c r="AU368" t="s">
        <v>2362</v>
      </c>
      <c r="BA368" t="b">
        <v>0</v>
      </c>
    </row>
    <row r="369" spans="2:54" x14ac:dyDescent="0.2">
      <c r="B369" t="s">
        <v>2363</v>
      </c>
      <c r="C369" t="s">
        <v>2364</v>
      </c>
      <c r="F369" t="s">
        <v>2365</v>
      </c>
      <c r="N369" s="1"/>
      <c r="S369" t="s">
        <v>71</v>
      </c>
      <c r="T369" s="1"/>
      <c r="AD369" s="1"/>
      <c r="AH369" t="s">
        <v>102</v>
      </c>
      <c r="AI369" t="s">
        <v>108</v>
      </c>
      <c r="AO369" t="s">
        <v>2366</v>
      </c>
      <c r="AP369" t="b">
        <v>0</v>
      </c>
      <c r="BA369" t="b">
        <v>0</v>
      </c>
    </row>
    <row r="370" spans="2:54" x14ac:dyDescent="0.2">
      <c r="B370" t="s">
        <v>2367</v>
      </c>
      <c r="C370" t="s">
        <v>2368</v>
      </c>
      <c r="E370">
        <v>5825</v>
      </c>
      <c r="F370" t="s">
        <v>2369</v>
      </c>
      <c r="H370" t="s">
        <v>88</v>
      </c>
      <c r="I370" t="s">
        <v>244</v>
      </c>
      <c r="J370" t="s">
        <v>2251</v>
      </c>
      <c r="L370" t="s">
        <v>1968</v>
      </c>
      <c r="N370" s="1">
        <v>41031</v>
      </c>
      <c r="S370" t="s">
        <v>1737</v>
      </c>
      <c r="T370" s="1"/>
      <c r="V370" t="s">
        <v>2370</v>
      </c>
      <c r="W370" t="s">
        <v>2371</v>
      </c>
      <c r="X370" t="s">
        <v>2850</v>
      </c>
      <c r="Y370" t="s">
        <v>4351</v>
      </c>
      <c r="AD370" s="1"/>
      <c r="AE370" t="s">
        <v>2372</v>
      </c>
      <c r="AG370" t="s">
        <v>2373</v>
      </c>
      <c r="AH370" t="s">
        <v>76</v>
      </c>
      <c r="AI370" t="s">
        <v>77</v>
      </c>
      <c r="AJ370" t="s">
        <v>70</v>
      </c>
      <c r="AK370">
        <v>500</v>
      </c>
      <c r="AN370" t="s">
        <v>2374</v>
      </c>
      <c r="AO370" t="s">
        <v>1737</v>
      </c>
      <c r="AP370" t="b">
        <v>0</v>
      </c>
      <c r="AQ370" t="s">
        <v>79</v>
      </c>
      <c r="AV370" t="s">
        <v>2375</v>
      </c>
      <c r="AW370" t="s">
        <v>2376</v>
      </c>
      <c r="AX370" t="s">
        <v>2376</v>
      </c>
      <c r="AY370" t="s">
        <v>2377</v>
      </c>
      <c r="AZ370" t="s">
        <v>2378</v>
      </c>
      <c r="BA370" t="b">
        <v>0</v>
      </c>
      <c r="BB370" t="s">
        <v>2379</v>
      </c>
    </row>
    <row r="371" spans="2:54" x14ac:dyDescent="0.2">
      <c r="B371" t="s">
        <v>2380</v>
      </c>
      <c r="C371" t="s">
        <v>2381</v>
      </c>
      <c r="E371">
        <v>5827</v>
      </c>
      <c r="H371" t="s">
        <v>57</v>
      </c>
      <c r="I371" t="s">
        <v>219</v>
      </c>
      <c r="J371" t="s">
        <v>3028</v>
      </c>
      <c r="K371" t="s">
        <v>366</v>
      </c>
      <c r="L371" t="s">
        <v>219</v>
      </c>
      <c r="N371" s="1"/>
      <c r="S371" t="s">
        <v>1699</v>
      </c>
      <c r="T371" s="1">
        <v>41383</v>
      </c>
      <c r="U371" t="s">
        <v>2382</v>
      </c>
      <c r="V371" t="s">
        <v>2383</v>
      </c>
      <c r="W371" t="s">
        <v>4313</v>
      </c>
      <c r="AC371">
        <v>2016</v>
      </c>
      <c r="AD371" s="1"/>
      <c r="AE371" t="s">
        <v>2384</v>
      </c>
      <c r="AF371" t="s">
        <v>2385</v>
      </c>
      <c r="AG371" t="s">
        <v>2386</v>
      </c>
      <c r="AH371" t="s">
        <v>83</v>
      </c>
      <c r="AI371" t="s">
        <v>108</v>
      </c>
      <c r="AK371">
        <v>960</v>
      </c>
      <c r="AN371" t="s">
        <v>2387</v>
      </c>
      <c r="AP371" t="b">
        <v>0</v>
      </c>
      <c r="AQ371" t="s">
        <v>79</v>
      </c>
      <c r="AW371" t="s">
        <v>2388</v>
      </c>
      <c r="AY371" t="s">
        <v>2389</v>
      </c>
      <c r="BA371" t="b">
        <v>0</v>
      </c>
      <c r="BB371" t="s">
        <v>2390</v>
      </c>
    </row>
    <row r="372" spans="2:54" x14ac:dyDescent="0.2">
      <c r="B372" t="s">
        <v>2391</v>
      </c>
      <c r="C372" t="s">
        <v>2392</v>
      </c>
      <c r="E372">
        <v>1000</v>
      </c>
      <c r="H372" t="s">
        <v>60</v>
      </c>
      <c r="I372" t="s">
        <v>60</v>
      </c>
      <c r="L372" t="s">
        <v>61</v>
      </c>
      <c r="N372" s="1"/>
      <c r="S372" t="s">
        <v>125</v>
      </c>
      <c r="T372" s="1"/>
      <c r="AD372" s="1"/>
      <c r="AE372" t="s">
        <v>2393</v>
      </c>
      <c r="AF372" t="s">
        <v>82</v>
      </c>
      <c r="AG372" t="s">
        <v>2394</v>
      </c>
      <c r="AH372" t="s">
        <v>102</v>
      </c>
      <c r="AI372" t="s">
        <v>77</v>
      </c>
      <c r="AN372" t="s">
        <v>2342</v>
      </c>
      <c r="AP372" t="b">
        <v>0</v>
      </c>
      <c r="AQ372" t="s">
        <v>2395</v>
      </c>
      <c r="AY372" t="s">
        <v>2121</v>
      </c>
      <c r="BA372" t="b">
        <v>0</v>
      </c>
    </row>
    <row r="373" spans="2:54" x14ac:dyDescent="0.2">
      <c r="B373" t="s">
        <v>2396</v>
      </c>
      <c r="C373" t="s">
        <v>2397</v>
      </c>
      <c r="H373" t="s">
        <v>60</v>
      </c>
      <c r="I373" t="s">
        <v>244</v>
      </c>
      <c r="N373" s="1"/>
      <c r="T373" s="1"/>
      <c r="AD373" s="1"/>
      <c r="AN373" t="s">
        <v>2342</v>
      </c>
      <c r="AP373" t="b">
        <v>0</v>
      </c>
      <c r="BA373" t="b">
        <v>0</v>
      </c>
    </row>
    <row r="374" spans="2:54" x14ac:dyDescent="0.2">
      <c r="B374" t="s">
        <v>2398</v>
      </c>
      <c r="C374" t="s">
        <v>2399</v>
      </c>
      <c r="H374" t="s">
        <v>60</v>
      </c>
      <c r="I374" t="s">
        <v>244</v>
      </c>
      <c r="N374" s="1"/>
      <c r="T374" s="1"/>
      <c r="AD374" s="1"/>
      <c r="AN374" t="s">
        <v>2342</v>
      </c>
      <c r="AP374" t="b">
        <v>0</v>
      </c>
      <c r="BA374" t="b">
        <v>0</v>
      </c>
    </row>
    <row r="375" spans="2:54" x14ac:dyDescent="0.2">
      <c r="B375" t="s">
        <v>2400</v>
      </c>
      <c r="C375" t="s">
        <v>2401</v>
      </c>
      <c r="E375">
        <v>1693</v>
      </c>
      <c r="F375" t="s">
        <v>2402</v>
      </c>
      <c r="H375" t="s">
        <v>60</v>
      </c>
      <c r="I375" t="s">
        <v>244</v>
      </c>
      <c r="J375" t="s">
        <v>492</v>
      </c>
      <c r="L375" t="s">
        <v>491</v>
      </c>
      <c r="N375" s="1"/>
      <c r="S375" t="s">
        <v>2026</v>
      </c>
      <c r="T375" s="1"/>
      <c r="U375" t="s">
        <v>2403</v>
      </c>
      <c r="V375" t="s">
        <v>2404</v>
      </c>
      <c r="W375" t="s">
        <v>2405</v>
      </c>
      <c r="X375" t="s">
        <v>2406</v>
      </c>
      <c r="Y375" t="s">
        <v>2407</v>
      </c>
      <c r="AD375" s="1"/>
      <c r="AE375" t="s">
        <v>2408</v>
      </c>
      <c r="AF375" t="s">
        <v>301</v>
      </c>
      <c r="AG375" t="s">
        <v>2409</v>
      </c>
      <c r="AH375" t="s">
        <v>295</v>
      </c>
      <c r="AI375" t="s">
        <v>77</v>
      </c>
      <c r="AJ375" t="s">
        <v>2410</v>
      </c>
      <c r="AK375">
        <v>450</v>
      </c>
      <c r="AN375" t="s">
        <v>2411</v>
      </c>
      <c r="AP375" t="b">
        <v>0</v>
      </c>
      <c r="AV375" t="s">
        <v>2412</v>
      </c>
      <c r="AW375" t="s">
        <v>2413</v>
      </c>
      <c r="AX375" t="s">
        <v>2414</v>
      </c>
      <c r="AY375" t="s">
        <v>2415</v>
      </c>
      <c r="AZ375" t="s">
        <v>2416</v>
      </c>
      <c r="BA375" t="b">
        <v>0</v>
      </c>
      <c r="BB375" t="s">
        <v>2417</v>
      </c>
    </row>
    <row r="376" spans="2:54" x14ac:dyDescent="0.2">
      <c r="B376" t="s">
        <v>2418</v>
      </c>
      <c r="C376" t="s">
        <v>2419</v>
      </c>
      <c r="E376">
        <v>9834</v>
      </c>
      <c r="H376" t="s">
        <v>60</v>
      </c>
      <c r="I376" t="s">
        <v>366</v>
      </c>
      <c r="J376" t="s">
        <v>366</v>
      </c>
      <c r="K376" t="s">
        <v>70</v>
      </c>
      <c r="L376" t="s">
        <v>2160</v>
      </c>
      <c r="N376" s="1">
        <v>41151</v>
      </c>
      <c r="S376" t="s">
        <v>1023</v>
      </c>
      <c r="T376" s="1"/>
      <c r="U376" t="s">
        <v>2420</v>
      </c>
      <c r="V376" t="s">
        <v>2421</v>
      </c>
      <c r="W376" t="s">
        <v>2422</v>
      </c>
      <c r="X376" t="s">
        <v>2423</v>
      </c>
      <c r="Y376" t="s">
        <v>4352</v>
      </c>
      <c r="AC376">
        <v>2015</v>
      </c>
      <c r="AD376" s="1">
        <v>42338</v>
      </c>
      <c r="AE376" t="s">
        <v>2424</v>
      </c>
      <c r="AF376" t="s">
        <v>429</v>
      </c>
      <c r="AG376" t="s">
        <v>2425</v>
      </c>
      <c r="AH376" t="s">
        <v>2426</v>
      </c>
      <c r="AI376" t="s">
        <v>77</v>
      </c>
      <c r="AK376">
        <v>1000</v>
      </c>
      <c r="AN376" t="s">
        <v>2851</v>
      </c>
      <c r="AP376" t="b">
        <v>1</v>
      </c>
      <c r="AQ376" t="s">
        <v>79</v>
      </c>
      <c r="AW376" t="s">
        <v>2427</v>
      </c>
      <c r="AX376" t="s">
        <v>2427</v>
      </c>
      <c r="AY376" t="s">
        <v>2428</v>
      </c>
      <c r="AZ376" t="s">
        <v>2429</v>
      </c>
      <c r="BA376" t="b">
        <v>0</v>
      </c>
      <c r="BB376" t="s">
        <v>2430</v>
      </c>
    </row>
    <row r="377" spans="2:54" x14ac:dyDescent="0.2">
      <c r="B377" t="s">
        <v>2431</v>
      </c>
      <c r="C377" t="s">
        <v>2432</v>
      </c>
      <c r="H377" t="s">
        <v>60</v>
      </c>
      <c r="N377" s="1"/>
      <c r="S377" t="s">
        <v>71</v>
      </c>
      <c r="T377" s="1"/>
      <c r="AD377" s="1"/>
      <c r="AH377" t="s">
        <v>102</v>
      </c>
      <c r="AI377" t="s">
        <v>108</v>
      </c>
      <c r="AP377" t="b">
        <v>0</v>
      </c>
      <c r="BA377" t="b">
        <v>0</v>
      </c>
    </row>
    <row r="378" spans="2:54" x14ac:dyDescent="0.2">
      <c r="B378" t="s">
        <v>2433</v>
      </c>
      <c r="C378" t="s">
        <v>2434</v>
      </c>
      <c r="E378">
        <v>1775.9</v>
      </c>
      <c r="F378" t="s">
        <v>3738</v>
      </c>
      <c r="H378" t="s">
        <v>88</v>
      </c>
      <c r="I378" t="s">
        <v>2160</v>
      </c>
      <c r="J378" t="s">
        <v>3029</v>
      </c>
      <c r="K378" t="s">
        <v>70</v>
      </c>
      <c r="L378" t="s">
        <v>2160</v>
      </c>
      <c r="N378" s="1"/>
      <c r="S378" t="s">
        <v>1737</v>
      </c>
      <c r="T378" s="1"/>
      <c r="U378" t="s">
        <v>2435</v>
      </c>
      <c r="V378" t="s">
        <v>2436</v>
      </c>
      <c r="W378" t="s">
        <v>2437</v>
      </c>
      <c r="X378" t="s">
        <v>2438</v>
      </c>
      <c r="Y378" t="s">
        <v>2439</v>
      </c>
      <c r="Z378" t="s">
        <v>3080</v>
      </c>
      <c r="AC378">
        <v>2016</v>
      </c>
      <c r="AD378" s="1"/>
      <c r="AE378" t="s">
        <v>2440</v>
      </c>
      <c r="AF378" t="s">
        <v>82</v>
      </c>
      <c r="AG378" t="s">
        <v>2441</v>
      </c>
      <c r="AH378" t="s">
        <v>83</v>
      </c>
      <c r="AI378" t="s">
        <v>77</v>
      </c>
      <c r="AK378">
        <v>240</v>
      </c>
      <c r="AN378" t="s">
        <v>2442</v>
      </c>
      <c r="AO378" t="s">
        <v>3739</v>
      </c>
      <c r="AP378" t="b">
        <v>1</v>
      </c>
      <c r="AQ378" t="s">
        <v>79</v>
      </c>
      <c r="AR378" t="s">
        <v>2443</v>
      </c>
      <c r="AV378" t="s">
        <v>381</v>
      </c>
      <c r="AW378" t="s">
        <v>2444</v>
      </c>
      <c r="AX378" t="s">
        <v>2445</v>
      </c>
      <c r="AY378" t="s">
        <v>2121</v>
      </c>
      <c r="AZ378" t="s">
        <v>2429</v>
      </c>
      <c r="BA378" t="b">
        <v>1</v>
      </c>
      <c r="BB378" t="s">
        <v>2446</v>
      </c>
    </row>
    <row r="379" spans="2:54" x14ac:dyDescent="0.2">
      <c r="B379" t="s">
        <v>2447</v>
      </c>
      <c r="C379" t="s">
        <v>2448</v>
      </c>
      <c r="E379">
        <v>10969</v>
      </c>
      <c r="H379" t="s">
        <v>57</v>
      </c>
      <c r="I379" t="s">
        <v>244</v>
      </c>
      <c r="J379" t="s">
        <v>492</v>
      </c>
      <c r="K379" t="s">
        <v>366</v>
      </c>
      <c r="L379" t="s">
        <v>491</v>
      </c>
      <c r="N379" s="1"/>
      <c r="S379" t="s">
        <v>71</v>
      </c>
      <c r="T379" s="1"/>
      <c r="V379" t="s">
        <v>2449</v>
      </c>
      <c r="W379" t="s">
        <v>2450</v>
      </c>
      <c r="AD379" s="1"/>
      <c r="AG379" t="s">
        <v>2451</v>
      </c>
      <c r="AH379" t="s">
        <v>83</v>
      </c>
      <c r="AI379" t="s">
        <v>77</v>
      </c>
      <c r="AJ379" t="s">
        <v>2452</v>
      </c>
      <c r="AK379">
        <v>1500</v>
      </c>
      <c r="AN379" t="s">
        <v>2453</v>
      </c>
      <c r="AO379" t="s">
        <v>2454</v>
      </c>
      <c r="AP379" t="b">
        <v>1</v>
      </c>
      <c r="AU379" t="s">
        <v>2455</v>
      </c>
      <c r="AV379" t="s">
        <v>2456</v>
      </c>
      <c r="AW379" t="s">
        <v>2457</v>
      </c>
      <c r="AX379" t="s">
        <v>2458</v>
      </c>
      <c r="AY379" t="s">
        <v>2459</v>
      </c>
      <c r="AZ379" t="s">
        <v>2460</v>
      </c>
      <c r="BA379" t="b">
        <v>0</v>
      </c>
    </row>
    <row r="380" spans="2:54" x14ac:dyDescent="0.2">
      <c r="B380" t="s">
        <v>2461</v>
      </c>
      <c r="C380" t="s">
        <v>2462</v>
      </c>
      <c r="E380">
        <v>3645</v>
      </c>
      <c r="F380" t="s">
        <v>2463</v>
      </c>
      <c r="H380" t="s">
        <v>57</v>
      </c>
      <c r="I380" t="s">
        <v>492</v>
      </c>
      <c r="J380" t="s">
        <v>492</v>
      </c>
      <c r="K380" t="s">
        <v>3028</v>
      </c>
      <c r="L380" t="s">
        <v>219</v>
      </c>
      <c r="M380" t="s">
        <v>1968</v>
      </c>
      <c r="N380" s="1">
        <v>41359</v>
      </c>
      <c r="S380" t="s">
        <v>62</v>
      </c>
      <c r="T380" s="1">
        <v>41411</v>
      </c>
      <c r="U380" t="s">
        <v>62</v>
      </c>
      <c r="V380" t="s">
        <v>2464</v>
      </c>
      <c r="AC380">
        <v>2015</v>
      </c>
      <c r="AD380" s="1">
        <v>42139</v>
      </c>
      <c r="AE380" t="s">
        <v>2465</v>
      </c>
      <c r="AF380" t="s">
        <v>174</v>
      </c>
      <c r="AG380" t="s">
        <v>2466</v>
      </c>
      <c r="AH380" t="s">
        <v>83</v>
      </c>
      <c r="AI380" t="s">
        <v>77</v>
      </c>
      <c r="AK380">
        <v>85</v>
      </c>
      <c r="AN380" t="s">
        <v>2467</v>
      </c>
      <c r="AP380" t="b">
        <v>0</v>
      </c>
      <c r="AQ380" t="s">
        <v>79</v>
      </c>
      <c r="AV380" t="s">
        <v>381</v>
      </c>
      <c r="AW380" t="s">
        <v>884</v>
      </c>
      <c r="AX380" t="s">
        <v>885</v>
      </c>
      <c r="AY380" t="s">
        <v>2121</v>
      </c>
      <c r="AZ380" t="s">
        <v>884</v>
      </c>
      <c r="BA380" t="b">
        <v>1</v>
      </c>
      <c r="BB380" t="s">
        <v>2468</v>
      </c>
    </row>
    <row r="381" spans="2:54" x14ac:dyDescent="0.2">
      <c r="B381" t="s">
        <v>2469</v>
      </c>
      <c r="C381" t="s">
        <v>2470</v>
      </c>
      <c r="E381">
        <v>900</v>
      </c>
      <c r="F381" t="s">
        <v>2471</v>
      </c>
      <c r="H381" t="s">
        <v>57</v>
      </c>
      <c r="I381" t="s">
        <v>219</v>
      </c>
      <c r="J381" t="s">
        <v>59</v>
      </c>
      <c r="L381" t="s">
        <v>219</v>
      </c>
      <c r="N381" s="1"/>
      <c r="S381" t="s">
        <v>2026</v>
      </c>
      <c r="T381" s="1">
        <v>41495</v>
      </c>
      <c r="U381" t="s">
        <v>985</v>
      </c>
      <c r="V381" t="s">
        <v>2472</v>
      </c>
      <c r="W381" t="s">
        <v>2473</v>
      </c>
      <c r="X381" t="s">
        <v>2474</v>
      </c>
      <c r="Y381" t="s">
        <v>2475</v>
      </c>
      <c r="AC381">
        <v>2013</v>
      </c>
      <c r="AD381" s="1">
        <v>41495</v>
      </c>
      <c r="AE381" t="s">
        <v>3740</v>
      </c>
      <c r="AF381" t="s">
        <v>82</v>
      </c>
      <c r="AG381" t="s">
        <v>2476</v>
      </c>
      <c r="AH381" t="s">
        <v>2426</v>
      </c>
      <c r="AI381" t="s">
        <v>77</v>
      </c>
      <c r="AK381">
        <v>150</v>
      </c>
      <c r="AN381" t="s">
        <v>2477</v>
      </c>
      <c r="AP381" t="b">
        <v>0</v>
      </c>
      <c r="AQ381" t="s">
        <v>79</v>
      </c>
      <c r="AV381" t="s">
        <v>2478</v>
      </c>
      <c r="AW381" t="s">
        <v>2479</v>
      </c>
      <c r="AX381" t="s">
        <v>885</v>
      </c>
      <c r="AY381" t="s">
        <v>2121</v>
      </c>
      <c r="AZ381" t="s">
        <v>2480</v>
      </c>
      <c r="BA381" t="b">
        <v>1</v>
      </c>
    </row>
    <row r="382" spans="2:54" x14ac:dyDescent="0.2">
      <c r="B382" t="s">
        <v>2481</v>
      </c>
      <c r="C382" t="s">
        <v>2482</v>
      </c>
      <c r="H382" t="s">
        <v>60</v>
      </c>
      <c r="I382" t="s">
        <v>448</v>
      </c>
      <c r="L382" t="s">
        <v>448</v>
      </c>
      <c r="N382" s="1"/>
      <c r="S382" t="s">
        <v>125</v>
      </c>
      <c r="T382" s="1"/>
      <c r="V382" t="s">
        <v>2483</v>
      </c>
      <c r="W382" t="s">
        <v>2484</v>
      </c>
      <c r="AD382" s="1"/>
      <c r="AG382" t="s">
        <v>2485</v>
      </c>
      <c r="AH382" t="s">
        <v>1455</v>
      </c>
      <c r="AN382" t="s">
        <v>2342</v>
      </c>
      <c r="AP382" t="b">
        <v>0</v>
      </c>
      <c r="AQ382" t="s">
        <v>1455</v>
      </c>
      <c r="AV382" t="s">
        <v>2486</v>
      </c>
      <c r="BA382" t="b">
        <v>0</v>
      </c>
    </row>
    <row r="383" spans="2:54" x14ac:dyDescent="0.2">
      <c r="B383" t="s">
        <v>2487</v>
      </c>
      <c r="C383" t="s">
        <v>2488</v>
      </c>
      <c r="E383">
        <v>1570</v>
      </c>
      <c r="F383" t="s">
        <v>2489</v>
      </c>
      <c r="H383" t="s">
        <v>60</v>
      </c>
      <c r="I383" t="s">
        <v>60</v>
      </c>
      <c r="J383" t="s">
        <v>59</v>
      </c>
      <c r="L383" t="s">
        <v>2160</v>
      </c>
      <c r="N383" s="1">
        <v>41254</v>
      </c>
      <c r="S383" t="s">
        <v>1737</v>
      </c>
      <c r="T383" s="1"/>
      <c r="V383" t="s">
        <v>2490</v>
      </c>
      <c r="W383" t="s">
        <v>2491</v>
      </c>
      <c r="X383" t="s">
        <v>2492</v>
      </c>
      <c r="Y383" t="s">
        <v>2493</v>
      </c>
      <c r="Z383" t="s">
        <v>3661</v>
      </c>
      <c r="AD383" s="1"/>
      <c r="AE383" t="s">
        <v>2494</v>
      </c>
      <c r="AF383" t="s">
        <v>293</v>
      </c>
      <c r="AG383" t="s">
        <v>2495</v>
      </c>
      <c r="AH383" t="s">
        <v>83</v>
      </c>
      <c r="AI383" t="s">
        <v>77</v>
      </c>
      <c r="AK383">
        <v>360</v>
      </c>
      <c r="AN383" t="s">
        <v>2496</v>
      </c>
      <c r="AP383" t="b">
        <v>1</v>
      </c>
      <c r="AQ383" t="s">
        <v>79</v>
      </c>
      <c r="AW383" t="s">
        <v>2497</v>
      </c>
      <c r="AX383" t="s">
        <v>2498</v>
      </c>
      <c r="AZ383" t="s">
        <v>2149</v>
      </c>
      <c r="BA383" t="b">
        <v>1</v>
      </c>
      <c r="BB383" t="s">
        <v>2499</v>
      </c>
    </row>
    <row r="384" spans="2:54" x14ac:dyDescent="0.2">
      <c r="B384" t="s">
        <v>2500</v>
      </c>
      <c r="C384" t="s">
        <v>2501</v>
      </c>
      <c r="H384" t="s">
        <v>57</v>
      </c>
      <c r="I384" t="s">
        <v>448</v>
      </c>
      <c r="J384" t="s">
        <v>58</v>
      </c>
      <c r="L384" t="s">
        <v>448</v>
      </c>
      <c r="N384" s="1"/>
      <c r="S384" t="s">
        <v>125</v>
      </c>
      <c r="T384" s="1"/>
      <c r="AC384">
        <v>2013</v>
      </c>
      <c r="AD384" s="1"/>
      <c r="AE384" t="s">
        <v>2502</v>
      </c>
      <c r="AF384" t="s">
        <v>2503</v>
      </c>
      <c r="AG384" t="s">
        <v>2504</v>
      </c>
      <c r="AH384" t="s">
        <v>83</v>
      </c>
      <c r="AI384" t="s">
        <v>77</v>
      </c>
      <c r="AK384">
        <v>240</v>
      </c>
      <c r="AP384" t="b">
        <v>0</v>
      </c>
      <c r="AV384" t="s">
        <v>2505</v>
      </c>
      <c r="BA384" t="b">
        <v>0</v>
      </c>
    </row>
    <row r="385" spans="2:56" x14ac:dyDescent="0.2">
      <c r="B385" t="s">
        <v>2506</v>
      </c>
      <c r="C385" t="s">
        <v>2507</v>
      </c>
      <c r="E385">
        <v>28000</v>
      </c>
      <c r="H385" t="s">
        <v>57</v>
      </c>
      <c r="I385" t="s">
        <v>244</v>
      </c>
      <c r="J385" t="s">
        <v>58</v>
      </c>
      <c r="L385" t="s">
        <v>491</v>
      </c>
      <c r="N385" s="1">
        <v>41316</v>
      </c>
      <c r="S385" t="s">
        <v>125</v>
      </c>
      <c r="T385" s="1"/>
      <c r="V385" t="s">
        <v>2508</v>
      </c>
      <c r="AD385" s="1"/>
      <c r="AG385" t="s">
        <v>2509</v>
      </c>
      <c r="AH385" t="s">
        <v>184</v>
      </c>
      <c r="AI385" t="s">
        <v>77</v>
      </c>
      <c r="AK385">
        <v>300</v>
      </c>
      <c r="AN385" t="s">
        <v>2342</v>
      </c>
      <c r="AP385" t="b">
        <v>0</v>
      </c>
      <c r="AQ385" t="s">
        <v>79</v>
      </c>
      <c r="BA385" t="b">
        <v>0</v>
      </c>
    </row>
    <row r="386" spans="2:56" x14ac:dyDescent="0.2">
      <c r="B386" t="s">
        <v>2510</v>
      </c>
      <c r="C386" t="s">
        <v>2511</v>
      </c>
      <c r="E386">
        <v>70000</v>
      </c>
      <c r="H386" t="s">
        <v>57</v>
      </c>
      <c r="I386" t="s">
        <v>88</v>
      </c>
      <c r="J386" t="s">
        <v>492</v>
      </c>
      <c r="L386" t="s">
        <v>1968</v>
      </c>
      <c r="N386" s="1">
        <v>41291</v>
      </c>
      <c r="S386" t="s">
        <v>62</v>
      </c>
      <c r="T386" s="1"/>
      <c r="AD386" s="1"/>
      <c r="AE386" t="s">
        <v>3718</v>
      </c>
      <c r="AF386" t="s">
        <v>82</v>
      </c>
      <c r="AG386" t="s">
        <v>2512</v>
      </c>
      <c r="AH386" t="s">
        <v>102</v>
      </c>
      <c r="AK386">
        <v>5500</v>
      </c>
      <c r="AN386" t="s">
        <v>2513</v>
      </c>
      <c r="AP386" t="b">
        <v>1</v>
      </c>
      <c r="AQ386" t="s">
        <v>79</v>
      </c>
      <c r="AV386" t="s">
        <v>2514</v>
      </c>
      <c r="AW386" t="s">
        <v>2515</v>
      </c>
      <c r="AX386" t="s">
        <v>2516</v>
      </c>
      <c r="AY386" t="s">
        <v>2121</v>
      </c>
      <c r="AZ386" t="s">
        <v>2515</v>
      </c>
      <c r="BA386" t="b">
        <v>0</v>
      </c>
    </row>
    <row r="387" spans="2:56" x14ac:dyDescent="0.2">
      <c r="B387" t="s">
        <v>2517</v>
      </c>
      <c r="C387" t="s">
        <v>2518</v>
      </c>
      <c r="E387">
        <v>715</v>
      </c>
      <c r="F387" t="s">
        <v>2519</v>
      </c>
      <c r="H387" t="s">
        <v>57</v>
      </c>
      <c r="I387" t="s">
        <v>2251</v>
      </c>
      <c r="J387" t="s">
        <v>2251</v>
      </c>
      <c r="L387" t="s">
        <v>219</v>
      </c>
      <c r="N387" s="1">
        <v>42058</v>
      </c>
      <c r="S387" t="s">
        <v>1023</v>
      </c>
      <c r="T387" s="1"/>
      <c r="U387" t="s">
        <v>2520</v>
      </c>
      <c r="V387" t="s">
        <v>2521</v>
      </c>
      <c r="W387" t="s">
        <v>2522</v>
      </c>
      <c r="X387" t="s">
        <v>2523</v>
      </c>
      <c r="AC387">
        <v>2015</v>
      </c>
      <c r="AD387" s="1">
        <v>42360</v>
      </c>
      <c r="AG387" t="s">
        <v>2524</v>
      </c>
      <c r="AH387" t="s">
        <v>184</v>
      </c>
      <c r="AI387" t="s">
        <v>77</v>
      </c>
      <c r="AK387">
        <v>12</v>
      </c>
      <c r="AN387" t="s">
        <v>2525</v>
      </c>
      <c r="AP387" t="b">
        <v>0</v>
      </c>
      <c r="AQ387" t="s">
        <v>3741</v>
      </c>
      <c r="AV387" t="s">
        <v>381</v>
      </c>
      <c r="AW387" t="s">
        <v>2526</v>
      </c>
      <c r="AX387" t="s">
        <v>885</v>
      </c>
      <c r="AY387" t="s">
        <v>2121</v>
      </c>
      <c r="AZ387" t="s">
        <v>2527</v>
      </c>
      <c r="BA387" t="b">
        <v>0</v>
      </c>
      <c r="BB387" t="s">
        <v>1152</v>
      </c>
      <c r="BD387">
        <f>COLUMN(Table_projectnames[[#This Row],[desroll]])</f>
        <v>54</v>
      </c>
    </row>
    <row r="388" spans="2:56" x14ac:dyDescent="0.2">
      <c r="B388" t="s">
        <v>2528</v>
      </c>
      <c r="C388" t="s">
        <v>2529</v>
      </c>
      <c r="E388">
        <v>3675</v>
      </c>
      <c r="H388" t="s">
        <v>57</v>
      </c>
      <c r="I388" t="s">
        <v>448</v>
      </c>
      <c r="J388" t="s">
        <v>58</v>
      </c>
      <c r="L388" t="s">
        <v>448</v>
      </c>
      <c r="N388" s="1"/>
      <c r="S388" t="s">
        <v>125</v>
      </c>
      <c r="T388" s="1"/>
      <c r="V388" t="s">
        <v>2530</v>
      </c>
      <c r="W388" t="s">
        <v>2531</v>
      </c>
      <c r="AD388" s="1"/>
      <c r="AE388" t="s">
        <v>2532</v>
      </c>
      <c r="AF388" t="s">
        <v>293</v>
      </c>
      <c r="AG388" t="s">
        <v>2533</v>
      </c>
      <c r="AH388" t="s">
        <v>2426</v>
      </c>
      <c r="AI388" t="s">
        <v>77</v>
      </c>
      <c r="AK388">
        <v>350</v>
      </c>
      <c r="AN388" t="s">
        <v>2342</v>
      </c>
      <c r="AP388" t="b">
        <v>1</v>
      </c>
      <c r="AV388" t="s">
        <v>2534</v>
      </c>
      <c r="AW388" t="s">
        <v>2535</v>
      </c>
      <c r="AY388" t="s">
        <v>2536</v>
      </c>
      <c r="BA388" t="b">
        <v>0</v>
      </c>
    </row>
    <row r="389" spans="2:56" x14ac:dyDescent="0.2">
      <c r="B389" t="s">
        <v>2537</v>
      </c>
      <c r="C389" t="s">
        <v>2538</v>
      </c>
      <c r="E389">
        <v>20000</v>
      </c>
      <c r="H389" t="s">
        <v>57</v>
      </c>
      <c r="I389" t="s">
        <v>244</v>
      </c>
      <c r="J389" t="s">
        <v>58</v>
      </c>
      <c r="L389" t="s">
        <v>491</v>
      </c>
      <c r="N389" s="1"/>
      <c r="S389" t="s">
        <v>125</v>
      </c>
      <c r="T389" s="1"/>
      <c r="AD389" s="1"/>
      <c r="AH389" t="s">
        <v>1739</v>
      </c>
      <c r="AI389" t="s">
        <v>77</v>
      </c>
      <c r="AK389">
        <v>500</v>
      </c>
      <c r="AN389" t="s">
        <v>2342</v>
      </c>
      <c r="AP389" t="b">
        <v>0</v>
      </c>
      <c r="BA389" t="b">
        <v>0</v>
      </c>
    </row>
    <row r="390" spans="2:56" x14ac:dyDescent="0.2">
      <c r="B390" t="s">
        <v>2539</v>
      </c>
      <c r="C390" t="s">
        <v>2540</v>
      </c>
      <c r="H390" t="s">
        <v>57</v>
      </c>
      <c r="I390" t="s">
        <v>244</v>
      </c>
      <c r="N390" s="1"/>
      <c r="S390" t="s">
        <v>1737</v>
      </c>
      <c r="T390" s="1"/>
      <c r="AD390" s="1"/>
      <c r="AG390" t="s">
        <v>2541</v>
      </c>
      <c r="AH390" t="s">
        <v>102</v>
      </c>
      <c r="AI390" t="s">
        <v>108</v>
      </c>
      <c r="AP390" t="b">
        <v>0</v>
      </c>
      <c r="BA390" t="b">
        <v>0</v>
      </c>
    </row>
    <row r="391" spans="2:56" x14ac:dyDescent="0.2">
      <c r="B391" t="s">
        <v>2542</v>
      </c>
      <c r="C391" t="s">
        <v>2543</v>
      </c>
      <c r="N391" s="1"/>
      <c r="T391" s="1"/>
      <c r="AD391" s="1"/>
      <c r="AP391" t="b">
        <v>0</v>
      </c>
      <c r="BA391" t="b">
        <v>0</v>
      </c>
    </row>
    <row r="392" spans="2:56" x14ac:dyDescent="0.2">
      <c r="B392" t="s">
        <v>2544</v>
      </c>
      <c r="C392" t="s">
        <v>2545</v>
      </c>
      <c r="E392">
        <v>3500</v>
      </c>
      <c r="F392" t="s">
        <v>3742</v>
      </c>
      <c r="H392" t="s">
        <v>57</v>
      </c>
      <c r="I392" t="s">
        <v>244</v>
      </c>
      <c r="J392" t="s">
        <v>366</v>
      </c>
      <c r="K392" t="s">
        <v>70</v>
      </c>
      <c r="L392" t="s">
        <v>491</v>
      </c>
      <c r="N392" s="1"/>
      <c r="S392" t="s">
        <v>1699</v>
      </c>
      <c r="T392" s="1">
        <v>42460</v>
      </c>
      <c r="U392" t="s">
        <v>4353</v>
      </c>
      <c r="V392" t="s">
        <v>2546</v>
      </c>
      <c r="W392" t="s">
        <v>2547</v>
      </c>
      <c r="X392" t="s">
        <v>2548</v>
      </c>
      <c r="Y392" t="s">
        <v>3030</v>
      </c>
      <c r="Z392" t="s">
        <v>4354</v>
      </c>
      <c r="AC392">
        <v>2015</v>
      </c>
      <c r="AD392" s="1"/>
      <c r="AE392" t="s">
        <v>1395</v>
      </c>
      <c r="AF392" t="s">
        <v>513</v>
      </c>
      <c r="AG392" t="s">
        <v>2549</v>
      </c>
      <c r="AH392" t="s">
        <v>93</v>
      </c>
      <c r="AI392" t="s">
        <v>77</v>
      </c>
      <c r="AJ392" t="s">
        <v>3031</v>
      </c>
      <c r="AK392">
        <v>25</v>
      </c>
      <c r="AN392" t="s">
        <v>2550</v>
      </c>
      <c r="AP392" t="b">
        <v>1</v>
      </c>
      <c r="AQ392" t="s">
        <v>79</v>
      </c>
      <c r="AV392" t="s">
        <v>2551</v>
      </c>
      <c r="AW392" t="s">
        <v>2552</v>
      </c>
      <c r="AX392" t="s">
        <v>2553</v>
      </c>
      <c r="AY392" t="s">
        <v>2121</v>
      </c>
      <c r="AZ392" t="s">
        <v>2554</v>
      </c>
      <c r="BA392" t="b">
        <v>0</v>
      </c>
    </row>
    <row r="393" spans="2:56" x14ac:dyDescent="0.2">
      <c r="B393" t="s">
        <v>2555</v>
      </c>
      <c r="C393" t="s">
        <v>2556</v>
      </c>
      <c r="H393" t="s">
        <v>60</v>
      </c>
      <c r="I393" t="s">
        <v>60</v>
      </c>
      <c r="N393" s="1"/>
      <c r="S393" t="s">
        <v>71</v>
      </c>
      <c r="T393" s="1"/>
      <c r="AD393" s="1"/>
      <c r="AG393" t="s">
        <v>2557</v>
      </c>
      <c r="AP393" t="b">
        <v>0</v>
      </c>
      <c r="BA393" t="b">
        <v>0</v>
      </c>
    </row>
    <row r="394" spans="2:56" x14ac:dyDescent="0.2">
      <c r="B394" t="s">
        <v>2558</v>
      </c>
      <c r="C394" t="s">
        <v>2559</v>
      </c>
      <c r="H394" t="s">
        <v>57</v>
      </c>
      <c r="I394" t="s">
        <v>88</v>
      </c>
      <c r="J394" t="s">
        <v>2251</v>
      </c>
      <c r="L394" t="s">
        <v>2276</v>
      </c>
      <c r="N394" s="1">
        <v>41784</v>
      </c>
      <c r="S394" t="s">
        <v>71</v>
      </c>
      <c r="T394" s="1"/>
      <c r="AD394" s="1"/>
      <c r="AE394" t="s">
        <v>2560</v>
      </c>
      <c r="AF394" t="s">
        <v>1680</v>
      </c>
      <c r="AG394" t="s">
        <v>2561</v>
      </c>
      <c r="AH394" t="s">
        <v>2426</v>
      </c>
      <c r="AI394" t="s">
        <v>77</v>
      </c>
      <c r="AP394" t="b">
        <v>0</v>
      </c>
      <c r="BA394" t="b">
        <v>0</v>
      </c>
    </row>
    <row r="395" spans="2:56" x14ac:dyDescent="0.2">
      <c r="B395" t="s">
        <v>2562</v>
      </c>
      <c r="C395" t="s">
        <v>2563</v>
      </c>
      <c r="H395" t="s">
        <v>60</v>
      </c>
      <c r="I395" t="s">
        <v>61</v>
      </c>
      <c r="N395" s="1"/>
      <c r="S395" t="s">
        <v>125</v>
      </c>
      <c r="T395" s="1"/>
      <c r="AD395" s="1"/>
      <c r="AH395" t="s">
        <v>1455</v>
      </c>
      <c r="AI395" t="s">
        <v>108</v>
      </c>
      <c r="AP395" t="b">
        <v>0</v>
      </c>
      <c r="BA395" t="b">
        <v>0</v>
      </c>
    </row>
    <row r="396" spans="2:56" x14ac:dyDescent="0.2">
      <c r="B396" t="s">
        <v>2564</v>
      </c>
      <c r="C396" t="s">
        <v>2565</v>
      </c>
      <c r="H396" t="s">
        <v>57</v>
      </c>
      <c r="I396" t="s">
        <v>244</v>
      </c>
      <c r="N396" s="1"/>
      <c r="S396" t="s">
        <v>1737</v>
      </c>
      <c r="T396" s="1"/>
      <c r="AD396" s="1"/>
      <c r="AI396" t="s">
        <v>108</v>
      </c>
      <c r="AN396" t="s">
        <v>2342</v>
      </c>
      <c r="AP396" t="b">
        <v>0</v>
      </c>
      <c r="BA396" t="b">
        <v>0</v>
      </c>
    </row>
    <row r="397" spans="2:56" ht="51" x14ac:dyDescent="0.2">
      <c r="B397" t="s">
        <v>2566</v>
      </c>
      <c r="C397" t="s">
        <v>2567</v>
      </c>
      <c r="H397" t="s">
        <v>57</v>
      </c>
      <c r="I397" t="s">
        <v>88</v>
      </c>
      <c r="N397" s="1"/>
      <c r="S397" t="s">
        <v>125</v>
      </c>
      <c r="T397" s="1"/>
      <c r="AD397" s="1"/>
      <c r="AE397" t="s">
        <v>86</v>
      </c>
      <c r="AG397" s="12" t="s">
        <v>2568</v>
      </c>
      <c r="AH397" t="s">
        <v>295</v>
      </c>
      <c r="AI397" t="s">
        <v>108</v>
      </c>
      <c r="AN397" t="s">
        <v>2342</v>
      </c>
      <c r="AP397" t="b">
        <v>0</v>
      </c>
      <c r="BA397" t="b">
        <v>0</v>
      </c>
    </row>
    <row r="398" spans="2:56" x14ac:dyDescent="0.2">
      <c r="B398" t="s">
        <v>2569</v>
      </c>
      <c r="C398" t="s">
        <v>2570</v>
      </c>
      <c r="E398">
        <v>5000</v>
      </c>
      <c r="H398" t="s">
        <v>60</v>
      </c>
      <c r="I398" t="s">
        <v>1968</v>
      </c>
      <c r="J398" t="s">
        <v>1968</v>
      </c>
      <c r="L398" t="s">
        <v>1968</v>
      </c>
      <c r="N398" s="1"/>
      <c r="S398" t="s">
        <v>1699</v>
      </c>
      <c r="T398" s="1"/>
      <c r="V398" t="s">
        <v>3743</v>
      </c>
      <c r="AD398" s="1"/>
      <c r="AE398" t="s">
        <v>3744</v>
      </c>
      <c r="AF398" t="s">
        <v>126</v>
      </c>
      <c r="AG398" t="s">
        <v>3745</v>
      </c>
      <c r="AH398" t="s">
        <v>102</v>
      </c>
      <c r="AK398">
        <v>500</v>
      </c>
      <c r="AN398" t="s">
        <v>3746</v>
      </c>
      <c r="AP398" t="b">
        <v>0</v>
      </c>
      <c r="AQ398" t="s">
        <v>79</v>
      </c>
      <c r="BA398" t="b">
        <v>0</v>
      </c>
    </row>
    <row r="399" spans="2:56" x14ac:dyDescent="0.2">
      <c r="B399" t="s">
        <v>2571</v>
      </c>
      <c r="C399" t="s">
        <v>2572</v>
      </c>
      <c r="H399" t="s">
        <v>57</v>
      </c>
      <c r="J399" t="s">
        <v>492</v>
      </c>
      <c r="L399" t="s">
        <v>448</v>
      </c>
      <c r="N399" s="1"/>
      <c r="S399" t="s">
        <v>125</v>
      </c>
      <c r="T399" s="1"/>
      <c r="AD399" s="1"/>
      <c r="AH399" t="s">
        <v>83</v>
      </c>
      <c r="AI399" t="s">
        <v>77</v>
      </c>
      <c r="AN399" t="s">
        <v>2342</v>
      </c>
      <c r="AP399" t="b">
        <v>0</v>
      </c>
      <c r="BA399" t="b">
        <v>0</v>
      </c>
    </row>
    <row r="400" spans="2:56" x14ac:dyDescent="0.2">
      <c r="B400" t="s">
        <v>2573</v>
      </c>
      <c r="C400" t="s">
        <v>2574</v>
      </c>
      <c r="H400" t="s">
        <v>60</v>
      </c>
      <c r="I400" t="s">
        <v>244</v>
      </c>
      <c r="N400" s="1"/>
      <c r="T400" s="1"/>
      <c r="AD400" s="1"/>
      <c r="AH400" t="s">
        <v>295</v>
      </c>
      <c r="AI400" t="s">
        <v>108</v>
      </c>
      <c r="AN400" t="s">
        <v>2342</v>
      </c>
      <c r="AP400" t="b">
        <v>0</v>
      </c>
      <c r="BA400" t="b">
        <v>0</v>
      </c>
    </row>
    <row r="401" spans="2:54" x14ac:dyDescent="0.2">
      <c r="B401" t="s">
        <v>2575</v>
      </c>
      <c r="C401" t="s">
        <v>2576</v>
      </c>
      <c r="H401" t="s">
        <v>57</v>
      </c>
      <c r="I401" t="s">
        <v>219</v>
      </c>
      <c r="J401" t="s">
        <v>220</v>
      </c>
      <c r="L401" t="s">
        <v>219</v>
      </c>
      <c r="N401" s="1"/>
      <c r="S401" t="s">
        <v>125</v>
      </c>
      <c r="T401" s="1"/>
      <c r="AD401" s="1"/>
      <c r="AH401" t="s">
        <v>83</v>
      </c>
      <c r="AN401" t="s">
        <v>2342</v>
      </c>
      <c r="AP401" t="b">
        <v>0</v>
      </c>
      <c r="BA401" t="b">
        <v>0</v>
      </c>
    </row>
    <row r="402" spans="2:54" x14ac:dyDescent="0.2">
      <c r="B402" t="s">
        <v>2577</v>
      </c>
      <c r="C402" t="s">
        <v>2578</v>
      </c>
      <c r="E402">
        <v>726</v>
      </c>
      <c r="H402" t="s">
        <v>57</v>
      </c>
      <c r="I402" t="s">
        <v>244</v>
      </c>
      <c r="L402" t="s">
        <v>491</v>
      </c>
      <c r="N402" s="1"/>
      <c r="S402" t="s">
        <v>1699</v>
      </c>
      <c r="T402" s="1"/>
      <c r="V402" t="s">
        <v>2579</v>
      </c>
      <c r="AD402" s="1"/>
      <c r="AE402" t="s">
        <v>2580</v>
      </c>
      <c r="AH402" t="s">
        <v>295</v>
      </c>
      <c r="AI402" t="s">
        <v>108</v>
      </c>
      <c r="AK402">
        <v>240</v>
      </c>
      <c r="AP402" t="b">
        <v>0</v>
      </c>
      <c r="BA402" t="b">
        <v>0</v>
      </c>
    </row>
    <row r="403" spans="2:54" x14ac:dyDescent="0.2">
      <c r="B403" t="s">
        <v>2581</v>
      </c>
      <c r="C403" t="s">
        <v>2582</v>
      </c>
      <c r="F403" t="s">
        <v>2583</v>
      </c>
      <c r="H403" t="s">
        <v>57</v>
      </c>
      <c r="I403" t="s">
        <v>448</v>
      </c>
      <c r="J403" t="s">
        <v>58</v>
      </c>
      <c r="K403" t="s">
        <v>366</v>
      </c>
      <c r="L403" t="s">
        <v>448</v>
      </c>
      <c r="M403" t="s">
        <v>61</v>
      </c>
      <c r="N403" s="1"/>
      <c r="S403" t="s">
        <v>125</v>
      </c>
      <c r="T403" s="1"/>
      <c r="V403" t="s">
        <v>2584</v>
      </c>
      <c r="AD403" s="1"/>
      <c r="AH403" t="s">
        <v>295</v>
      </c>
      <c r="AI403" t="s">
        <v>77</v>
      </c>
      <c r="AN403" t="s">
        <v>2342</v>
      </c>
      <c r="AP403" t="b">
        <v>0</v>
      </c>
      <c r="BA403" t="b">
        <v>0</v>
      </c>
    </row>
    <row r="404" spans="2:54" x14ac:dyDescent="0.2">
      <c r="B404" t="s">
        <v>2585</v>
      </c>
      <c r="C404" t="s">
        <v>2586</v>
      </c>
      <c r="E404">
        <v>5980</v>
      </c>
      <c r="F404" t="s">
        <v>2587</v>
      </c>
      <c r="H404" t="s">
        <v>57</v>
      </c>
      <c r="I404" t="s">
        <v>88</v>
      </c>
      <c r="J404" t="s">
        <v>492</v>
      </c>
      <c r="K404" t="s">
        <v>366</v>
      </c>
      <c r="L404" t="s">
        <v>1968</v>
      </c>
      <c r="N404" s="1">
        <v>41498</v>
      </c>
      <c r="S404" t="s">
        <v>125</v>
      </c>
      <c r="T404" s="1"/>
      <c r="V404" t="s">
        <v>2588</v>
      </c>
      <c r="W404" t="s">
        <v>2589</v>
      </c>
      <c r="AD404" s="1">
        <v>42044</v>
      </c>
      <c r="AE404" t="s">
        <v>2590</v>
      </c>
      <c r="AF404" t="s">
        <v>82</v>
      </c>
      <c r="AG404" t="s">
        <v>2591</v>
      </c>
      <c r="AH404" t="s">
        <v>102</v>
      </c>
      <c r="AI404" t="s">
        <v>108</v>
      </c>
      <c r="AK404">
        <v>440</v>
      </c>
      <c r="AN404" t="s">
        <v>2592</v>
      </c>
      <c r="AP404" t="b">
        <v>1</v>
      </c>
      <c r="AW404" t="s">
        <v>2593</v>
      </c>
      <c r="AX404" t="s">
        <v>2594</v>
      </c>
      <c r="AY404" t="s">
        <v>2121</v>
      </c>
      <c r="AZ404" t="s">
        <v>2595</v>
      </c>
      <c r="BA404" t="b">
        <v>1</v>
      </c>
    </row>
    <row r="405" spans="2:54" x14ac:dyDescent="0.2">
      <c r="B405" t="s">
        <v>2596</v>
      </c>
      <c r="C405" t="s">
        <v>2597</v>
      </c>
      <c r="H405" t="s">
        <v>57</v>
      </c>
      <c r="I405" t="s">
        <v>448</v>
      </c>
      <c r="J405" t="s">
        <v>492</v>
      </c>
      <c r="L405" t="s">
        <v>448</v>
      </c>
      <c r="N405" s="1"/>
      <c r="S405" t="s">
        <v>125</v>
      </c>
      <c r="T405" s="1"/>
      <c r="AD405" s="1"/>
      <c r="AH405" t="s">
        <v>83</v>
      </c>
      <c r="AN405" t="s">
        <v>2342</v>
      </c>
      <c r="AP405" t="b">
        <v>0</v>
      </c>
      <c r="BA405" t="b">
        <v>0</v>
      </c>
    </row>
    <row r="406" spans="2:54" x14ac:dyDescent="0.2">
      <c r="B406" t="s">
        <v>2598</v>
      </c>
      <c r="C406" t="s">
        <v>2599</v>
      </c>
      <c r="H406" t="s">
        <v>57</v>
      </c>
      <c r="I406" t="s">
        <v>366</v>
      </c>
      <c r="J406" t="s">
        <v>492</v>
      </c>
      <c r="K406" t="s">
        <v>366</v>
      </c>
      <c r="L406" t="s">
        <v>448</v>
      </c>
      <c r="M406" t="s">
        <v>219</v>
      </c>
      <c r="N406" s="1"/>
      <c r="S406" t="s">
        <v>2026</v>
      </c>
      <c r="T406" s="1">
        <v>41557</v>
      </c>
      <c r="U406" t="s">
        <v>2600</v>
      </c>
      <c r="AD406" s="1"/>
      <c r="AH406" t="s">
        <v>83</v>
      </c>
      <c r="AI406" t="s">
        <v>108</v>
      </c>
      <c r="AP406" t="b">
        <v>0</v>
      </c>
      <c r="BA406" t="b">
        <v>0</v>
      </c>
    </row>
    <row r="407" spans="2:54" x14ac:dyDescent="0.2">
      <c r="B407" t="s">
        <v>2601</v>
      </c>
      <c r="C407" t="s">
        <v>2602</v>
      </c>
      <c r="H407" t="s">
        <v>57</v>
      </c>
      <c r="I407" t="s">
        <v>448</v>
      </c>
      <c r="J407" t="s">
        <v>492</v>
      </c>
      <c r="K407" t="s">
        <v>366</v>
      </c>
      <c r="L407" t="s">
        <v>448</v>
      </c>
      <c r="M407" t="s">
        <v>219</v>
      </c>
      <c r="N407" s="1"/>
      <c r="S407" t="s">
        <v>125</v>
      </c>
      <c r="T407" s="1">
        <v>41597</v>
      </c>
      <c r="U407" t="s">
        <v>2600</v>
      </c>
      <c r="AD407" s="1"/>
      <c r="AH407" t="s">
        <v>83</v>
      </c>
      <c r="AN407" t="s">
        <v>2342</v>
      </c>
      <c r="AP407" t="b">
        <v>0</v>
      </c>
      <c r="BA407" t="b">
        <v>0</v>
      </c>
    </row>
    <row r="408" spans="2:54" x14ac:dyDescent="0.2">
      <c r="B408" t="s">
        <v>2603</v>
      </c>
      <c r="C408" t="s">
        <v>3932</v>
      </c>
      <c r="H408" t="s">
        <v>57</v>
      </c>
      <c r="I408" t="s">
        <v>60</v>
      </c>
      <c r="J408" t="s">
        <v>492</v>
      </c>
      <c r="K408" t="s">
        <v>366</v>
      </c>
      <c r="L408" t="s">
        <v>60</v>
      </c>
      <c r="N408" s="1"/>
      <c r="S408" t="s">
        <v>125</v>
      </c>
      <c r="T408" s="1"/>
      <c r="V408" t="s">
        <v>4355</v>
      </c>
      <c r="AD408" s="1"/>
      <c r="AE408" t="s">
        <v>3469</v>
      </c>
      <c r="AF408" t="s">
        <v>174</v>
      </c>
      <c r="AG408" t="s">
        <v>3470</v>
      </c>
      <c r="AH408" t="s">
        <v>2605</v>
      </c>
      <c r="AI408" t="s">
        <v>77</v>
      </c>
      <c r="AN408" t="s">
        <v>3471</v>
      </c>
      <c r="AP408" t="b">
        <v>0</v>
      </c>
      <c r="AQ408" t="s">
        <v>3472</v>
      </c>
      <c r="BA408" t="b">
        <v>0</v>
      </c>
      <c r="BB408" t="s">
        <v>70</v>
      </c>
    </row>
    <row r="409" spans="2:54" x14ac:dyDescent="0.2">
      <c r="B409" t="s">
        <v>2606</v>
      </c>
      <c r="C409" t="s">
        <v>2607</v>
      </c>
      <c r="E409">
        <v>15000</v>
      </c>
      <c r="F409" t="s">
        <v>2608</v>
      </c>
      <c r="H409" t="s">
        <v>57</v>
      </c>
      <c r="I409" t="s">
        <v>219</v>
      </c>
      <c r="J409" t="s">
        <v>492</v>
      </c>
      <c r="K409" t="s">
        <v>59</v>
      </c>
      <c r="L409" t="s">
        <v>219</v>
      </c>
      <c r="M409" t="s">
        <v>1968</v>
      </c>
      <c r="N409" s="1"/>
      <c r="S409" t="s">
        <v>1023</v>
      </c>
      <c r="T409" s="1">
        <v>42401</v>
      </c>
      <c r="U409" t="s">
        <v>3747</v>
      </c>
      <c r="V409" t="s">
        <v>2609</v>
      </c>
      <c r="AD409" s="1"/>
      <c r="AE409" t="s">
        <v>2610</v>
      </c>
      <c r="AF409" t="s">
        <v>2611</v>
      </c>
      <c r="AG409" t="s">
        <v>2612</v>
      </c>
      <c r="AH409" t="s">
        <v>93</v>
      </c>
      <c r="AI409" t="s">
        <v>77</v>
      </c>
      <c r="AK409">
        <v>125</v>
      </c>
      <c r="AN409" t="s">
        <v>3748</v>
      </c>
      <c r="AP409" t="b">
        <v>0</v>
      </c>
      <c r="AQ409" t="s">
        <v>79</v>
      </c>
      <c r="BA409" t="b">
        <v>0</v>
      </c>
    </row>
    <row r="410" spans="2:54" x14ac:dyDescent="0.2">
      <c r="B410" t="s">
        <v>2613</v>
      </c>
      <c r="C410" t="s">
        <v>2614</v>
      </c>
      <c r="E410">
        <v>2800</v>
      </c>
      <c r="H410" t="s">
        <v>60</v>
      </c>
      <c r="I410" t="s">
        <v>1968</v>
      </c>
      <c r="J410" t="s">
        <v>2251</v>
      </c>
      <c r="L410" t="s">
        <v>1968</v>
      </c>
      <c r="N410" s="1"/>
      <c r="S410" t="s">
        <v>62</v>
      </c>
      <c r="T410" s="1">
        <v>41668</v>
      </c>
      <c r="U410" t="s">
        <v>1699</v>
      </c>
      <c r="V410" t="s">
        <v>2615</v>
      </c>
      <c r="W410" t="s">
        <v>2616</v>
      </c>
      <c r="X410" t="s">
        <v>3662</v>
      </c>
      <c r="AD410" s="1"/>
      <c r="AE410" t="s">
        <v>3749</v>
      </c>
      <c r="AF410" t="s">
        <v>3750</v>
      </c>
      <c r="AG410" t="s">
        <v>3555</v>
      </c>
      <c r="AH410" t="s">
        <v>83</v>
      </c>
      <c r="AI410" t="s">
        <v>77</v>
      </c>
      <c r="AK410">
        <v>360</v>
      </c>
      <c r="AN410" t="s">
        <v>3556</v>
      </c>
      <c r="AO410" t="s">
        <v>70</v>
      </c>
      <c r="AP410" t="b">
        <v>1</v>
      </c>
      <c r="AQ410" t="s">
        <v>79</v>
      </c>
      <c r="BA410" t="b">
        <v>0</v>
      </c>
      <c r="BB410" t="s">
        <v>2617</v>
      </c>
    </row>
    <row r="411" spans="2:54" x14ac:dyDescent="0.2">
      <c r="B411" t="s">
        <v>2618</v>
      </c>
      <c r="C411" t="s">
        <v>2619</v>
      </c>
      <c r="E411">
        <v>5645</v>
      </c>
      <c r="H411" t="s">
        <v>57</v>
      </c>
      <c r="I411" t="s">
        <v>219</v>
      </c>
      <c r="J411" t="s">
        <v>2251</v>
      </c>
      <c r="L411" t="s">
        <v>219</v>
      </c>
      <c r="M411" t="s">
        <v>2276</v>
      </c>
      <c r="N411" s="1"/>
      <c r="S411" t="s">
        <v>1699</v>
      </c>
      <c r="T411" s="1">
        <v>42179</v>
      </c>
      <c r="U411" t="s">
        <v>2620</v>
      </c>
      <c r="V411" t="s">
        <v>2621</v>
      </c>
      <c r="W411" t="s">
        <v>3751</v>
      </c>
      <c r="AC411">
        <v>2016</v>
      </c>
      <c r="AD411" s="1">
        <v>42125</v>
      </c>
      <c r="AE411" t="s">
        <v>3752</v>
      </c>
      <c r="AG411" t="s">
        <v>2622</v>
      </c>
      <c r="AH411" t="s">
        <v>83</v>
      </c>
      <c r="AI411" t="s">
        <v>77</v>
      </c>
      <c r="AK411">
        <v>960</v>
      </c>
      <c r="AN411" t="s">
        <v>2623</v>
      </c>
      <c r="AP411" t="b">
        <v>0</v>
      </c>
      <c r="AQ411" t="s">
        <v>79</v>
      </c>
      <c r="AV411" t="s">
        <v>2624</v>
      </c>
      <c r="AW411" t="s">
        <v>2625</v>
      </c>
      <c r="AX411" t="s">
        <v>2626</v>
      </c>
      <c r="AY411" t="s">
        <v>2627</v>
      </c>
      <c r="AZ411" t="s">
        <v>2628</v>
      </c>
      <c r="BA411" t="b">
        <v>1</v>
      </c>
      <c r="BB411" t="s">
        <v>2629</v>
      </c>
    </row>
    <row r="412" spans="2:54" x14ac:dyDescent="0.2">
      <c r="B412" t="s">
        <v>2630</v>
      </c>
      <c r="C412" t="s">
        <v>2631</v>
      </c>
      <c r="E412">
        <v>5182</v>
      </c>
      <c r="F412" t="s">
        <v>2632</v>
      </c>
      <c r="H412" t="s">
        <v>57</v>
      </c>
      <c r="I412" t="s">
        <v>219</v>
      </c>
      <c r="J412" t="s">
        <v>2251</v>
      </c>
      <c r="L412" t="s">
        <v>219</v>
      </c>
      <c r="N412" s="1">
        <v>41558</v>
      </c>
      <c r="S412" t="s">
        <v>1737</v>
      </c>
      <c r="T412" s="1">
        <v>41599</v>
      </c>
      <c r="U412" t="s">
        <v>2633</v>
      </c>
      <c r="V412" t="s">
        <v>2634</v>
      </c>
      <c r="W412" t="s">
        <v>3663</v>
      </c>
      <c r="AC412">
        <v>2015</v>
      </c>
      <c r="AD412" s="1"/>
      <c r="AE412" t="s">
        <v>2635</v>
      </c>
      <c r="AF412" t="s">
        <v>82</v>
      </c>
      <c r="AG412" t="s">
        <v>3753</v>
      </c>
      <c r="AH412" t="s">
        <v>83</v>
      </c>
      <c r="AI412" t="s">
        <v>77</v>
      </c>
      <c r="AK412">
        <v>800</v>
      </c>
      <c r="AN412" t="s">
        <v>2636</v>
      </c>
      <c r="AO412" t="s">
        <v>2637</v>
      </c>
      <c r="AP412" t="b">
        <v>0</v>
      </c>
      <c r="AQ412" t="s">
        <v>79</v>
      </c>
      <c r="AV412" t="s">
        <v>2638</v>
      </c>
      <c r="AW412" t="s">
        <v>2639</v>
      </c>
      <c r="AX412" t="s">
        <v>2640</v>
      </c>
      <c r="AY412" t="s">
        <v>2121</v>
      </c>
      <c r="AZ412" t="s">
        <v>2641</v>
      </c>
      <c r="BA412" t="b">
        <v>0</v>
      </c>
      <c r="BB412" t="s">
        <v>2642</v>
      </c>
    </row>
    <row r="413" spans="2:54" x14ac:dyDescent="0.2">
      <c r="B413" t="s">
        <v>2643</v>
      </c>
      <c r="C413" t="s">
        <v>2644</v>
      </c>
      <c r="H413" t="s">
        <v>57</v>
      </c>
      <c r="I413" t="s">
        <v>219</v>
      </c>
      <c r="J413" t="s">
        <v>58</v>
      </c>
      <c r="L413" t="s">
        <v>219</v>
      </c>
      <c r="N413" s="1">
        <v>41609</v>
      </c>
      <c r="S413" t="s">
        <v>1023</v>
      </c>
      <c r="T413" s="1"/>
      <c r="U413" t="s">
        <v>2645</v>
      </c>
      <c r="V413" t="s">
        <v>2646</v>
      </c>
      <c r="W413" t="s">
        <v>2647</v>
      </c>
      <c r="AC413">
        <v>2016</v>
      </c>
      <c r="AD413" s="1"/>
      <c r="AE413" t="s">
        <v>2648</v>
      </c>
      <c r="AF413" t="s">
        <v>293</v>
      </c>
      <c r="AG413" t="s">
        <v>2649</v>
      </c>
      <c r="AH413" t="s">
        <v>83</v>
      </c>
      <c r="AI413" t="s">
        <v>77</v>
      </c>
      <c r="AJ413" t="s">
        <v>2650</v>
      </c>
      <c r="AK413">
        <v>480</v>
      </c>
      <c r="AN413" t="s">
        <v>2651</v>
      </c>
      <c r="AP413" t="b">
        <v>0</v>
      </c>
      <c r="AQ413" t="s">
        <v>79</v>
      </c>
      <c r="AV413" t="s">
        <v>2534</v>
      </c>
      <c r="AW413" t="s">
        <v>2652</v>
      </c>
      <c r="AY413" t="s">
        <v>2536</v>
      </c>
      <c r="AZ413" t="s">
        <v>2653</v>
      </c>
      <c r="BA413" t="b">
        <v>1</v>
      </c>
    </row>
    <row r="414" spans="2:54" x14ac:dyDescent="0.2">
      <c r="B414" t="s">
        <v>2654</v>
      </c>
      <c r="C414" t="s">
        <v>2655</v>
      </c>
      <c r="H414" t="s">
        <v>60</v>
      </c>
      <c r="I414" t="s">
        <v>220</v>
      </c>
      <c r="J414" t="s">
        <v>220</v>
      </c>
      <c r="L414" t="s">
        <v>61</v>
      </c>
      <c r="N414" s="1"/>
      <c r="S414" t="s">
        <v>125</v>
      </c>
      <c r="T414" s="1"/>
      <c r="U414" t="s">
        <v>2656</v>
      </c>
      <c r="V414" t="s">
        <v>2657</v>
      </c>
      <c r="AD414" s="1"/>
      <c r="AI414" t="s">
        <v>108</v>
      </c>
      <c r="AP414" t="b">
        <v>0</v>
      </c>
      <c r="BA414" t="b">
        <v>0</v>
      </c>
    </row>
    <row r="415" spans="2:54" x14ac:dyDescent="0.2">
      <c r="B415" t="s">
        <v>2658</v>
      </c>
      <c r="C415" t="s">
        <v>2659</v>
      </c>
      <c r="E415">
        <v>38500</v>
      </c>
      <c r="F415" t="s">
        <v>2660</v>
      </c>
      <c r="H415" t="s">
        <v>57</v>
      </c>
      <c r="I415" t="s">
        <v>60</v>
      </c>
      <c r="J415" t="s">
        <v>492</v>
      </c>
      <c r="K415" t="s">
        <v>366</v>
      </c>
      <c r="L415" t="s">
        <v>448</v>
      </c>
      <c r="M415" t="s">
        <v>219</v>
      </c>
      <c r="N415" s="1">
        <v>41586</v>
      </c>
      <c r="S415" t="s">
        <v>125</v>
      </c>
      <c r="T415" s="1"/>
      <c r="V415" t="s">
        <v>2661</v>
      </c>
      <c r="W415" t="s">
        <v>2662</v>
      </c>
      <c r="X415" t="s">
        <v>2663</v>
      </c>
      <c r="Y415" t="s">
        <v>2664</v>
      </c>
      <c r="AC415">
        <v>0</v>
      </c>
      <c r="AD415" s="1">
        <v>41725</v>
      </c>
      <c r="AE415" t="s">
        <v>2665</v>
      </c>
      <c r="AF415" t="s">
        <v>2666</v>
      </c>
      <c r="AG415" t="s">
        <v>2667</v>
      </c>
      <c r="AH415" t="s">
        <v>2426</v>
      </c>
      <c r="AI415" t="s">
        <v>77</v>
      </c>
      <c r="AJ415" t="s">
        <v>2668</v>
      </c>
      <c r="AK415">
        <v>38500</v>
      </c>
      <c r="AN415" t="s">
        <v>2669</v>
      </c>
      <c r="AP415" t="b">
        <v>1</v>
      </c>
      <c r="AQ415" t="s">
        <v>79</v>
      </c>
      <c r="AW415" t="s">
        <v>2670</v>
      </c>
      <c r="AX415" t="s">
        <v>2670</v>
      </c>
      <c r="AZ415" t="s">
        <v>2149</v>
      </c>
      <c r="BA415" t="b">
        <v>0</v>
      </c>
    </row>
    <row r="416" spans="2:54" x14ac:dyDescent="0.2">
      <c r="B416" t="s">
        <v>2671</v>
      </c>
      <c r="C416" t="s">
        <v>2672</v>
      </c>
      <c r="E416">
        <v>2617</v>
      </c>
      <c r="H416" t="s">
        <v>60</v>
      </c>
      <c r="I416" t="s">
        <v>60</v>
      </c>
      <c r="J416" t="s">
        <v>366</v>
      </c>
      <c r="L416" t="s">
        <v>3815</v>
      </c>
      <c r="N416" s="1"/>
      <c r="S416" t="s">
        <v>62</v>
      </c>
      <c r="T416" s="1"/>
      <c r="AD416" s="1"/>
      <c r="AE416" t="s">
        <v>3473</v>
      </c>
      <c r="AF416" t="s">
        <v>1537</v>
      </c>
      <c r="AG416" t="s">
        <v>3474</v>
      </c>
      <c r="AH416" t="s">
        <v>102</v>
      </c>
      <c r="AI416" t="s">
        <v>77</v>
      </c>
      <c r="AK416">
        <v>79</v>
      </c>
      <c r="AN416" t="s">
        <v>3475</v>
      </c>
      <c r="AP416" t="b">
        <v>0</v>
      </c>
      <c r="AQ416" t="s">
        <v>79</v>
      </c>
      <c r="BA416" t="b">
        <v>0</v>
      </c>
    </row>
    <row r="417" spans="2:54" x14ac:dyDescent="0.2">
      <c r="B417" t="s">
        <v>2673</v>
      </c>
      <c r="C417" t="s">
        <v>2674</v>
      </c>
      <c r="H417" t="s">
        <v>57</v>
      </c>
      <c r="N417" s="1"/>
      <c r="S417" t="s">
        <v>71</v>
      </c>
      <c r="T417" s="1"/>
      <c r="V417" t="s">
        <v>3032</v>
      </c>
      <c r="AD417" s="1"/>
      <c r="AP417" t="b">
        <v>0</v>
      </c>
      <c r="BA417" t="b">
        <v>0</v>
      </c>
    </row>
    <row r="418" spans="2:54" x14ac:dyDescent="0.2">
      <c r="B418" t="s">
        <v>2675</v>
      </c>
      <c r="C418" t="s">
        <v>2676</v>
      </c>
      <c r="E418">
        <v>9420</v>
      </c>
      <c r="F418" t="s">
        <v>2677</v>
      </c>
      <c r="H418" t="s">
        <v>60</v>
      </c>
      <c r="I418" t="s">
        <v>492</v>
      </c>
      <c r="J418" t="s">
        <v>492</v>
      </c>
      <c r="K418" t="s">
        <v>59</v>
      </c>
      <c r="L418" t="s">
        <v>2160</v>
      </c>
      <c r="N418" s="1">
        <v>41725</v>
      </c>
      <c r="S418" t="s">
        <v>367</v>
      </c>
      <c r="T418" s="1"/>
      <c r="U418" t="s">
        <v>2678</v>
      </c>
      <c r="V418" t="s">
        <v>2679</v>
      </c>
      <c r="AC418">
        <v>2016</v>
      </c>
      <c r="AD418" s="1">
        <v>42412</v>
      </c>
      <c r="AE418" t="s">
        <v>2680</v>
      </c>
      <c r="AF418" t="s">
        <v>2681</v>
      </c>
      <c r="AG418" t="s">
        <v>2682</v>
      </c>
      <c r="AH418" t="s">
        <v>83</v>
      </c>
      <c r="AI418" t="s">
        <v>77</v>
      </c>
      <c r="AK418">
        <v>2100</v>
      </c>
      <c r="AO418" t="s">
        <v>2683</v>
      </c>
      <c r="AP418" t="b">
        <v>1</v>
      </c>
      <c r="AQ418" t="s">
        <v>79</v>
      </c>
      <c r="BA418" t="b">
        <v>0</v>
      </c>
      <c r="BB418" t="s">
        <v>2684</v>
      </c>
    </row>
    <row r="419" spans="2:54" x14ac:dyDescent="0.2">
      <c r="B419" t="s">
        <v>2685</v>
      </c>
      <c r="C419" t="s">
        <v>2686</v>
      </c>
      <c r="E419">
        <v>1400</v>
      </c>
      <c r="H419" t="s">
        <v>60</v>
      </c>
      <c r="I419" t="s">
        <v>60</v>
      </c>
      <c r="J419" t="s">
        <v>366</v>
      </c>
      <c r="L419" t="s">
        <v>2160</v>
      </c>
      <c r="N419" s="1"/>
      <c r="S419" t="s">
        <v>71</v>
      </c>
      <c r="T419" s="1"/>
      <c r="AD419" s="1"/>
      <c r="AH419" t="s">
        <v>2426</v>
      </c>
      <c r="AI419" t="s">
        <v>77</v>
      </c>
      <c r="AP419" t="b">
        <v>0</v>
      </c>
      <c r="BA419" t="b">
        <v>0</v>
      </c>
    </row>
    <row r="420" spans="2:54" x14ac:dyDescent="0.2">
      <c r="B420" t="s">
        <v>2687</v>
      </c>
      <c r="C420" t="s">
        <v>2688</v>
      </c>
      <c r="E420">
        <v>16000</v>
      </c>
      <c r="F420" t="s">
        <v>2689</v>
      </c>
      <c r="H420" t="s">
        <v>57</v>
      </c>
      <c r="I420" t="s">
        <v>60</v>
      </c>
      <c r="J420" t="s">
        <v>58</v>
      </c>
      <c r="L420" t="s">
        <v>61</v>
      </c>
      <c r="N420" s="1">
        <v>41724</v>
      </c>
      <c r="S420" t="s">
        <v>125</v>
      </c>
      <c r="T420" s="1"/>
      <c r="V420" t="s">
        <v>2690</v>
      </c>
      <c r="AD420" s="1"/>
      <c r="AH420" t="s">
        <v>295</v>
      </c>
      <c r="AI420" t="s">
        <v>77</v>
      </c>
      <c r="AN420" t="s">
        <v>2342</v>
      </c>
      <c r="AP420" t="b">
        <v>0</v>
      </c>
      <c r="BA420" t="b">
        <v>0</v>
      </c>
      <c r="BB420" t="s">
        <v>2626</v>
      </c>
    </row>
    <row r="421" spans="2:54" x14ac:dyDescent="0.2">
      <c r="B421" t="s">
        <v>2691</v>
      </c>
      <c r="C421" t="s">
        <v>2692</v>
      </c>
      <c r="E421">
        <v>7355</v>
      </c>
      <c r="H421" t="s">
        <v>57</v>
      </c>
      <c r="I421" t="s">
        <v>366</v>
      </c>
      <c r="J421" t="s">
        <v>366</v>
      </c>
      <c r="K421" t="s">
        <v>492</v>
      </c>
      <c r="L421" t="s">
        <v>1968</v>
      </c>
      <c r="M421" t="s">
        <v>219</v>
      </c>
      <c r="N421" s="1"/>
      <c r="S421" t="s">
        <v>367</v>
      </c>
      <c r="T421" s="1"/>
      <c r="U421" t="s">
        <v>2693</v>
      </c>
      <c r="V421" t="s">
        <v>2694</v>
      </c>
      <c r="W421" t="s">
        <v>2695</v>
      </c>
      <c r="X421" t="s">
        <v>2696</v>
      </c>
      <c r="Y421" t="s">
        <v>2697</v>
      </c>
      <c r="Z421" t="s">
        <v>2698</v>
      </c>
      <c r="AA421" t="s">
        <v>3033</v>
      </c>
      <c r="AD421" s="1"/>
      <c r="AG421" t="s">
        <v>2699</v>
      </c>
      <c r="AH421" t="s">
        <v>83</v>
      </c>
      <c r="AI421" t="s">
        <v>77</v>
      </c>
      <c r="AN421" t="s">
        <v>2700</v>
      </c>
      <c r="AP421" t="b">
        <v>0</v>
      </c>
      <c r="AV421" t="s">
        <v>2701</v>
      </c>
      <c r="AW421" t="s">
        <v>2702</v>
      </c>
      <c r="AX421" t="s">
        <v>2703</v>
      </c>
      <c r="AY421" t="s">
        <v>2704</v>
      </c>
      <c r="AZ421" t="s">
        <v>2705</v>
      </c>
      <c r="BA421" t="b">
        <v>0</v>
      </c>
    </row>
    <row r="422" spans="2:54" x14ac:dyDescent="0.2">
      <c r="B422" t="s">
        <v>2706</v>
      </c>
      <c r="C422" t="s">
        <v>2707</v>
      </c>
      <c r="E422">
        <v>9575</v>
      </c>
      <c r="F422" t="s">
        <v>2708</v>
      </c>
      <c r="H422" t="s">
        <v>57</v>
      </c>
      <c r="I422" t="s">
        <v>244</v>
      </c>
      <c r="J422" t="s">
        <v>58</v>
      </c>
      <c r="L422" t="s">
        <v>491</v>
      </c>
      <c r="M422" t="s">
        <v>2160</v>
      </c>
      <c r="N422" s="1">
        <v>41699</v>
      </c>
      <c r="S422" t="s">
        <v>1737</v>
      </c>
      <c r="T422" s="1"/>
      <c r="U422" t="s">
        <v>2709</v>
      </c>
      <c r="V422" t="s">
        <v>3904</v>
      </c>
      <c r="AD422" s="1"/>
      <c r="AE422" t="s">
        <v>2710</v>
      </c>
      <c r="AF422" t="s">
        <v>2711</v>
      </c>
      <c r="AG422" t="s">
        <v>2712</v>
      </c>
      <c r="AH422" t="s">
        <v>2426</v>
      </c>
      <c r="AI422" t="s">
        <v>77</v>
      </c>
      <c r="AK422">
        <v>795</v>
      </c>
      <c r="AN422" t="s">
        <v>3754</v>
      </c>
      <c r="AO422" t="s">
        <v>2713</v>
      </c>
      <c r="AP422" t="b">
        <v>0</v>
      </c>
      <c r="AQ422" t="s">
        <v>79</v>
      </c>
      <c r="AV422" t="s">
        <v>381</v>
      </c>
      <c r="AW422" t="s">
        <v>3755</v>
      </c>
      <c r="AX422" t="s">
        <v>3756</v>
      </c>
      <c r="AY422" t="s">
        <v>2121</v>
      </c>
      <c r="BA422" t="b">
        <v>0</v>
      </c>
    </row>
    <row r="423" spans="2:54" x14ac:dyDescent="0.2">
      <c r="B423" t="s">
        <v>2714</v>
      </c>
      <c r="C423" t="s">
        <v>2715</v>
      </c>
      <c r="H423" t="s">
        <v>57</v>
      </c>
      <c r="I423" t="s">
        <v>366</v>
      </c>
      <c r="J423" t="s">
        <v>366</v>
      </c>
      <c r="L423" t="s">
        <v>448</v>
      </c>
      <c r="N423" s="1"/>
      <c r="S423" t="s">
        <v>2716</v>
      </c>
      <c r="T423" s="1"/>
      <c r="V423" t="s">
        <v>2717</v>
      </c>
      <c r="AD423" s="1"/>
      <c r="AH423" t="s">
        <v>83</v>
      </c>
      <c r="AI423" t="s">
        <v>108</v>
      </c>
      <c r="AP423" t="b">
        <v>0</v>
      </c>
      <c r="BA423" t="b">
        <v>0</v>
      </c>
    </row>
    <row r="424" spans="2:54" x14ac:dyDescent="0.2">
      <c r="B424" t="s">
        <v>2718</v>
      </c>
      <c r="C424" t="s">
        <v>2719</v>
      </c>
      <c r="E424">
        <v>7000</v>
      </c>
      <c r="H424" t="s">
        <v>57</v>
      </c>
      <c r="I424" t="s">
        <v>1968</v>
      </c>
      <c r="J424" t="s">
        <v>2251</v>
      </c>
      <c r="K424" t="s">
        <v>58</v>
      </c>
      <c r="L424" t="s">
        <v>1968</v>
      </c>
      <c r="M424" t="s">
        <v>2865</v>
      </c>
      <c r="N424" s="1">
        <v>42231</v>
      </c>
      <c r="S424" t="s">
        <v>367</v>
      </c>
      <c r="T424" s="1"/>
      <c r="V424" t="s">
        <v>2720</v>
      </c>
      <c r="W424" t="s">
        <v>2721</v>
      </c>
      <c r="X424" t="s">
        <v>3557</v>
      </c>
      <c r="AD424" s="1"/>
      <c r="AE424" t="s">
        <v>3927</v>
      </c>
      <c r="AF424" t="s">
        <v>126</v>
      </c>
      <c r="AG424" t="s">
        <v>2722</v>
      </c>
      <c r="AH424" t="s">
        <v>83</v>
      </c>
      <c r="AI424" t="s">
        <v>77</v>
      </c>
      <c r="AK424">
        <v>930</v>
      </c>
      <c r="AN424" t="s">
        <v>2342</v>
      </c>
      <c r="AP424" t="b">
        <v>0</v>
      </c>
      <c r="AV424" t="s">
        <v>3757</v>
      </c>
      <c r="BA424" t="b">
        <v>0</v>
      </c>
    </row>
    <row r="425" spans="2:54" x14ac:dyDescent="0.2">
      <c r="B425" t="s">
        <v>2723</v>
      </c>
      <c r="C425" t="s">
        <v>2724</v>
      </c>
      <c r="E425">
        <v>115300</v>
      </c>
      <c r="H425" t="s">
        <v>60</v>
      </c>
      <c r="I425" t="s">
        <v>60</v>
      </c>
      <c r="J425" t="s">
        <v>60</v>
      </c>
      <c r="L425" t="s">
        <v>60</v>
      </c>
      <c r="N425" s="1">
        <v>41974</v>
      </c>
      <c r="S425" t="s">
        <v>62</v>
      </c>
      <c r="T425" s="1"/>
      <c r="AD425" s="1"/>
      <c r="AE425" t="s">
        <v>3476</v>
      </c>
      <c r="AF425" t="s">
        <v>775</v>
      </c>
      <c r="AG425" t="s">
        <v>2725</v>
      </c>
      <c r="AH425" t="s">
        <v>93</v>
      </c>
      <c r="AI425" t="s">
        <v>77</v>
      </c>
      <c r="AK425">
        <v>0</v>
      </c>
      <c r="AN425" t="s">
        <v>2342</v>
      </c>
      <c r="AP425" t="b">
        <v>1</v>
      </c>
      <c r="AV425" t="s">
        <v>2726</v>
      </c>
      <c r="BA425" t="b">
        <v>0</v>
      </c>
    </row>
    <row r="426" spans="2:54" x14ac:dyDescent="0.2">
      <c r="B426" t="s">
        <v>2727</v>
      </c>
      <c r="C426" t="s">
        <v>2728</v>
      </c>
      <c r="F426" t="s">
        <v>2852</v>
      </c>
      <c r="H426" t="s">
        <v>60</v>
      </c>
      <c r="I426" t="s">
        <v>366</v>
      </c>
      <c r="J426" t="s">
        <v>366</v>
      </c>
      <c r="K426" t="s">
        <v>59</v>
      </c>
      <c r="L426" t="s">
        <v>1506</v>
      </c>
      <c r="M426" t="s">
        <v>70</v>
      </c>
      <c r="N426" s="1">
        <v>41913</v>
      </c>
      <c r="S426" t="s">
        <v>367</v>
      </c>
      <c r="T426" s="1"/>
      <c r="AD426" s="1"/>
      <c r="AE426" t="s">
        <v>2729</v>
      </c>
      <c r="AF426" t="s">
        <v>82</v>
      </c>
      <c r="AG426" t="s">
        <v>2730</v>
      </c>
      <c r="AH426" t="s">
        <v>83</v>
      </c>
      <c r="AI426" t="s">
        <v>77</v>
      </c>
      <c r="AN426" t="s">
        <v>2731</v>
      </c>
      <c r="AO426" t="s">
        <v>2853</v>
      </c>
      <c r="AP426" t="b">
        <v>1</v>
      </c>
      <c r="AW426" t="s">
        <v>2732</v>
      </c>
      <c r="AX426" t="s">
        <v>2733</v>
      </c>
      <c r="AZ426" t="s">
        <v>2329</v>
      </c>
      <c r="BA426" t="b">
        <v>1</v>
      </c>
      <c r="BB426" t="s">
        <v>2734</v>
      </c>
    </row>
    <row r="427" spans="2:54" x14ac:dyDescent="0.2">
      <c r="B427" t="s">
        <v>2735</v>
      </c>
      <c r="C427" t="s">
        <v>2736</v>
      </c>
      <c r="H427" t="s">
        <v>60</v>
      </c>
      <c r="I427" t="s">
        <v>2865</v>
      </c>
      <c r="J427" t="s">
        <v>2251</v>
      </c>
      <c r="K427" t="s">
        <v>3028</v>
      </c>
      <c r="L427" t="s">
        <v>1968</v>
      </c>
      <c r="N427" s="1"/>
      <c r="S427" t="s">
        <v>1737</v>
      </c>
      <c r="T427" s="1"/>
      <c r="V427" t="s">
        <v>4356</v>
      </c>
      <c r="AD427" s="1"/>
      <c r="AH427" t="s">
        <v>83</v>
      </c>
      <c r="AI427" t="s">
        <v>77</v>
      </c>
      <c r="AK427">
        <v>360</v>
      </c>
      <c r="AN427" t="s">
        <v>2342</v>
      </c>
      <c r="AP427" t="b">
        <v>0</v>
      </c>
      <c r="BA427" t="b">
        <v>0</v>
      </c>
    </row>
    <row r="428" spans="2:54" x14ac:dyDescent="0.2">
      <c r="B428" t="s">
        <v>2737</v>
      </c>
      <c r="C428" t="s">
        <v>2738</v>
      </c>
      <c r="E428">
        <v>5017</v>
      </c>
      <c r="H428" t="s">
        <v>60</v>
      </c>
      <c r="I428" t="s">
        <v>2276</v>
      </c>
      <c r="J428" t="s">
        <v>2251</v>
      </c>
      <c r="L428" t="s">
        <v>2276</v>
      </c>
      <c r="N428" s="1">
        <v>41929</v>
      </c>
      <c r="S428" t="s">
        <v>1699</v>
      </c>
      <c r="T428" s="1"/>
      <c r="V428" t="s">
        <v>2739</v>
      </c>
      <c r="W428" t="s">
        <v>4314</v>
      </c>
      <c r="AD428" s="1"/>
      <c r="AE428" t="s">
        <v>2740</v>
      </c>
      <c r="AF428" t="s">
        <v>899</v>
      </c>
      <c r="AG428" t="s">
        <v>3905</v>
      </c>
      <c r="AH428" t="s">
        <v>2426</v>
      </c>
      <c r="AI428" t="s">
        <v>108</v>
      </c>
      <c r="AK428">
        <v>1000</v>
      </c>
      <c r="AN428" t="s">
        <v>2741</v>
      </c>
      <c r="AP428" t="b">
        <v>1</v>
      </c>
      <c r="AQ428" t="s">
        <v>79</v>
      </c>
      <c r="BA428" t="b">
        <v>0</v>
      </c>
      <c r="BB428" t="s">
        <v>2742</v>
      </c>
    </row>
    <row r="429" spans="2:54" x14ac:dyDescent="0.2">
      <c r="B429" t="s">
        <v>2743</v>
      </c>
      <c r="C429" t="s">
        <v>2744</v>
      </c>
      <c r="E429">
        <v>3550</v>
      </c>
      <c r="H429" t="s">
        <v>60</v>
      </c>
      <c r="I429" t="s">
        <v>492</v>
      </c>
      <c r="J429" t="s">
        <v>59</v>
      </c>
      <c r="L429" t="s">
        <v>2160</v>
      </c>
      <c r="N429" s="1">
        <v>41967</v>
      </c>
      <c r="S429" t="s">
        <v>1737</v>
      </c>
      <c r="T429" s="1"/>
      <c r="V429" t="s">
        <v>2745</v>
      </c>
      <c r="AD429" s="1"/>
      <c r="AE429" t="s">
        <v>2746</v>
      </c>
      <c r="AF429" t="s">
        <v>980</v>
      </c>
      <c r="AG429" t="s">
        <v>2747</v>
      </c>
      <c r="AH429" t="s">
        <v>83</v>
      </c>
      <c r="AI429" t="s">
        <v>77</v>
      </c>
      <c r="AK429">
        <v>375</v>
      </c>
      <c r="AN429" t="s">
        <v>2748</v>
      </c>
      <c r="AP429" t="b">
        <v>1</v>
      </c>
      <c r="AR429" t="s">
        <v>2749</v>
      </c>
      <c r="AW429" t="s">
        <v>2750</v>
      </c>
      <c r="AX429" t="s">
        <v>2751</v>
      </c>
      <c r="AY429" t="s">
        <v>2121</v>
      </c>
      <c r="AZ429" t="s">
        <v>2149</v>
      </c>
      <c r="BA429" t="b">
        <v>1</v>
      </c>
      <c r="BB429" t="s">
        <v>2752</v>
      </c>
    </row>
    <row r="430" spans="2:54" x14ac:dyDescent="0.2">
      <c r="B430" t="s">
        <v>2753</v>
      </c>
      <c r="C430" t="s">
        <v>3034</v>
      </c>
      <c r="E430">
        <v>7293.6</v>
      </c>
      <c r="F430" t="s">
        <v>3558</v>
      </c>
      <c r="H430" t="s">
        <v>60</v>
      </c>
      <c r="I430" t="s">
        <v>219</v>
      </c>
      <c r="J430" t="s">
        <v>492</v>
      </c>
      <c r="K430" t="s">
        <v>59</v>
      </c>
      <c r="L430" t="s">
        <v>219</v>
      </c>
      <c r="N430" s="1">
        <v>41968</v>
      </c>
      <c r="S430" t="s">
        <v>1699</v>
      </c>
      <c r="T430" s="1"/>
      <c r="V430" t="s">
        <v>3035</v>
      </c>
      <c r="AD430" s="1"/>
      <c r="AE430" t="s">
        <v>2754</v>
      </c>
      <c r="AF430" t="s">
        <v>259</v>
      </c>
      <c r="AG430" t="s">
        <v>2755</v>
      </c>
      <c r="AH430" t="s">
        <v>2426</v>
      </c>
      <c r="AI430" t="s">
        <v>77</v>
      </c>
      <c r="AK430">
        <v>575</v>
      </c>
      <c r="AN430" t="s">
        <v>3036</v>
      </c>
      <c r="AO430" t="s">
        <v>3037</v>
      </c>
      <c r="AP430" t="b">
        <v>1</v>
      </c>
      <c r="AQ430" t="s">
        <v>79</v>
      </c>
      <c r="AW430" t="s">
        <v>2756</v>
      </c>
      <c r="AX430" t="s">
        <v>2757</v>
      </c>
      <c r="AZ430" t="s">
        <v>1847</v>
      </c>
      <c r="BA430" t="b">
        <v>1</v>
      </c>
      <c r="BB430" t="s">
        <v>3038</v>
      </c>
    </row>
    <row r="431" spans="2:54" x14ac:dyDescent="0.2">
      <c r="B431" t="s">
        <v>2758</v>
      </c>
      <c r="C431" t="s">
        <v>2759</v>
      </c>
      <c r="E431">
        <v>5713</v>
      </c>
      <c r="H431" t="s">
        <v>60</v>
      </c>
      <c r="I431" t="s">
        <v>366</v>
      </c>
      <c r="J431" t="s">
        <v>366</v>
      </c>
      <c r="L431" t="s">
        <v>2276</v>
      </c>
      <c r="M431" t="s">
        <v>2160</v>
      </c>
      <c r="N431" s="1">
        <v>41911</v>
      </c>
      <c r="S431" t="s">
        <v>1699</v>
      </c>
      <c r="T431" s="1"/>
      <c r="U431" t="s">
        <v>1699</v>
      </c>
      <c r="V431" t="s">
        <v>2760</v>
      </c>
      <c r="W431" t="s">
        <v>2761</v>
      </c>
      <c r="AC431">
        <v>2018</v>
      </c>
      <c r="AD431" s="1"/>
      <c r="AE431" t="s">
        <v>2762</v>
      </c>
      <c r="AG431" t="s">
        <v>2763</v>
      </c>
      <c r="AH431" t="s">
        <v>83</v>
      </c>
      <c r="AI431" t="s">
        <v>77</v>
      </c>
      <c r="AK431">
        <v>960</v>
      </c>
      <c r="AN431" t="s">
        <v>2764</v>
      </c>
      <c r="AP431" t="b">
        <v>0</v>
      </c>
      <c r="AQ431" t="s">
        <v>79</v>
      </c>
      <c r="AV431" t="s">
        <v>2765</v>
      </c>
      <c r="AW431" t="s">
        <v>2766</v>
      </c>
      <c r="AX431" t="s">
        <v>2733</v>
      </c>
      <c r="AY431" t="s">
        <v>2121</v>
      </c>
      <c r="AZ431" t="s">
        <v>2767</v>
      </c>
      <c r="BA431" t="b">
        <v>0</v>
      </c>
      <c r="BB431" t="s">
        <v>2768</v>
      </c>
    </row>
    <row r="432" spans="2:54" x14ac:dyDescent="0.2">
      <c r="B432" t="s">
        <v>2769</v>
      </c>
      <c r="C432" t="s">
        <v>2770</v>
      </c>
      <c r="E432">
        <v>1971</v>
      </c>
      <c r="F432" t="s">
        <v>3039</v>
      </c>
      <c r="H432" t="s">
        <v>60</v>
      </c>
      <c r="I432" t="s">
        <v>366</v>
      </c>
      <c r="J432" t="s">
        <v>366</v>
      </c>
      <c r="L432" t="s">
        <v>1968</v>
      </c>
      <c r="N432" s="1">
        <v>42251</v>
      </c>
      <c r="S432" t="s">
        <v>367</v>
      </c>
      <c r="T432" s="1"/>
      <c r="U432" t="s">
        <v>3758</v>
      </c>
      <c r="V432" t="s">
        <v>3759</v>
      </c>
      <c r="W432" t="s">
        <v>3760</v>
      </c>
      <c r="AC432">
        <v>2017</v>
      </c>
      <c r="AD432" s="1"/>
      <c r="AE432" t="s">
        <v>3761</v>
      </c>
      <c r="AF432" t="s">
        <v>82</v>
      </c>
      <c r="AG432" t="s">
        <v>3040</v>
      </c>
      <c r="AH432" t="s">
        <v>83</v>
      </c>
      <c r="AI432" t="s">
        <v>77</v>
      </c>
      <c r="AK432">
        <v>360</v>
      </c>
      <c r="AN432" t="s">
        <v>3762</v>
      </c>
      <c r="AO432" t="s">
        <v>3041</v>
      </c>
      <c r="AP432" t="b">
        <v>1</v>
      </c>
      <c r="AQ432" t="s">
        <v>79</v>
      </c>
      <c r="AV432" t="s">
        <v>3763</v>
      </c>
      <c r="BA432" t="b">
        <v>0</v>
      </c>
      <c r="BB432" t="s">
        <v>3764</v>
      </c>
    </row>
    <row r="433" spans="2:54" x14ac:dyDescent="0.2">
      <c r="B433" t="s">
        <v>2771</v>
      </c>
      <c r="C433" t="s">
        <v>3765</v>
      </c>
      <c r="E433">
        <v>2322</v>
      </c>
      <c r="H433" t="s">
        <v>60</v>
      </c>
      <c r="I433" t="s">
        <v>1505</v>
      </c>
      <c r="J433" t="s">
        <v>1505</v>
      </c>
      <c r="L433" t="s">
        <v>1968</v>
      </c>
      <c r="N433" s="1"/>
      <c r="S433" t="s">
        <v>62</v>
      </c>
      <c r="T433" s="1"/>
      <c r="AD433" s="1"/>
      <c r="AE433" t="s">
        <v>3766</v>
      </c>
      <c r="AG433" t="s">
        <v>3767</v>
      </c>
      <c r="AH433" t="s">
        <v>83</v>
      </c>
      <c r="AI433" t="s">
        <v>77</v>
      </c>
      <c r="AK433">
        <v>360</v>
      </c>
      <c r="AN433" t="s">
        <v>3768</v>
      </c>
      <c r="AP433" t="b">
        <v>0</v>
      </c>
      <c r="AQ433" t="s">
        <v>79</v>
      </c>
      <c r="BA433" t="b">
        <v>0</v>
      </c>
      <c r="BB433" t="s">
        <v>3769</v>
      </c>
    </row>
    <row r="434" spans="2:54" x14ac:dyDescent="0.2">
      <c r="B434" t="s">
        <v>2773</v>
      </c>
      <c r="C434" t="s">
        <v>2774</v>
      </c>
      <c r="E434">
        <v>6228</v>
      </c>
      <c r="H434" t="s">
        <v>60</v>
      </c>
      <c r="I434" t="s">
        <v>1505</v>
      </c>
      <c r="J434" t="s">
        <v>59</v>
      </c>
      <c r="L434" t="s">
        <v>2276</v>
      </c>
      <c r="N434" s="1">
        <v>41932</v>
      </c>
      <c r="S434" t="s">
        <v>1737</v>
      </c>
      <c r="T434" s="1"/>
      <c r="U434" t="s">
        <v>1737</v>
      </c>
      <c r="V434" t="s">
        <v>2775</v>
      </c>
      <c r="AC434">
        <v>2017</v>
      </c>
      <c r="AD434" s="1"/>
      <c r="AE434" t="s">
        <v>3657</v>
      </c>
      <c r="AG434" t="s">
        <v>3086</v>
      </c>
      <c r="AH434" t="s">
        <v>2426</v>
      </c>
      <c r="AJ434" t="s">
        <v>2776</v>
      </c>
      <c r="AK434">
        <v>450</v>
      </c>
      <c r="AN434" t="s">
        <v>2777</v>
      </c>
      <c r="AP434" t="b">
        <v>1</v>
      </c>
      <c r="AQ434" t="s">
        <v>79</v>
      </c>
      <c r="BA434" t="b">
        <v>0</v>
      </c>
      <c r="BB434" t="s">
        <v>2778</v>
      </c>
    </row>
    <row r="435" spans="2:54" x14ac:dyDescent="0.2">
      <c r="B435" t="s">
        <v>2779</v>
      </c>
      <c r="C435" t="s">
        <v>2780</v>
      </c>
      <c r="E435">
        <v>3774</v>
      </c>
      <c r="H435" t="s">
        <v>60</v>
      </c>
      <c r="I435" t="s">
        <v>219</v>
      </c>
      <c r="J435" t="s">
        <v>2251</v>
      </c>
      <c r="L435" t="s">
        <v>219</v>
      </c>
      <c r="N435" s="1">
        <v>42156</v>
      </c>
      <c r="S435" t="s">
        <v>62</v>
      </c>
      <c r="T435" s="1">
        <v>42265</v>
      </c>
      <c r="U435" t="s">
        <v>3042</v>
      </c>
      <c r="V435" t="s">
        <v>3043</v>
      </c>
      <c r="W435" t="s">
        <v>4315</v>
      </c>
      <c r="AD435" s="1"/>
      <c r="AE435" t="s">
        <v>2781</v>
      </c>
      <c r="AF435" t="s">
        <v>174</v>
      </c>
      <c r="AG435" t="s">
        <v>2782</v>
      </c>
      <c r="AH435" t="s">
        <v>83</v>
      </c>
      <c r="AI435" t="s">
        <v>77</v>
      </c>
      <c r="AK435">
        <v>720</v>
      </c>
      <c r="AN435" t="s">
        <v>2783</v>
      </c>
      <c r="AP435" t="b">
        <v>1</v>
      </c>
      <c r="AQ435" t="s">
        <v>79</v>
      </c>
      <c r="BA435" t="b">
        <v>0</v>
      </c>
      <c r="BB435" t="s">
        <v>2784</v>
      </c>
    </row>
    <row r="436" spans="2:54" x14ac:dyDescent="0.2">
      <c r="B436" t="s">
        <v>2804</v>
      </c>
      <c r="C436" t="s">
        <v>2805</v>
      </c>
      <c r="H436" t="s">
        <v>57</v>
      </c>
      <c r="I436" t="s">
        <v>244</v>
      </c>
      <c r="J436" t="s">
        <v>492</v>
      </c>
      <c r="K436" t="s">
        <v>2251</v>
      </c>
      <c r="L436" t="s">
        <v>491</v>
      </c>
      <c r="M436" t="s">
        <v>2160</v>
      </c>
      <c r="N436" s="1"/>
      <c r="S436" t="s">
        <v>1737</v>
      </c>
      <c r="T436" s="1"/>
      <c r="AD436" s="1"/>
      <c r="AP436" t="b">
        <v>0</v>
      </c>
      <c r="BA436" t="b">
        <v>0</v>
      </c>
    </row>
    <row r="437" spans="2:54" x14ac:dyDescent="0.2">
      <c r="B437" t="s">
        <v>2871</v>
      </c>
      <c r="C437" t="s">
        <v>2872</v>
      </c>
      <c r="E437">
        <v>6669</v>
      </c>
      <c r="H437" t="s">
        <v>60</v>
      </c>
      <c r="I437" t="s">
        <v>219</v>
      </c>
      <c r="J437" t="s">
        <v>59</v>
      </c>
      <c r="L437" t="s">
        <v>2276</v>
      </c>
      <c r="N437" s="1">
        <v>42192</v>
      </c>
      <c r="S437" t="s">
        <v>62</v>
      </c>
      <c r="T437" s="1"/>
      <c r="U437" t="s">
        <v>3044</v>
      </c>
      <c r="V437" t="s">
        <v>3045</v>
      </c>
      <c r="AC437">
        <v>2017</v>
      </c>
      <c r="AD437" s="1"/>
      <c r="AE437" t="s">
        <v>2873</v>
      </c>
      <c r="AF437" t="s">
        <v>2874</v>
      </c>
      <c r="AG437" t="s">
        <v>2875</v>
      </c>
      <c r="AH437" t="s">
        <v>2426</v>
      </c>
      <c r="AI437" t="s">
        <v>77</v>
      </c>
      <c r="AK437">
        <v>650</v>
      </c>
      <c r="AN437" t="s">
        <v>2876</v>
      </c>
      <c r="AP437" t="b">
        <v>1</v>
      </c>
      <c r="AQ437" t="s">
        <v>2061</v>
      </c>
      <c r="BA437" t="b">
        <v>0</v>
      </c>
      <c r="BB437" t="s">
        <v>3770</v>
      </c>
    </row>
    <row r="438" spans="2:54" x14ac:dyDescent="0.2">
      <c r="B438" t="s">
        <v>2785</v>
      </c>
      <c r="C438" t="s">
        <v>2786</v>
      </c>
      <c r="E438">
        <v>1826</v>
      </c>
      <c r="H438" t="s">
        <v>60</v>
      </c>
      <c r="I438" t="s">
        <v>366</v>
      </c>
      <c r="J438" t="s">
        <v>1505</v>
      </c>
      <c r="K438" t="s">
        <v>366</v>
      </c>
      <c r="L438" t="s">
        <v>2276</v>
      </c>
      <c r="M438" t="s">
        <v>1968</v>
      </c>
      <c r="N438" s="1">
        <v>42041</v>
      </c>
      <c r="S438" t="s">
        <v>1737</v>
      </c>
      <c r="T438" s="1"/>
      <c r="V438" t="s">
        <v>2787</v>
      </c>
      <c r="AC438">
        <v>2016</v>
      </c>
      <c r="AD438" s="1"/>
      <c r="AG438" t="s">
        <v>2788</v>
      </c>
      <c r="AH438" t="s">
        <v>2426</v>
      </c>
      <c r="AI438" t="s">
        <v>77</v>
      </c>
      <c r="AJ438" t="s">
        <v>2789</v>
      </c>
      <c r="AN438" t="s">
        <v>2790</v>
      </c>
      <c r="AP438" t="b">
        <v>1</v>
      </c>
      <c r="AQ438" t="s">
        <v>79</v>
      </c>
      <c r="BA438" t="b">
        <v>0</v>
      </c>
    </row>
    <row r="439" spans="2:54" x14ac:dyDescent="0.2">
      <c r="B439" t="s">
        <v>3046</v>
      </c>
      <c r="C439" t="s">
        <v>3047</v>
      </c>
      <c r="E439">
        <v>12000</v>
      </c>
      <c r="H439" t="s">
        <v>60</v>
      </c>
      <c r="I439" t="s">
        <v>244</v>
      </c>
      <c r="J439" t="s">
        <v>2251</v>
      </c>
      <c r="K439" t="s">
        <v>492</v>
      </c>
      <c r="L439" t="s">
        <v>491</v>
      </c>
      <c r="N439" s="1"/>
      <c r="S439" t="s">
        <v>1737</v>
      </c>
      <c r="T439" s="1">
        <v>42401</v>
      </c>
      <c r="U439" t="s">
        <v>3771</v>
      </c>
      <c r="V439" t="s">
        <v>3772</v>
      </c>
      <c r="AD439" s="1"/>
      <c r="AE439" t="s">
        <v>3773</v>
      </c>
      <c r="AF439" t="s">
        <v>2130</v>
      </c>
      <c r="AG439" t="s">
        <v>3774</v>
      </c>
      <c r="AH439" t="s">
        <v>3048</v>
      </c>
      <c r="AI439" t="s">
        <v>108</v>
      </c>
      <c r="AK439">
        <v>1000</v>
      </c>
      <c r="AN439" t="s">
        <v>3775</v>
      </c>
      <c r="AP439" t="b">
        <v>0</v>
      </c>
      <c r="AQ439" t="s">
        <v>79</v>
      </c>
      <c r="AW439" t="s">
        <v>3776</v>
      </c>
      <c r="AX439" t="s">
        <v>3777</v>
      </c>
      <c r="AY439" t="s">
        <v>2121</v>
      </c>
      <c r="BA439" t="b">
        <v>0</v>
      </c>
    </row>
    <row r="440" spans="2:54" x14ac:dyDescent="0.2">
      <c r="B440" t="s">
        <v>2791</v>
      </c>
      <c r="C440" t="s">
        <v>2792</v>
      </c>
      <c r="E440">
        <v>4091</v>
      </c>
      <c r="F440" t="s">
        <v>2793</v>
      </c>
      <c r="H440" t="s">
        <v>60</v>
      </c>
      <c r="I440" t="s">
        <v>219</v>
      </c>
      <c r="J440" t="s">
        <v>366</v>
      </c>
      <c r="L440" t="s">
        <v>219</v>
      </c>
      <c r="N440" s="1">
        <v>42074</v>
      </c>
      <c r="S440" t="s">
        <v>2716</v>
      </c>
      <c r="T440" s="1">
        <v>42251</v>
      </c>
      <c r="U440" t="s">
        <v>2277</v>
      </c>
      <c r="V440" t="s">
        <v>3559</v>
      </c>
      <c r="W440" t="s">
        <v>3560</v>
      </c>
      <c r="AD440" s="1"/>
      <c r="AE440" t="s">
        <v>2794</v>
      </c>
      <c r="AF440" t="s">
        <v>74</v>
      </c>
      <c r="AG440" t="s">
        <v>2854</v>
      </c>
      <c r="AH440" t="s">
        <v>2426</v>
      </c>
      <c r="AI440" t="s">
        <v>77</v>
      </c>
      <c r="AK440">
        <v>70</v>
      </c>
      <c r="AN440" t="s">
        <v>2855</v>
      </c>
      <c r="AP440" t="b">
        <v>1</v>
      </c>
      <c r="AQ440" t="s">
        <v>79</v>
      </c>
      <c r="AV440" t="s">
        <v>2856</v>
      </c>
      <c r="AW440" t="s">
        <v>2857</v>
      </c>
      <c r="AZ440" t="s">
        <v>2858</v>
      </c>
      <c r="BA440" t="b">
        <v>1</v>
      </c>
      <c r="BB440" t="s">
        <v>2795</v>
      </c>
    </row>
    <row r="441" spans="2:54" x14ac:dyDescent="0.2">
      <c r="B441" t="s">
        <v>2796</v>
      </c>
      <c r="C441" t="s">
        <v>2859</v>
      </c>
      <c r="E441">
        <v>3982</v>
      </c>
      <c r="H441" t="s">
        <v>57</v>
      </c>
      <c r="I441" t="s">
        <v>1968</v>
      </c>
      <c r="J441" t="s">
        <v>1505</v>
      </c>
      <c r="K441" t="s">
        <v>59</v>
      </c>
      <c r="L441" t="s">
        <v>2865</v>
      </c>
      <c r="M441" t="s">
        <v>2160</v>
      </c>
      <c r="N441" s="1"/>
      <c r="S441" t="s">
        <v>1699</v>
      </c>
      <c r="T441" s="1"/>
      <c r="V441" t="s">
        <v>4316</v>
      </c>
      <c r="AD441" s="1"/>
      <c r="AE441" t="s">
        <v>3778</v>
      </c>
      <c r="AG441" t="s">
        <v>3779</v>
      </c>
      <c r="AH441" t="s">
        <v>83</v>
      </c>
      <c r="AI441" t="s">
        <v>77</v>
      </c>
      <c r="AK441">
        <v>720</v>
      </c>
      <c r="AN441" t="s">
        <v>2342</v>
      </c>
      <c r="AP441" t="b">
        <v>0</v>
      </c>
      <c r="AQ441" t="s">
        <v>79</v>
      </c>
      <c r="AV441" t="s">
        <v>3780</v>
      </c>
      <c r="BA441" t="b">
        <v>0</v>
      </c>
      <c r="BB441" t="s">
        <v>4317</v>
      </c>
    </row>
    <row r="442" spans="2:54" x14ac:dyDescent="0.2">
      <c r="B442" t="s">
        <v>2797</v>
      </c>
      <c r="C442" t="s">
        <v>2798</v>
      </c>
      <c r="E442">
        <v>3346</v>
      </c>
      <c r="F442" t="s">
        <v>2799</v>
      </c>
      <c r="H442" t="s">
        <v>60</v>
      </c>
      <c r="I442" t="s">
        <v>2276</v>
      </c>
      <c r="J442" t="s">
        <v>2251</v>
      </c>
      <c r="L442" t="s">
        <v>2276</v>
      </c>
      <c r="N442" s="1">
        <v>42129</v>
      </c>
      <c r="S442" t="s">
        <v>1737</v>
      </c>
      <c r="T442" s="1"/>
      <c r="V442" t="s">
        <v>3664</v>
      </c>
      <c r="AC442">
        <v>0</v>
      </c>
      <c r="AD442" s="1"/>
      <c r="AE442" t="s">
        <v>2740</v>
      </c>
      <c r="AF442" t="s">
        <v>82</v>
      </c>
      <c r="AG442" t="s">
        <v>2800</v>
      </c>
      <c r="AH442" t="s">
        <v>2426</v>
      </c>
      <c r="AI442" t="s">
        <v>108</v>
      </c>
      <c r="AK442">
        <v>1000</v>
      </c>
      <c r="AN442" t="s">
        <v>2801</v>
      </c>
      <c r="AO442" t="s">
        <v>1737</v>
      </c>
      <c r="AP442" t="b">
        <v>1</v>
      </c>
      <c r="AQ442" t="s">
        <v>79</v>
      </c>
      <c r="AW442" t="s">
        <v>2802</v>
      </c>
      <c r="AZ442" t="s">
        <v>70</v>
      </c>
      <c r="BA442" t="b">
        <v>1</v>
      </c>
      <c r="BB442" t="s">
        <v>2803</v>
      </c>
    </row>
    <row r="443" spans="2:54" x14ac:dyDescent="0.2">
      <c r="B443" t="s">
        <v>2862</v>
      </c>
      <c r="C443" t="s">
        <v>2863</v>
      </c>
      <c r="E443">
        <v>500</v>
      </c>
      <c r="F443" t="s">
        <v>2864</v>
      </c>
      <c r="H443" t="s">
        <v>57</v>
      </c>
      <c r="I443" t="s">
        <v>1505</v>
      </c>
      <c r="J443" t="s">
        <v>1505</v>
      </c>
      <c r="L443" t="s">
        <v>2865</v>
      </c>
      <c r="N443" s="1">
        <v>42192</v>
      </c>
      <c r="S443" t="s">
        <v>62</v>
      </c>
      <c r="T443" s="1">
        <v>42370</v>
      </c>
      <c r="U443" t="s">
        <v>3049</v>
      </c>
      <c r="AD443" s="1"/>
      <c r="AE443" t="s">
        <v>2866</v>
      </c>
      <c r="AF443" t="s">
        <v>174</v>
      </c>
      <c r="AG443" t="s">
        <v>2867</v>
      </c>
      <c r="AH443" t="s">
        <v>3781</v>
      </c>
      <c r="AI443" t="s">
        <v>77</v>
      </c>
      <c r="AK443">
        <v>500</v>
      </c>
      <c r="AN443" t="s">
        <v>2868</v>
      </c>
      <c r="AO443" t="s">
        <v>2869</v>
      </c>
      <c r="AP443" t="b">
        <v>1</v>
      </c>
      <c r="AQ443" t="s">
        <v>79</v>
      </c>
      <c r="AW443" t="s">
        <v>2870</v>
      </c>
      <c r="BA443" t="b">
        <v>1</v>
      </c>
    </row>
    <row r="444" spans="2:54" x14ac:dyDescent="0.2">
      <c r="B444" t="s">
        <v>2860</v>
      </c>
      <c r="C444" t="s">
        <v>2861</v>
      </c>
      <c r="H444" t="s">
        <v>60</v>
      </c>
      <c r="I444" t="s">
        <v>1968</v>
      </c>
      <c r="J444" t="s">
        <v>1505</v>
      </c>
      <c r="L444" t="s">
        <v>1968</v>
      </c>
      <c r="N444" s="1">
        <v>42184</v>
      </c>
      <c r="S444" t="s">
        <v>62</v>
      </c>
      <c r="T444" s="1"/>
      <c r="AD444" s="1"/>
      <c r="AE444" t="s">
        <v>3782</v>
      </c>
      <c r="AG444" t="s">
        <v>3783</v>
      </c>
      <c r="AH444" t="s">
        <v>83</v>
      </c>
      <c r="AI444" t="s">
        <v>77</v>
      </c>
      <c r="AK444">
        <v>1000</v>
      </c>
      <c r="AN444" t="s">
        <v>3784</v>
      </c>
      <c r="AP444" t="b">
        <v>0</v>
      </c>
      <c r="AV444" t="s">
        <v>3785</v>
      </c>
      <c r="BA444" t="b">
        <v>0</v>
      </c>
    </row>
    <row r="445" spans="2:54" x14ac:dyDescent="0.2">
      <c r="B445" t="s">
        <v>2877</v>
      </c>
      <c r="C445" t="s">
        <v>3050</v>
      </c>
      <c r="E445">
        <v>1700</v>
      </c>
      <c r="H445" t="s">
        <v>60</v>
      </c>
      <c r="I445" t="s">
        <v>60</v>
      </c>
      <c r="L445" t="s">
        <v>2160</v>
      </c>
      <c r="N445" s="1">
        <v>42207</v>
      </c>
      <c r="S445" t="s">
        <v>125</v>
      </c>
      <c r="T445" s="1"/>
      <c r="AC445">
        <v>0</v>
      </c>
      <c r="AD445" s="1"/>
      <c r="AH445" t="s">
        <v>83</v>
      </c>
      <c r="AI445" t="s">
        <v>108</v>
      </c>
      <c r="AK445">
        <v>0</v>
      </c>
      <c r="AN445" t="s">
        <v>2342</v>
      </c>
      <c r="AP445" t="b">
        <v>0</v>
      </c>
      <c r="BA445" t="b">
        <v>0</v>
      </c>
    </row>
    <row r="446" spans="2:54" x14ac:dyDescent="0.2">
      <c r="B446" t="s">
        <v>3051</v>
      </c>
      <c r="C446" t="s">
        <v>3052</v>
      </c>
      <c r="E446">
        <v>13935</v>
      </c>
      <c r="H446" t="s">
        <v>60</v>
      </c>
      <c r="I446" t="s">
        <v>60</v>
      </c>
      <c r="L446" t="s">
        <v>60</v>
      </c>
      <c r="N446" s="1">
        <v>42275</v>
      </c>
      <c r="S446" t="s">
        <v>125</v>
      </c>
      <c r="T446" s="1"/>
      <c r="AD446" s="1"/>
      <c r="AG446" t="s">
        <v>3053</v>
      </c>
      <c r="AH446" t="s">
        <v>1455</v>
      </c>
      <c r="AI446" t="s">
        <v>77</v>
      </c>
      <c r="AN446" t="s">
        <v>2342</v>
      </c>
      <c r="AP446" t="b">
        <v>0</v>
      </c>
      <c r="BA446" t="b">
        <v>0</v>
      </c>
    </row>
    <row r="447" spans="2:54" x14ac:dyDescent="0.2">
      <c r="B447" t="s">
        <v>3054</v>
      </c>
      <c r="C447" t="s">
        <v>3055</v>
      </c>
      <c r="E447">
        <v>840</v>
      </c>
      <c r="F447" t="s">
        <v>3056</v>
      </c>
      <c r="H447" t="s">
        <v>60</v>
      </c>
      <c r="I447" t="s">
        <v>366</v>
      </c>
      <c r="J447" t="s">
        <v>366</v>
      </c>
      <c r="L447" t="s">
        <v>2276</v>
      </c>
      <c r="N447" s="1">
        <v>42284</v>
      </c>
      <c r="S447" t="s">
        <v>1699</v>
      </c>
      <c r="T447" s="1"/>
      <c r="V447" t="s">
        <v>3665</v>
      </c>
      <c r="AD447" s="1"/>
      <c r="AE447" t="s">
        <v>3477</v>
      </c>
      <c r="AF447" t="s">
        <v>3477</v>
      </c>
      <c r="AG447" t="s">
        <v>3265</v>
      </c>
      <c r="AH447" t="s">
        <v>184</v>
      </c>
      <c r="AI447" t="s">
        <v>77</v>
      </c>
      <c r="AK447">
        <v>4</v>
      </c>
      <c r="AN447" t="s">
        <v>3266</v>
      </c>
      <c r="AP447" t="b">
        <v>1</v>
      </c>
      <c r="AQ447" t="s">
        <v>79</v>
      </c>
      <c r="BA447" t="b">
        <v>0</v>
      </c>
    </row>
    <row r="448" spans="2:54" x14ac:dyDescent="0.2">
      <c r="B448" t="s">
        <v>3081</v>
      </c>
      <c r="C448" t="s">
        <v>3082</v>
      </c>
      <c r="H448" t="s">
        <v>57</v>
      </c>
      <c r="I448" t="s">
        <v>244</v>
      </c>
      <c r="N448" s="1"/>
      <c r="S448" t="s">
        <v>2716</v>
      </c>
      <c r="T448" s="1"/>
      <c r="V448" t="s">
        <v>3083</v>
      </c>
      <c r="AD448" s="1"/>
      <c r="AG448" t="s">
        <v>3084</v>
      </c>
      <c r="AH448" t="s">
        <v>102</v>
      </c>
      <c r="AI448" t="s">
        <v>77</v>
      </c>
      <c r="AN448" t="s">
        <v>2342</v>
      </c>
      <c r="AP448" t="b">
        <v>0</v>
      </c>
      <c r="AQ448" t="s">
        <v>3786</v>
      </c>
      <c r="BA448" t="b">
        <v>0</v>
      </c>
      <c r="BB448" t="s">
        <v>2417</v>
      </c>
    </row>
    <row r="449" spans="2:54" x14ac:dyDescent="0.2">
      <c r="B449" t="s">
        <v>3457</v>
      </c>
      <c r="C449" t="s">
        <v>3458</v>
      </c>
      <c r="H449" t="s">
        <v>60</v>
      </c>
      <c r="I449" t="s">
        <v>492</v>
      </c>
      <c r="J449" t="s">
        <v>492</v>
      </c>
      <c r="L449" t="s">
        <v>219</v>
      </c>
      <c r="M449" t="s">
        <v>1968</v>
      </c>
      <c r="N449" s="1"/>
      <c r="T449" s="1"/>
      <c r="AD449" s="1"/>
      <c r="AP449" t="b">
        <v>0</v>
      </c>
      <c r="BA449" t="b">
        <v>0</v>
      </c>
    </row>
    <row r="450" spans="2:54" x14ac:dyDescent="0.2">
      <c r="B450" t="s">
        <v>4359</v>
      </c>
      <c r="C450" t="s">
        <v>4360</v>
      </c>
      <c r="E450">
        <v>26000</v>
      </c>
      <c r="F450" t="s">
        <v>4361</v>
      </c>
      <c r="H450" t="s">
        <v>57</v>
      </c>
      <c r="I450" t="s">
        <v>1968</v>
      </c>
      <c r="J450" t="s">
        <v>492</v>
      </c>
      <c r="L450" t="s">
        <v>1968</v>
      </c>
      <c r="N450" s="1"/>
      <c r="S450" t="s">
        <v>62</v>
      </c>
      <c r="T450" s="1"/>
      <c r="U450" t="s">
        <v>4362</v>
      </c>
      <c r="V450" t="s">
        <v>4363</v>
      </c>
      <c r="AC450">
        <v>0</v>
      </c>
      <c r="AD450" s="1"/>
      <c r="AE450" t="s">
        <v>4364</v>
      </c>
      <c r="AF450" t="s">
        <v>293</v>
      </c>
      <c r="AG450" t="s">
        <v>4365</v>
      </c>
      <c r="AH450" t="s">
        <v>102</v>
      </c>
      <c r="AI450" t="s">
        <v>77</v>
      </c>
      <c r="AK450">
        <v>2600</v>
      </c>
      <c r="AN450" t="s">
        <v>4366</v>
      </c>
      <c r="AP450" t="b">
        <v>0</v>
      </c>
      <c r="BA450" t="b">
        <v>0</v>
      </c>
    </row>
    <row r="451" spans="2:54" x14ac:dyDescent="0.2">
      <c r="B451" t="s">
        <v>3787</v>
      </c>
      <c r="C451" t="s">
        <v>3788</v>
      </c>
      <c r="E451">
        <v>0</v>
      </c>
      <c r="H451" t="s">
        <v>60</v>
      </c>
      <c r="I451" t="s">
        <v>244</v>
      </c>
      <c r="J451" t="s">
        <v>1505</v>
      </c>
      <c r="L451" t="s">
        <v>244</v>
      </c>
      <c r="N451" s="1">
        <v>42381</v>
      </c>
      <c r="S451" t="s">
        <v>62</v>
      </c>
      <c r="T451" s="1"/>
      <c r="V451" t="s">
        <v>4357</v>
      </c>
      <c r="AD451" s="1"/>
      <c r="AF451" t="s">
        <v>3789</v>
      </c>
      <c r="AG451" t="s">
        <v>4358</v>
      </c>
      <c r="AH451" t="s">
        <v>2426</v>
      </c>
      <c r="AI451" t="s">
        <v>77</v>
      </c>
      <c r="AK451">
        <v>650</v>
      </c>
      <c r="AN451" t="s">
        <v>3790</v>
      </c>
      <c r="AP451" t="b">
        <v>1</v>
      </c>
      <c r="AQ451" t="s">
        <v>79</v>
      </c>
      <c r="BA451" t="b">
        <v>0</v>
      </c>
      <c r="BB451" t="s">
        <v>3791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5"/>
  <sheetViews>
    <sheetView showGridLines="0" workbookViewId="0">
      <selection activeCell="B2" sqref="B2"/>
    </sheetView>
  </sheetViews>
  <sheetFormatPr defaultRowHeight="12.75" x14ac:dyDescent="0.2"/>
  <cols>
    <col min="1" max="1" width="31.42578125" customWidth="1"/>
    <col min="2" max="2" width="23" bestFit="1" customWidth="1"/>
    <col min="3" max="3" width="24.42578125" customWidth="1"/>
    <col min="4" max="4" width="33.5703125" customWidth="1"/>
  </cols>
  <sheetData>
    <row r="1" spans="1:3" x14ac:dyDescent="0.2">
      <c r="A1" s="32" t="s">
        <v>2813</v>
      </c>
      <c r="B1" s="32" t="s">
        <v>2829</v>
      </c>
      <c r="C1" s="32" t="s">
        <v>2903</v>
      </c>
    </row>
    <row r="2" spans="1:3" x14ac:dyDescent="0.2">
      <c r="A2" s="5" t="s">
        <v>2807</v>
      </c>
      <c r="B2" s="18" t="s">
        <v>2879</v>
      </c>
      <c r="C2" s="5" t="s">
        <v>2889</v>
      </c>
    </row>
    <row r="3" spans="1:3" x14ac:dyDescent="0.2">
      <c r="A3" s="5" t="s">
        <v>62</v>
      </c>
      <c r="C3" s="5" t="s">
        <v>2887</v>
      </c>
    </row>
    <row r="4" spans="1:3" x14ac:dyDescent="0.2">
      <c r="A4" s="5" t="s">
        <v>2832</v>
      </c>
      <c r="C4" s="5" t="s">
        <v>2885</v>
      </c>
    </row>
    <row r="5" spans="1:3" x14ac:dyDescent="0.2">
      <c r="A5" s="5" t="s">
        <v>2833</v>
      </c>
      <c r="C5" s="5" t="s">
        <v>2883</v>
      </c>
    </row>
    <row r="6" spans="1:3" x14ac:dyDescent="0.2">
      <c r="A6" s="5" t="s">
        <v>2812</v>
      </c>
      <c r="C6" s="5" t="s">
        <v>2881</v>
      </c>
    </row>
    <row r="7" spans="1:3" x14ac:dyDescent="0.2">
      <c r="A7" s="5" t="s">
        <v>1699</v>
      </c>
      <c r="C7" s="5" t="s">
        <v>2904</v>
      </c>
    </row>
    <row r="8" spans="1:3" x14ac:dyDescent="0.2">
      <c r="A8" s="5" t="s">
        <v>1737</v>
      </c>
      <c r="C8" s="5" t="s">
        <v>3061</v>
      </c>
    </row>
    <row r="9" spans="1:3" x14ac:dyDescent="0.2">
      <c r="A9" s="5" t="s">
        <v>2716</v>
      </c>
      <c r="C9" s="5" t="s">
        <v>3221</v>
      </c>
    </row>
    <row r="10" spans="1:3" x14ac:dyDescent="0.2">
      <c r="A10" s="5" t="s">
        <v>367</v>
      </c>
      <c r="C10" s="5"/>
    </row>
    <row r="11" spans="1:3" x14ac:dyDescent="0.2">
      <c r="A11" s="5" t="s">
        <v>2878</v>
      </c>
      <c r="C11" s="5"/>
    </row>
    <row r="12" spans="1:3" x14ac:dyDescent="0.2">
      <c r="A12" s="5" t="s">
        <v>2026</v>
      </c>
      <c r="C12" s="5"/>
    </row>
    <row r="13" spans="1:3" x14ac:dyDescent="0.2">
      <c r="A13" s="5" t="s">
        <v>1898</v>
      </c>
      <c r="C13" s="5"/>
    </row>
    <row r="14" spans="1:3" x14ac:dyDescent="0.2">
      <c r="A14" s="5" t="s">
        <v>2815</v>
      </c>
      <c r="C14" s="5"/>
    </row>
    <row r="15" spans="1:3" x14ac:dyDescent="0.2">
      <c r="A15" s="5"/>
      <c r="C15" s="5"/>
    </row>
    <row r="16" spans="1:3" x14ac:dyDescent="0.2">
      <c r="A16" s="5"/>
      <c r="C16" s="5"/>
    </row>
    <row r="17" spans="1:4" x14ac:dyDescent="0.2">
      <c r="A17" s="5"/>
      <c r="C17" s="5"/>
    </row>
    <row r="18" spans="1:4" x14ac:dyDescent="0.2">
      <c r="A18" s="5"/>
      <c r="C18" s="5"/>
    </row>
    <row r="19" spans="1:4" x14ac:dyDescent="0.2">
      <c r="A19" s="5"/>
      <c r="C19" s="5"/>
    </row>
    <row r="20" spans="1:4" x14ac:dyDescent="0.2">
      <c r="A20" s="5"/>
      <c r="C20" s="5"/>
    </row>
    <row r="21" spans="1:4" x14ac:dyDescent="0.2">
      <c r="A21" s="5"/>
      <c r="C21" s="5"/>
    </row>
    <row r="31" spans="1:4" x14ac:dyDescent="0.2">
      <c r="A31" s="2"/>
    </row>
    <row r="32" spans="1:4" x14ac:dyDescent="0.2">
      <c r="A32" s="32" t="s">
        <v>2834</v>
      </c>
      <c r="B32" s="2"/>
      <c r="C32" s="2"/>
      <c r="D32" s="2"/>
    </row>
    <row r="33" spans="1:3" x14ac:dyDescent="0.2">
      <c r="A33" s="5" t="s">
        <v>1501</v>
      </c>
    </row>
    <row r="34" spans="1:3" x14ac:dyDescent="0.2">
      <c r="A34" s="5" t="s">
        <v>71</v>
      </c>
    </row>
    <row r="35" spans="1:3" x14ac:dyDescent="0.2">
      <c r="A35" s="5" t="s">
        <v>125</v>
      </c>
    </row>
    <row r="36" spans="1:3" x14ac:dyDescent="0.2">
      <c r="A36" s="5" t="s">
        <v>2814</v>
      </c>
    </row>
    <row r="37" spans="1:3" x14ac:dyDescent="0.2">
      <c r="A37" s="5" t="s">
        <v>2835</v>
      </c>
    </row>
    <row r="38" spans="1:3" x14ac:dyDescent="0.2">
      <c r="A38" s="5" t="s">
        <v>1623</v>
      </c>
    </row>
    <row r="39" spans="1:3" x14ac:dyDescent="0.2">
      <c r="A39" s="5" t="s">
        <v>962</v>
      </c>
    </row>
    <row r="40" spans="1:3" x14ac:dyDescent="0.2">
      <c r="A40" s="5" t="s">
        <v>1920</v>
      </c>
    </row>
    <row r="41" spans="1:3" x14ac:dyDescent="0.2">
      <c r="A41" s="5"/>
    </row>
    <row r="42" spans="1:3" x14ac:dyDescent="0.2">
      <c r="A42" s="5"/>
    </row>
    <row r="43" spans="1:3" x14ac:dyDescent="0.2">
      <c r="A43" s="5"/>
    </row>
    <row r="44" spans="1:3" x14ac:dyDescent="0.2">
      <c r="A44" s="5"/>
    </row>
    <row r="45" spans="1:3" x14ac:dyDescent="0.2">
      <c r="A45" s="2"/>
      <c r="B45" s="2"/>
      <c r="C45"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5268"/>
  <sheetViews>
    <sheetView workbookViewId="0">
      <selection activeCell="A3" sqref="A3"/>
    </sheetView>
  </sheetViews>
  <sheetFormatPr defaultRowHeight="12.75" x14ac:dyDescent="0.2"/>
  <cols>
    <col min="1" max="1" width="31.85546875" customWidth="1"/>
    <col min="2" max="2" width="30.140625" customWidth="1"/>
    <col min="3" max="3" width="54.42578125" customWidth="1"/>
    <col min="4" max="4" width="20.28515625" customWidth="1"/>
    <col min="5" max="5" width="20" style="8" customWidth="1"/>
    <col min="6" max="6" width="13.28515625" style="8" customWidth="1"/>
    <col min="7" max="7" width="11.140625" customWidth="1"/>
    <col min="8" max="8" width="25.5703125" style="6" customWidth="1"/>
  </cols>
  <sheetData>
    <row r="1" spans="1:8" x14ac:dyDescent="0.2">
      <c r="A1" s="2" t="s">
        <v>2826</v>
      </c>
      <c r="B1" s="2"/>
      <c r="C1" s="2"/>
    </row>
    <row r="2" spans="1:8" s="12" customFormat="1" ht="25.5" x14ac:dyDescent="0.2">
      <c r="A2" s="13" t="s">
        <v>2827</v>
      </c>
      <c r="B2" s="13" t="s">
        <v>2831</v>
      </c>
      <c r="C2" s="13" t="s">
        <v>2819</v>
      </c>
      <c r="D2" s="13" t="s">
        <v>2830</v>
      </c>
      <c r="E2" s="14" t="s">
        <v>2828</v>
      </c>
      <c r="F2" s="14" t="s">
        <v>2908</v>
      </c>
      <c r="G2" s="13" t="s">
        <v>2912</v>
      </c>
      <c r="H2" s="13" t="s">
        <v>4252</v>
      </c>
    </row>
    <row r="3" spans="1:8" x14ac:dyDescent="0.2">
      <c r="A3" t="s">
        <v>4435</v>
      </c>
      <c r="B3" t="s">
        <v>2884</v>
      </c>
      <c r="C3" s="6" t="s">
        <v>4436</v>
      </c>
      <c r="D3" s="6">
        <v>42384.762939814813</v>
      </c>
      <c r="E3" s="8" t="s">
        <v>2885</v>
      </c>
      <c r="F3" s="8">
        <v>6068642</v>
      </c>
      <c r="G3" t="s">
        <v>71</v>
      </c>
      <c r="H3" s="6">
        <v>42444.763819444444</v>
      </c>
    </row>
    <row r="4" spans="1:8" x14ac:dyDescent="0.2">
      <c r="A4" t="s">
        <v>4437</v>
      </c>
      <c r="B4" t="s">
        <v>2884</v>
      </c>
      <c r="C4" t="s">
        <v>4436</v>
      </c>
      <c r="D4" s="6">
        <v>42418.450497685182</v>
      </c>
      <c r="E4" s="8" t="s">
        <v>2885</v>
      </c>
      <c r="F4" s="8">
        <v>2144012</v>
      </c>
      <c r="G4" t="s">
        <v>71</v>
      </c>
      <c r="H4" s="6">
        <v>42418.450497685182</v>
      </c>
    </row>
    <row r="5" spans="1:8" x14ac:dyDescent="0.2">
      <c r="A5" t="s">
        <v>4438</v>
      </c>
      <c r="B5" t="s">
        <v>2884</v>
      </c>
      <c r="C5" t="s">
        <v>4439</v>
      </c>
      <c r="D5" s="6">
        <v>42391.55196759259</v>
      </c>
      <c r="E5" s="8" t="s">
        <v>2885</v>
      </c>
      <c r="F5" s="8">
        <v>267268</v>
      </c>
      <c r="G5" t="s">
        <v>71</v>
      </c>
      <c r="H5" s="6">
        <v>42391.55196759259</v>
      </c>
    </row>
    <row r="6" spans="1:8" x14ac:dyDescent="0.2">
      <c r="A6" t="s">
        <v>4440</v>
      </c>
      <c r="B6" t="s">
        <v>2884</v>
      </c>
      <c r="C6" t="s">
        <v>4439</v>
      </c>
      <c r="D6" s="6">
        <v>42391.551516203705</v>
      </c>
      <c r="E6" s="8" t="s">
        <v>2885</v>
      </c>
      <c r="F6" s="8">
        <v>9905357</v>
      </c>
      <c r="G6" t="s">
        <v>71</v>
      </c>
      <c r="H6" s="6">
        <v>42391.551516203705</v>
      </c>
    </row>
    <row r="7" spans="1:8" x14ac:dyDescent="0.2">
      <c r="A7" t="s">
        <v>4441</v>
      </c>
      <c r="B7" t="s">
        <v>2884</v>
      </c>
      <c r="C7" t="s">
        <v>4439</v>
      </c>
      <c r="D7" s="6">
        <v>42391.551006944443</v>
      </c>
      <c r="E7" s="8" t="s">
        <v>2885</v>
      </c>
      <c r="F7" s="8">
        <v>9864585</v>
      </c>
      <c r="G7" t="s">
        <v>71</v>
      </c>
      <c r="H7" s="6">
        <v>42391.551006944443</v>
      </c>
    </row>
    <row r="8" spans="1:8" x14ac:dyDescent="0.2">
      <c r="A8" t="s">
        <v>4442</v>
      </c>
      <c r="B8" t="s">
        <v>2884</v>
      </c>
      <c r="C8" t="s">
        <v>4439</v>
      </c>
      <c r="D8" s="6">
        <v>42468.459097222221</v>
      </c>
      <c r="E8" s="8" t="s">
        <v>2885</v>
      </c>
      <c r="F8" s="8">
        <v>6528685</v>
      </c>
      <c r="G8" t="s">
        <v>71</v>
      </c>
      <c r="H8" s="6">
        <v>42468.459085648145</v>
      </c>
    </row>
    <row r="9" spans="1:8" x14ac:dyDescent="0.2">
      <c r="A9" t="s">
        <v>4443</v>
      </c>
      <c r="B9" t="s">
        <v>2884</v>
      </c>
      <c r="C9" t="s">
        <v>4444</v>
      </c>
      <c r="D9" s="6">
        <v>42310.805555555555</v>
      </c>
      <c r="E9" s="8" t="s">
        <v>2885</v>
      </c>
      <c r="F9" s="8">
        <v>47109</v>
      </c>
      <c r="G9" t="s">
        <v>71</v>
      </c>
      <c r="H9" s="6">
        <v>42383.626377314817</v>
      </c>
    </row>
    <row r="10" spans="1:8" x14ac:dyDescent="0.2">
      <c r="A10" t="s">
        <v>4445</v>
      </c>
      <c r="B10" t="s">
        <v>2884</v>
      </c>
      <c r="C10" t="s">
        <v>4444</v>
      </c>
      <c r="D10" s="6">
        <v>42334.508993055555</v>
      </c>
      <c r="E10" s="8" t="s">
        <v>2885</v>
      </c>
      <c r="F10" s="8">
        <v>3894817</v>
      </c>
      <c r="G10" t="s">
        <v>71</v>
      </c>
      <c r="H10" s="6">
        <v>42383.626793981479</v>
      </c>
    </row>
    <row r="11" spans="1:8" x14ac:dyDescent="0.2">
      <c r="A11" t="s">
        <v>4446</v>
      </c>
      <c r="B11" t="s">
        <v>2884</v>
      </c>
      <c r="C11" t="s">
        <v>4444</v>
      </c>
      <c r="D11" s="6">
        <v>42310.804884259262</v>
      </c>
      <c r="E11" s="8" t="s">
        <v>2885</v>
      </c>
      <c r="F11" s="8">
        <v>213927</v>
      </c>
      <c r="G11" t="s">
        <v>71</v>
      </c>
      <c r="H11" s="6">
        <v>42383.625925925924</v>
      </c>
    </row>
    <row r="12" spans="1:8" x14ac:dyDescent="0.2">
      <c r="A12" t="s">
        <v>4447</v>
      </c>
      <c r="B12" t="s">
        <v>2884</v>
      </c>
      <c r="C12" t="s">
        <v>4444</v>
      </c>
      <c r="D12" s="6">
        <v>42310.82539351852</v>
      </c>
      <c r="E12" s="8" t="s">
        <v>2885</v>
      </c>
      <c r="F12" s="8">
        <v>1685045</v>
      </c>
      <c r="G12" t="s">
        <v>71</v>
      </c>
      <c r="H12" s="6">
        <v>42383.626203703701</v>
      </c>
    </row>
    <row r="13" spans="1:8" x14ac:dyDescent="0.2">
      <c r="A13" t="s">
        <v>4448</v>
      </c>
      <c r="B13" t="s">
        <v>2884</v>
      </c>
      <c r="C13" t="s">
        <v>4444</v>
      </c>
      <c r="D13" s="6">
        <v>42390.530289351853</v>
      </c>
      <c r="E13" s="8" t="s">
        <v>2885</v>
      </c>
      <c r="F13" s="8">
        <v>888491</v>
      </c>
      <c r="G13" t="s">
        <v>71</v>
      </c>
      <c r="H13" s="6">
        <v>42390.530289351853</v>
      </c>
    </row>
    <row r="14" spans="1:8" x14ac:dyDescent="0.2">
      <c r="A14" t="s">
        <v>4449</v>
      </c>
      <c r="B14" t="s">
        <v>2884</v>
      </c>
      <c r="C14" t="s">
        <v>4444</v>
      </c>
      <c r="D14" s="6">
        <v>42390.530289351853</v>
      </c>
      <c r="E14" s="8" t="s">
        <v>2885</v>
      </c>
      <c r="F14" s="8">
        <v>70962</v>
      </c>
      <c r="G14" t="s">
        <v>71</v>
      </c>
      <c r="H14" s="6">
        <v>42390.530289351853</v>
      </c>
    </row>
    <row r="15" spans="1:8" x14ac:dyDescent="0.2">
      <c r="A15" t="s">
        <v>4443</v>
      </c>
      <c r="B15" t="s">
        <v>2884</v>
      </c>
      <c r="C15" t="s">
        <v>4450</v>
      </c>
      <c r="D15" s="6">
        <v>42310.823449074072</v>
      </c>
      <c r="E15" s="8" t="s">
        <v>2885</v>
      </c>
      <c r="F15" s="8">
        <v>47098</v>
      </c>
      <c r="G15" t="s">
        <v>71</v>
      </c>
      <c r="H15" s="6">
        <v>42383.626979166664</v>
      </c>
    </row>
    <row r="16" spans="1:8" x14ac:dyDescent="0.2">
      <c r="A16" t="s">
        <v>4451</v>
      </c>
      <c r="B16" t="s">
        <v>2884</v>
      </c>
      <c r="C16" t="s">
        <v>4450</v>
      </c>
      <c r="D16" s="6">
        <v>42334.509502314817</v>
      </c>
      <c r="E16" s="8" t="s">
        <v>2885</v>
      </c>
      <c r="F16" s="8">
        <v>3708206</v>
      </c>
      <c r="G16" t="s">
        <v>71</v>
      </c>
      <c r="H16" s="6">
        <v>42383.625127314815</v>
      </c>
    </row>
    <row r="17" spans="1:8" x14ac:dyDescent="0.2">
      <c r="A17" t="s">
        <v>4446</v>
      </c>
      <c r="B17" t="s">
        <v>2884</v>
      </c>
      <c r="C17" t="s">
        <v>4450</v>
      </c>
      <c r="D17" s="6">
        <v>42310.804884259262</v>
      </c>
      <c r="E17" s="8" t="s">
        <v>2885</v>
      </c>
      <c r="F17" s="8">
        <v>213927</v>
      </c>
      <c r="G17" t="s">
        <v>71</v>
      </c>
      <c r="H17" s="6">
        <v>42383.62704861111</v>
      </c>
    </row>
    <row r="18" spans="1:8" x14ac:dyDescent="0.2">
      <c r="A18" t="s">
        <v>4452</v>
      </c>
      <c r="B18" t="s">
        <v>2884</v>
      </c>
      <c r="C18" t="s">
        <v>4450</v>
      </c>
      <c r="D18" s="6">
        <v>42310.823587962965</v>
      </c>
      <c r="E18" s="8" t="s">
        <v>2885</v>
      </c>
      <c r="F18" s="8">
        <v>1311504</v>
      </c>
      <c r="G18" t="s">
        <v>71</v>
      </c>
      <c r="H18" s="6">
        <v>42383.6250462963</v>
      </c>
    </row>
    <row r="19" spans="1:8" x14ac:dyDescent="0.2">
      <c r="A19" t="s">
        <v>4453</v>
      </c>
      <c r="B19" t="s">
        <v>2884</v>
      </c>
      <c r="C19" t="s">
        <v>4450</v>
      </c>
      <c r="D19" s="6">
        <v>42390.530289351853</v>
      </c>
      <c r="E19" s="8" t="s">
        <v>2885</v>
      </c>
      <c r="F19" s="8">
        <v>902339</v>
      </c>
      <c r="G19" t="s">
        <v>71</v>
      </c>
      <c r="H19" s="6">
        <v>42390.530289351853</v>
      </c>
    </row>
    <row r="20" spans="1:8" x14ac:dyDescent="0.2">
      <c r="A20" t="s">
        <v>4454</v>
      </c>
      <c r="B20" t="s">
        <v>2884</v>
      </c>
      <c r="C20" t="s">
        <v>4450</v>
      </c>
      <c r="D20" s="6">
        <v>42390.530289351853</v>
      </c>
      <c r="E20" s="8" t="s">
        <v>2885</v>
      </c>
      <c r="F20" s="8">
        <v>71072</v>
      </c>
      <c r="G20" t="s">
        <v>71</v>
      </c>
      <c r="H20" s="6">
        <v>42390.530289351853</v>
      </c>
    </row>
    <row r="21" spans="1:8" x14ac:dyDescent="0.2">
      <c r="A21" t="s">
        <v>4455</v>
      </c>
      <c r="B21" t="s">
        <v>2886</v>
      </c>
      <c r="C21" t="s">
        <v>4456</v>
      </c>
      <c r="D21" s="6">
        <v>42398.631053240744</v>
      </c>
      <c r="E21" s="8" t="s">
        <v>2887</v>
      </c>
      <c r="F21" s="8">
        <v>11334</v>
      </c>
      <c r="G21" t="s">
        <v>71</v>
      </c>
      <c r="H21" s="6">
        <v>42398.630879629629</v>
      </c>
    </row>
    <row r="22" spans="1:8" x14ac:dyDescent="0.2">
      <c r="A22" t="s">
        <v>4318</v>
      </c>
      <c r="B22" t="s">
        <v>2882</v>
      </c>
      <c r="C22" t="s">
        <v>4457</v>
      </c>
      <c r="D22" s="6">
        <v>42468.495312500003</v>
      </c>
      <c r="E22" s="8" t="s">
        <v>2883</v>
      </c>
      <c r="F22" s="8">
        <v>273408</v>
      </c>
      <c r="G22" t="s">
        <v>71</v>
      </c>
      <c r="H22" s="6">
        <v>42466.377291666664</v>
      </c>
    </row>
    <row r="23" spans="1:8" x14ac:dyDescent="0.2">
      <c r="A23" t="s">
        <v>4458</v>
      </c>
      <c r="B23" t="s">
        <v>2880</v>
      </c>
      <c r="C23" t="s">
        <v>4459</v>
      </c>
      <c r="D23" s="6">
        <v>42468.620115740741</v>
      </c>
      <c r="E23" s="8" t="s">
        <v>2881</v>
      </c>
      <c r="F23" s="8">
        <v>47732</v>
      </c>
      <c r="G23" t="s">
        <v>71</v>
      </c>
      <c r="H23" s="6">
        <v>42468.494942129626</v>
      </c>
    </row>
    <row r="24" spans="1:8" x14ac:dyDescent="0.2">
      <c r="A24" t="s">
        <v>4460</v>
      </c>
      <c r="B24" t="s">
        <v>2880</v>
      </c>
      <c r="C24" t="s">
        <v>4459</v>
      </c>
      <c r="D24" s="6">
        <v>42468.622557870367</v>
      </c>
      <c r="E24" s="8" t="s">
        <v>2881</v>
      </c>
      <c r="F24" s="8">
        <v>47365</v>
      </c>
      <c r="G24" t="s">
        <v>71</v>
      </c>
      <c r="H24" s="6">
        <v>42468.494513888887</v>
      </c>
    </row>
    <row r="25" spans="1:8" x14ac:dyDescent="0.2">
      <c r="A25" t="s">
        <v>4461</v>
      </c>
      <c r="B25" t="s">
        <v>2882</v>
      </c>
      <c r="C25" t="s">
        <v>4459</v>
      </c>
      <c r="D25" s="6">
        <v>42466.413356481484</v>
      </c>
      <c r="E25" s="8" t="s">
        <v>2883</v>
      </c>
      <c r="F25" s="8">
        <v>101376</v>
      </c>
      <c r="G25" t="s">
        <v>71</v>
      </c>
      <c r="H25" s="6">
        <v>42466.405428240738</v>
      </c>
    </row>
    <row r="26" spans="1:8" x14ac:dyDescent="0.2">
      <c r="A26" t="s">
        <v>4462</v>
      </c>
      <c r="B26" t="s">
        <v>2882</v>
      </c>
      <c r="C26" t="s">
        <v>4459</v>
      </c>
      <c r="D26" s="6">
        <v>42466.406828703701</v>
      </c>
      <c r="E26" s="8" t="s">
        <v>2883</v>
      </c>
      <c r="F26" s="8">
        <v>95232</v>
      </c>
      <c r="G26" t="s">
        <v>71</v>
      </c>
      <c r="H26" s="6">
        <v>42466.388402777775</v>
      </c>
    </row>
    <row r="27" spans="1:8" x14ac:dyDescent="0.2">
      <c r="A27" t="s">
        <v>4463</v>
      </c>
      <c r="B27" t="s">
        <v>2884</v>
      </c>
      <c r="C27" t="s">
        <v>4464</v>
      </c>
      <c r="D27" s="6">
        <v>42409.721122685187</v>
      </c>
      <c r="E27" s="8" t="s">
        <v>2885</v>
      </c>
      <c r="F27" s="8">
        <v>9559</v>
      </c>
      <c r="G27" t="s">
        <v>71</v>
      </c>
      <c r="H27" s="6">
        <v>42409.721122685187</v>
      </c>
    </row>
    <row r="28" spans="1:8" x14ac:dyDescent="0.2">
      <c r="A28" t="s">
        <v>4465</v>
      </c>
      <c r="B28" t="s">
        <v>2880</v>
      </c>
      <c r="C28" t="s">
        <v>4464</v>
      </c>
      <c r="D28" s="6">
        <v>42416.494768518518</v>
      </c>
      <c r="E28" s="8" t="s">
        <v>2881</v>
      </c>
      <c r="F28" s="8">
        <v>17687</v>
      </c>
      <c r="G28" t="s">
        <v>71</v>
      </c>
      <c r="H28" s="6">
        <v>42409.711481481485</v>
      </c>
    </row>
    <row r="29" spans="1:8" x14ac:dyDescent="0.2">
      <c r="A29" t="s">
        <v>4466</v>
      </c>
      <c r="B29" t="s">
        <v>2880</v>
      </c>
      <c r="C29" t="s">
        <v>4464</v>
      </c>
      <c r="D29" s="6">
        <v>42445.731041666666</v>
      </c>
      <c r="E29" s="8" t="s">
        <v>2881</v>
      </c>
      <c r="F29" s="8">
        <v>12720</v>
      </c>
      <c r="G29" t="s">
        <v>71</v>
      </c>
      <c r="H29" s="6">
        <v>42418.512245370373</v>
      </c>
    </row>
    <row r="30" spans="1:8" x14ac:dyDescent="0.2">
      <c r="A30" t="s">
        <v>4467</v>
      </c>
      <c r="B30" t="s">
        <v>2880</v>
      </c>
      <c r="C30" t="s">
        <v>4464</v>
      </c>
      <c r="D30" s="6">
        <v>42409.711145833331</v>
      </c>
      <c r="E30" s="8" t="s">
        <v>2881</v>
      </c>
      <c r="F30" s="8">
        <v>489926</v>
      </c>
      <c r="G30" t="s">
        <v>71</v>
      </c>
      <c r="H30" s="6">
        <v>42409.704548611109</v>
      </c>
    </row>
    <row r="31" spans="1:8" x14ac:dyDescent="0.2">
      <c r="A31" t="s">
        <v>4468</v>
      </c>
      <c r="B31" t="s">
        <v>2880</v>
      </c>
      <c r="C31" t="s">
        <v>4464</v>
      </c>
      <c r="D31" s="6">
        <v>42409.718090277776</v>
      </c>
      <c r="E31" s="8" t="s">
        <v>2881</v>
      </c>
      <c r="F31" s="8">
        <v>488480</v>
      </c>
      <c r="G31" t="s">
        <v>71</v>
      </c>
      <c r="H31" s="6">
        <v>42409.704432870371</v>
      </c>
    </row>
    <row r="32" spans="1:8" x14ac:dyDescent="0.2">
      <c r="A32" t="s">
        <v>4422</v>
      </c>
      <c r="B32" t="s">
        <v>2884</v>
      </c>
      <c r="C32" t="s">
        <v>4469</v>
      </c>
      <c r="D32" s="6">
        <v>42402.458703703705</v>
      </c>
      <c r="E32" s="8" t="s">
        <v>2885</v>
      </c>
      <c r="F32" s="8">
        <v>15919</v>
      </c>
      <c r="G32" t="s">
        <v>71</v>
      </c>
      <c r="H32" s="6">
        <v>42402.458703703705</v>
      </c>
    </row>
    <row r="33" spans="1:8" x14ac:dyDescent="0.2">
      <c r="A33" t="s">
        <v>4422</v>
      </c>
      <c r="B33" t="s">
        <v>2882</v>
      </c>
      <c r="C33" t="s">
        <v>4469</v>
      </c>
      <c r="D33" s="6">
        <v>42402.456932870373</v>
      </c>
      <c r="E33" s="8" t="s">
        <v>2883</v>
      </c>
      <c r="F33" s="8">
        <v>98816</v>
      </c>
      <c r="G33" t="s">
        <v>71</v>
      </c>
      <c r="H33" s="6">
        <v>42398.438217592593</v>
      </c>
    </row>
    <row r="34" spans="1:8" x14ac:dyDescent="0.2">
      <c r="A34" t="s">
        <v>4470</v>
      </c>
      <c r="B34" t="s">
        <v>2888</v>
      </c>
      <c r="C34" t="s">
        <v>4469</v>
      </c>
      <c r="D34" s="6">
        <v>42451.43167824074</v>
      </c>
      <c r="E34" s="8" t="s">
        <v>2889</v>
      </c>
      <c r="F34" s="8">
        <v>293376</v>
      </c>
      <c r="G34" t="s">
        <v>71</v>
      </c>
      <c r="H34" s="6">
        <v>42451.411574074074</v>
      </c>
    </row>
    <row r="35" spans="1:8" x14ac:dyDescent="0.2">
      <c r="A35" t="s">
        <v>4470</v>
      </c>
      <c r="B35" t="s">
        <v>2884</v>
      </c>
      <c r="C35" t="s">
        <v>4469</v>
      </c>
      <c r="D35" s="6">
        <v>42451.431759259256</v>
      </c>
      <c r="E35" s="8" t="s">
        <v>2885</v>
      </c>
      <c r="F35" s="8">
        <v>77230</v>
      </c>
      <c r="G35" t="s">
        <v>71</v>
      </c>
      <c r="H35" s="6">
        <v>42451.43172453704</v>
      </c>
    </row>
    <row r="36" spans="1:8" x14ac:dyDescent="0.2">
      <c r="A36" t="s">
        <v>4471</v>
      </c>
      <c r="B36" t="s">
        <v>2888</v>
      </c>
      <c r="C36" t="s">
        <v>4469</v>
      </c>
      <c r="D36" s="6">
        <v>42451.427939814814</v>
      </c>
      <c r="E36" s="8" t="s">
        <v>2889</v>
      </c>
      <c r="F36" s="8">
        <v>294912</v>
      </c>
      <c r="G36" t="s">
        <v>71</v>
      </c>
      <c r="H36" s="6">
        <v>42451.410034722219</v>
      </c>
    </row>
    <row r="37" spans="1:8" x14ac:dyDescent="0.2">
      <c r="A37" t="s">
        <v>4471</v>
      </c>
      <c r="B37" t="s">
        <v>2884</v>
      </c>
      <c r="C37" t="s">
        <v>4469</v>
      </c>
      <c r="D37" s="6">
        <v>42451.428032407406</v>
      </c>
      <c r="E37" s="8" t="s">
        <v>2885</v>
      </c>
      <c r="F37" s="8">
        <v>76817</v>
      </c>
      <c r="G37" t="s">
        <v>71</v>
      </c>
      <c r="H37" s="6">
        <v>42451.425671296296</v>
      </c>
    </row>
    <row r="38" spans="1:8" x14ac:dyDescent="0.2">
      <c r="A38" t="s">
        <v>4414</v>
      </c>
      <c r="B38" t="s">
        <v>2882</v>
      </c>
      <c r="C38" t="s">
        <v>4469</v>
      </c>
      <c r="D38" s="6">
        <v>42201.623831018522</v>
      </c>
      <c r="E38" s="8" t="s">
        <v>2883</v>
      </c>
      <c r="F38" s="8">
        <v>99840</v>
      </c>
      <c r="G38" t="s">
        <v>71</v>
      </c>
      <c r="H38" s="6">
        <v>42398.43818287037</v>
      </c>
    </row>
    <row r="39" spans="1:8" x14ac:dyDescent="0.2">
      <c r="A39" t="s">
        <v>4405</v>
      </c>
      <c r="B39" t="s">
        <v>2886</v>
      </c>
      <c r="C39" t="s">
        <v>4472</v>
      </c>
      <c r="D39" s="6">
        <v>41326.526875000003</v>
      </c>
      <c r="E39" s="8" t="s">
        <v>2887</v>
      </c>
      <c r="F39" s="8">
        <v>20261</v>
      </c>
      <c r="G39" t="s">
        <v>71</v>
      </c>
      <c r="H39" s="6">
        <v>41326.527372685188</v>
      </c>
    </row>
    <row r="40" spans="1:8" x14ac:dyDescent="0.2">
      <c r="A40" t="s">
        <v>4473</v>
      </c>
      <c r="B40" t="s">
        <v>2884</v>
      </c>
      <c r="C40" t="s">
        <v>4474</v>
      </c>
      <c r="D40" s="6">
        <v>42398.505740740744</v>
      </c>
      <c r="E40" s="8" t="s">
        <v>2885</v>
      </c>
      <c r="F40" s="8">
        <v>92921</v>
      </c>
      <c r="G40" t="s">
        <v>71</v>
      </c>
      <c r="H40" s="6">
        <v>42398.505740740744</v>
      </c>
    </row>
    <row r="41" spans="1:8" x14ac:dyDescent="0.2">
      <c r="A41" t="s">
        <v>4475</v>
      </c>
      <c r="B41" t="s">
        <v>2888</v>
      </c>
      <c r="C41" t="s">
        <v>4476</v>
      </c>
      <c r="D41" s="6">
        <v>42467.455266203702</v>
      </c>
      <c r="E41" s="8" t="s">
        <v>2889</v>
      </c>
      <c r="F41" s="8">
        <v>101888</v>
      </c>
      <c r="G41" t="s">
        <v>71</v>
      </c>
      <c r="H41" s="6">
        <v>42467.458020833335</v>
      </c>
    </row>
    <row r="42" spans="1:8" x14ac:dyDescent="0.2">
      <c r="A42" t="s">
        <v>4477</v>
      </c>
      <c r="B42" t="s">
        <v>2888</v>
      </c>
      <c r="C42" t="s">
        <v>4476</v>
      </c>
      <c r="D42" s="6">
        <v>42467.458287037036</v>
      </c>
      <c r="E42" s="8" t="s">
        <v>2889</v>
      </c>
      <c r="F42" s="8">
        <v>106496</v>
      </c>
      <c r="G42" t="s">
        <v>71</v>
      </c>
      <c r="H42" s="6">
        <v>42467.458020833335</v>
      </c>
    </row>
    <row r="43" spans="1:8" x14ac:dyDescent="0.2">
      <c r="A43" t="s">
        <v>4478</v>
      </c>
      <c r="B43" t="s">
        <v>2884</v>
      </c>
      <c r="C43" t="s">
        <v>4479</v>
      </c>
      <c r="D43" s="6">
        <v>42445.728981481479</v>
      </c>
      <c r="E43" s="8" t="s">
        <v>2885</v>
      </c>
      <c r="F43" s="8">
        <v>5427115</v>
      </c>
      <c r="G43" t="s">
        <v>71</v>
      </c>
      <c r="H43" s="6">
        <v>42445.760914351849</v>
      </c>
    </row>
    <row r="44" spans="1:8" x14ac:dyDescent="0.2">
      <c r="A44" t="s">
        <v>4413</v>
      </c>
      <c r="B44" t="s">
        <v>2884</v>
      </c>
      <c r="C44" t="s">
        <v>4480</v>
      </c>
      <c r="D44" s="6">
        <v>42460.476967592593</v>
      </c>
      <c r="E44" s="8" t="s">
        <v>2885</v>
      </c>
      <c r="F44" s="8">
        <v>240285</v>
      </c>
      <c r="G44" t="s">
        <v>71</v>
      </c>
      <c r="H44" s="6">
        <v>42460.476967592593</v>
      </c>
    </row>
    <row r="45" spans="1:8" x14ac:dyDescent="0.2">
      <c r="A45" t="s">
        <v>4481</v>
      </c>
      <c r="B45" t="s">
        <v>2884</v>
      </c>
      <c r="C45" t="s">
        <v>4482</v>
      </c>
      <c r="D45" s="6">
        <v>42398.420416666668</v>
      </c>
      <c r="E45" s="8" t="s">
        <v>2885</v>
      </c>
      <c r="F45" s="8">
        <v>83557</v>
      </c>
      <c r="G45" t="s">
        <v>71</v>
      </c>
      <c r="H45" s="6">
        <v>42398.420416666668</v>
      </c>
    </row>
    <row r="46" spans="1:8" x14ac:dyDescent="0.2">
      <c r="A46" t="s">
        <v>4473</v>
      </c>
      <c r="B46" t="s">
        <v>2884</v>
      </c>
      <c r="C46" t="s">
        <v>4482</v>
      </c>
      <c r="D46" s="6">
        <v>42398.420868055553</v>
      </c>
      <c r="E46" s="8" t="s">
        <v>2885</v>
      </c>
      <c r="F46" s="8">
        <v>92921</v>
      </c>
      <c r="G46" t="s">
        <v>71</v>
      </c>
      <c r="H46" s="6">
        <v>42398.420868055553</v>
      </c>
    </row>
    <row r="47" spans="1:8" x14ac:dyDescent="0.2">
      <c r="A47" t="s">
        <v>4483</v>
      </c>
      <c r="B47" t="s">
        <v>2884</v>
      </c>
      <c r="C47" t="s">
        <v>4482</v>
      </c>
      <c r="D47" s="6">
        <v>42398.425393518519</v>
      </c>
      <c r="E47" s="8" t="s">
        <v>2885</v>
      </c>
      <c r="F47" s="8">
        <v>105999</v>
      </c>
      <c r="G47" t="s">
        <v>71</v>
      </c>
      <c r="H47" s="6">
        <v>42398.425393518519</v>
      </c>
    </row>
    <row r="48" spans="1:8" x14ac:dyDescent="0.2">
      <c r="A48" t="s">
        <v>4484</v>
      </c>
      <c r="B48" t="s">
        <v>2888</v>
      </c>
      <c r="C48" t="s">
        <v>4485</v>
      </c>
      <c r="D48" s="6">
        <v>42418.525405092594</v>
      </c>
      <c r="E48" s="8" t="s">
        <v>2889</v>
      </c>
      <c r="F48" s="8">
        <v>106496</v>
      </c>
      <c r="G48" t="s">
        <v>71</v>
      </c>
      <c r="H48" s="6">
        <v>42418.510798611111</v>
      </c>
    </row>
    <row r="49" spans="1:8" x14ac:dyDescent="0.2">
      <c r="A49" t="s">
        <v>4486</v>
      </c>
      <c r="B49" t="s">
        <v>2888</v>
      </c>
      <c r="C49" t="s">
        <v>4485</v>
      </c>
      <c r="D49" s="6">
        <v>42458.613495370373</v>
      </c>
      <c r="E49" s="8" t="s">
        <v>2889</v>
      </c>
      <c r="F49" s="8">
        <v>105984</v>
      </c>
      <c r="G49" t="s">
        <v>71</v>
      </c>
      <c r="H49" s="6">
        <v>42453.46025462963</v>
      </c>
    </row>
    <row r="50" spans="1:8" x14ac:dyDescent="0.2">
      <c r="A50" t="s">
        <v>4487</v>
      </c>
      <c r="B50" t="s">
        <v>2888</v>
      </c>
      <c r="C50" t="s">
        <v>4488</v>
      </c>
      <c r="D50" s="6">
        <v>42480.354791666665</v>
      </c>
      <c r="E50" s="8" t="s">
        <v>2889</v>
      </c>
      <c r="F50" s="8">
        <v>109568</v>
      </c>
      <c r="G50" t="s">
        <v>71</v>
      </c>
      <c r="H50" s="6">
        <v>42480.350868055553</v>
      </c>
    </row>
    <row r="51" spans="1:8" x14ac:dyDescent="0.2">
      <c r="A51" t="s">
        <v>4489</v>
      </c>
      <c r="B51" t="s">
        <v>2888</v>
      </c>
      <c r="C51" t="s">
        <v>4488</v>
      </c>
      <c r="D51" s="6">
        <v>42480.359513888892</v>
      </c>
      <c r="E51" s="8" t="s">
        <v>2889</v>
      </c>
      <c r="F51" s="8">
        <v>97792</v>
      </c>
      <c r="G51" t="s">
        <v>71</v>
      </c>
      <c r="H51" s="6">
        <v>42480.351736111108</v>
      </c>
    </row>
    <row r="52" spans="1:8" x14ac:dyDescent="0.2">
      <c r="A52" t="s">
        <v>4490</v>
      </c>
      <c r="B52" t="s">
        <v>2888</v>
      </c>
      <c r="C52" t="s">
        <v>4491</v>
      </c>
      <c r="D52" s="6">
        <v>42408.610590277778</v>
      </c>
      <c r="E52" s="8" t="s">
        <v>2889</v>
      </c>
      <c r="F52" s="8">
        <v>111104</v>
      </c>
      <c r="G52" t="s">
        <v>71</v>
      </c>
      <c r="H52" s="6">
        <v>42408.430254629631</v>
      </c>
    </row>
    <row r="53" spans="1:8" x14ac:dyDescent="0.2">
      <c r="A53" t="s">
        <v>4492</v>
      </c>
      <c r="B53" t="s">
        <v>2884</v>
      </c>
      <c r="C53" t="s">
        <v>4493</v>
      </c>
      <c r="D53" s="6">
        <v>42451.528749999998</v>
      </c>
      <c r="E53" s="8" t="s">
        <v>2885</v>
      </c>
      <c r="F53" s="8">
        <v>583165</v>
      </c>
      <c r="G53" t="s">
        <v>71</v>
      </c>
      <c r="H53" s="6">
        <v>42451.528738425928</v>
      </c>
    </row>
    <row r="54" spans="1:8" x14ac:dyDescent="0.2">
      <c r="A54" s="19" t="s">
        <v>4494</v>
      </c>
      <c r="B54" t="s">
        <v>2884</v>
      </c>
      <c r="C54" t="s">
        <v>4493</v>
      </c>
      <c r="D54" s="6">
        <v>42451.509837962964</v>
      </c>
      <c r="E54" s="8" t="s">
        <v>2885</v>
      </c>
      <c r="F54" s="8">
        <v>568326</v>
      </c>
      <c r="G54" t="s">
        <v>71</v>
      </c>
      <c r="H54" s="6">
        <v>42451.507615740738</v>
      </c>
    </row>
    <row r="55" spans="1:8" x14ac:dyDescent="0.2">
      <c r="A55" t="s">
        <v>4495</v>
      </c>
      <c r="B55" t="s">
        <v>2884</v>
      </c>
      <c r="C55" t="s">
        <v>4496</v>
      </c>
      <c r="D55" s="6">
        <v>42437.985011574077</v>
      </c>
      <c r="E55" s="8" t="s">
        <v>2885</v>
      </c>
      <c r="F55" s="8">
        <v>828247</v>
      </c>
      <c r="G55" t="s">
        <v>71</v>
      </c>
      <c r="H55" s="6">
        <v>42437.984988425924</v>
      </c>
    </row>
    <row r="56" spans="1:8" x14ac:dyDescent="0.2">
      <c r="A56" t="s">
        <v>4497</v>
      </c>
      <c r="B56" t="s">
        <v>2884</v>
      </c>
      <c r="C56" t="s">
        <v>4496</v>
      </c>
      <c r="D56" s="6">
        <v>42437.984976851854</v>
      </c>
      <c r="E56" s="8" t="s">
        <v>2885</v>
      </c>
      <c r="F56" s="8">
        <v>11495</v>
      </c>
      <c r="G56" t="s">
        <v>71</v>
      </c>
      <c r="H56" s="6">
        <v>42437.984953703701</v>
      </c>
    </row>
    <row r="57" spans="1:8" x14ac:dyDescent="0.2">
      <c r="A57" t="s">
        <v>4498</v>
      </c>
      <c r="B57" t="s">
        <v>2884</v>
      </c>
      <c r="C57" t="s">
        <v>4496</v>
      </c>
      <c r="D57" s="6">
        <v>42437.985034722224</v>
      </c>
      <c r="E57" s="8" t="s">
        <v>2885</v>
      </c>
      <c r="F57" s="8">
        <v>745525</v>
      </c>
      <c r="G57" t="s">
        <v>71</v>
      </c>
      <c r="H57" s="6">
        <v>42437.985023148147</v>
      </c>
    </row>
    <row r="58" spans="1:8" x14ac:dyDescent="0.2">
      <c r="A58" t="s">
        <v>4499</v>
      </c>
      <c r="B58" t="s">
        <v>2884</v>
      </c>
      <c r="C58" t="s">
        <v>4496</v>
      </c>
      <c r="D58" s="6">
        <v>42437.985023148147</v>
      </c>
      <c r="E58" s="8" t="s">
        <v>2885</v>
      </c>
      <c r="F58" s="8">
        <v>8018</v>
      </c>
      <c r="G58" t="s">
        <v>71</v>
      </c>
      <c r="H58" s="6">
        <v>42437.985011574077</v>
      </c>
    </row>
    <row r="59" spans="1:8" x14ac:dyDescent="0.2">
      <c r="A59" t="s">
        <v>4500</v>
      </c>
      <c r="B59" t="s">
        <v>2880</v>
      </c>
      <c r="C59" t="s">
        <v>4501</v>
      </c>
      <c r="D59" s="6">
        <v>42429.870057870372</v>
      </c>
      <c r="E59" s="8" t="s">
        <v>2881</v>
      </c>
      <c r="F59" s="8">
        <v>15961</v>
      </c>
      <c r="G59" t="s">
        <v>71</v>
      </c>
      <c r="H59" s="6">
        <v>42429.870057870372</v>
      </c>
    </row>
    <row r="60" spans="1:8" x14ac:dyDescent="0.2">
      <c r="A60" t="s">
        <v>4502</v>
      </c>
      <c r="B60" t="s">
        <v>2884</v>
      </c>
      <c r="C60" t="s">
        <v>4501</v>
      </c>
      <c r="D60" s="6">
        <v>42429.870057870372</v>
      </c>
      <c r="E60" s="8" t="s">
        <v>2885</v>
      </c>
      <c r="F60" s="8">
        <v>558163</v>
      </c>
      <c r="G60" t="s">
        <v>71</v>
      </c>
      <c r="H60" s="6">
        <v>42429.870046296295</v>
      </c>
    </row>
    <row r="61" spans="1:8" x14ac:dyDescent="0.2">
      <c r="A61" t="s">
        <v>2890</v>
      </c>
      <c r="B61" t="s">
        <v>2888</v>
      </c>
      <c r="C61" t="s">
        <v>4503</v>
      </c>
      <c r="D61" s="6">
        <v>42473.645752314813</v>
      </c>
      <c r="E61" s="8" t="s">
        <v>2889</v>
      </c>
      <c r="F61" s="8">
        <v>359424</v>
      </c>
      <c r="G61" t="s">
        <v>71</v>
      </c>
      <c r="H61" s="6">
        <v>42383.62358796296</v>
      </c>
    </row>
    <row r="62" spans="1:8" x14ac:dyDescent="0.2">
      <c r="A62" s="19" t="s">
        <v>4374</v>
      </c>
      <c r="B62" t="s">
        <v>2882</v>
      </c>
      <c r="C62" t="s">
        <v>4503</v>
      </c>
      <c r="D62" s="6">
        <v>42481.478090277778</v>
      </c>
      <c r="E62" s="8" t="s">
        <v>2883</v>
      </c>
      <c r="F62" s="8">
        <v>83456</v>
      </c>
      <c r="G62" t="s">
        <v>71</v>
      </c>
      <c r="H62" s="6">
        <v>42461.362685185188</v>
      </c>
    </row>
    <row r="63" spans="1:8" x14ac:dyDescent="0.2">
      <c r="A63" t="s">
        <v>4281</v>
      </c>
      <c r="B63" t="s">
        <v>2880</v>
      </c>
      <c r="C63" t="s">
        <v>4503</v>
      </c>
      <c r="D63" s="6">
        <v>42120.904050925928</v>
      </c>
      <c r="E63" s="8" t="s">
        <v>2881</v>
      </c>
      <c r="F63" s="8">
        <v>262782</v>
      </c>
      <c r="G63" t="s">
        <v>71</v>
      </c>
      <c r="H63" s="6">
        <v>41120.598530092589</v>
      </c>
    </row>
    <row r="64" spans="1:8" x14ac:dyDescent="0.2">
      <c r="A64" t="s">
        <v>2891</v>
      </c>
      <c r="B64" t="s">
        <v>2888</v>
      </c>
      <c r="C64" t="s">
        <v>4503</v>
      </c>
      <c r="D64" s="6">
        <v>42430.878333333334</v>
      </c>
      <c r="E64" s="8" t="s">
        <v>2889</v>
      </c>
      <c r="F64" s="8">
        <v>44544</v>
      </c>
      <c r="G64" t="s">
        <v>71</v>
      </c>
      <c r="H64" s="6">
        <v>42381.784201388888</v>
      </c>
    </row>
    <row r="65" spans="1:8" x14ac:dyDescent="0.2">
      <c r="A65" t="s">
        <v>4377</v>
      </c>
      <c r="B65" t="s">
        <v>2880</v>
      </c>
      <c r="C65" t="s">
        <v>4503</v>
      </c>
      <c r="D65" s="6">
        <v>42338.50209490741</v>
      </c>
      <c r="E65" s="8" t="s">
        <v>2881</v>
      </c>
      <c r="F65" s="8">
        <v>43378</v>
      </c>
      <c r="G65" t="s">
        <v>71</v>
      </c>
      <c r="H65" s="6">
        <v>41558.459016203706</v>
      </c>
    </row>
    <row r="66" spans="1:8" x14ac:dyDescent="0.2">
      <c r="A66" t="s">
        <v>4504</v>
      </c>
      <c r="B66" t="s">
        <v>2880</v>
      </c>
      <c r="C66" t="s">
        <v>4503</v>
      </c>
      <c r="D66" s="6">
        <v>42338.748564814814</v>
      </c>
      <c r="E66" s="8" t="s">
        <v>2881</v>
      </c>
      <c r="F66" s="8">
        <v>18887</v>
      </c>
      <c r="G66" t="s">
        <v>71</v>
      </c>
      <c r="H66" s="6">
        <v>41334.505671296298</v>
      </c>
    </row>
    <row r="67" spans="1:8" x14ac:dyDescent="0.2">
      <c r="A67" t="s">
        <v>3816</v>
      </c>
      <c r="B67" t="s">
        <v>2880</v>
      </c>
      <c r="C67" t="s">
        <v>4505</v>
      </c>
      <c r="D67" s="6">
        <v>42430.87840277778</v>
      </c>
      <c r="E67" s="8" t="s">
        <v>2881</v>
      </c>
      <c r="F67" s="8">
        <v>10898</v>
      </c>
      <c r="G67" t="s">
        <v>71</v>
      </c>
      <c r="H67" s="6">
        <v>42408.855115740742</v>
      </c>
    </row>
    <row r="68" spans="1:8" x14ac:dyDescent="0.2">
      <c r="A68" t="s">
        <v>4378</v>
      </c>
      <c r="B68" t="s">
        <v>2886</v>
      </c>
      <c r="C68" t="s">
        <v>4506</v>
      </c>
      <c r="D68" s="6">
        <v>42059.771851851852</v>
      </c>
      <c r="E68" s="8" t="s">
        <v>2887</v>
      </c>
      <c r="F68" s="8">
        <v>150618</v>
      </c>
      <c r="G68" t="s">
        <v>71</v>
      </c>
      <c r="H68" s="6">
        <v>42381.78402777778</v>
      </c>
    </row>
    <row r="69" spans="1:8" x14ac:dyDescent="0.2">
      <c r="A69" t="s">
        <v>4412</v>
      </c>
      <c r="B69" t="s">
        <v>2886</v>
      </c>
      <c r="C69" t="s">
        <v>4507</v>
      </c>
      <c r="D69" s="6">
        <v>42445.701099537036</v>
      </c>
      <c r="E69" s="8" t="s">
        <v>2887</v>
      </c>
      <c r="F69" s="8">
        <v>620363</v>
      </c>
      <c r="G69" t="s">
        <v>71</v>
      </c>
      <c r="H69" s="6">
        <v>42445.670069444444</v>
      </c>
    </row>
    <row r="70" spans="1:8" x14ac:dyDescent="0.2">
      <c r="A70" t="s">
        <v>4508</v>
      </c>
      <c r="B70" t="s">
        <v>2884</v>
      </c>
      <c r="C70" t="s">
        <v>4509</v>
      </c>
      <c r="D70" s="6">
        <v>42471.521956018521</v>
      </c>
      <c r="E70" s="8" t="s">
        <v>2885</v>
      </c>
      <c r="F70" s="8">
        <v>800316</v>
      </c>
      <c r="G70" t="s">
        <v>71</v>
      </c>
      <c r="H70" s="6">
        <v>42471.521851851852</v>
      </c>
    </row>
    <row r="71" spans="1:8" x14ac:dyDescent="0.2">
      <c r="A71" t="s">
        <v>4460</v>
      </c>
      <c r="B71" t="s">
        <v>2884</v>
      </c>
      <c r="C71" t="s">
        <v>4509</v>
      </c>
      <c r="D71" s="6">
        <v>42468.621006944442</v>
      </c>
      <c r="E71" s="8" t="s">
        <v>2885</v>
      </c>
      <c r="F71" s="8">
        <v>35183</v>
      </c>
      <c r="G71" t="s">
        <v>71</v>
      </c>
      <c r="H71" s="6">
        <v>42468.622777777775</v>
      </c>
    </row>
    <row r="72" spans="1:8" x14ac:dyDescent="0.2">
      <c r="A72" t="s">
        <v>4462</v>
      </c>
      <c r="B72" t="s">
        <v>2884</v>
      </c>
      <c r="C72" t="s">
        <v>4509</v>
      </c>
      <c r="D72" s="6">
        <v>42466.404027777775</v>
      </c>
      <c r="E72" s="8" t="s">
        <v>2885</v>
      </c>
      <c r="F72" s="8">
        <v>21010</v>
      </c>
      <c r="G72" t="s">
        <v>71</v>
      </c>
      <c r="H72" s="6">
        <v>42466.412442129629</v>
      </c>
    </row>
    <row r="73" spans="1:8" x14ac:dyDescent="0.2">
      <c r="A73" t="s">
        <v>4413</v>
      </c>
      <c r="B73" t="s">
        <v>2886</v>
      </c>
      <c r="C73" t="s">
        <v>4509</v>
      </c>
      <c r="D73" s="6">
        <v>42471.521643518521</v>
      </c>
      <c r="E73" s="8" t="s">
        <v>2887</v>
      </c>
      <c r="F73" s="8">
        <v>1520491</v>
      </c>
      <c r="G73" t="s">
        <v>71</v>
      </c>
      <c r="H73" s="6">
        <v>42443.683518518519</v>
      </c>
    </row>
    <row r="74" spans="1:8" x14ac:dyDescent="0.2">
      <c r="A74" t="s">
        <v>4510</v>
      </c>
      <c r="B74" t="s">
        <v>2884</v>
      </c>
      <c r="C74" t="s">
        <v>4511</v>
      </c>
      <c r="D74" s="6">
        <v>42471.573611111111</v>
      </c>
      <c r="E74" s="8" t="s">
        <v>2885</v>
      </c>
      <c r="F74" s="8">
        <v>842097</v>
      </c>
      <c r="G74" t="s">
        <v>71</v>
      </c>
      <c r="H74" s="6">
        <v>42471.573553240742</v>
      </c>
    </row>
    <row r="75" spans="1:8" x14ac:dyDescent="0.2">
      <c r="A75" t="s">
        <v>4458</v>
      </c>
      <c r="B75" t="s">
        <v>2884</v>
      </c>
      <c r="C75" t="s">
        <v>4511</v>
      </c>
      <c r="D75" s="6">
        <v>42468.621400462966</v>
      </c>
      <c r="E75" s="8" t="s">
        <v>2885</v>
      </c>
      <c r="F75" s="8">
        <v>35417</v>
      </c>
      <c r="G75" t="s">
        <v>71</v>
      </c>
      <c r="H75" s="6">
        <v>42468.622719907406</v>
      </c>
    </row>
    <row r="76" spans="1:8" x14ac:dyDescent="0.2">
      <c r="A76" t="s">
        <v>4461</v>
      </c>
      <c r="B76" t="s">
        <v>2884</v>
      </c>
      <c r="C76" t="s">
        <v>4511</v>
      </c>
      <c r="D76" s="6">
        <v>42466.411863425928</v>
      </c>
      <c r="E76" s="8" t="s">
        <v>2885</v>
      </c>
      <c r="F76" s="8">
        <v>21382</v>
      </c>
      <c r="G76" t="s">
        <v>71</v>
      </c>
      <c r="H76" s="6">
        <v>42466.412499999999</v>
      </c>
    </row>
    <row r="77" spans="1:8" x14ac:dyDescent="0.2">
      <c r="A77" t="s">
        <v>4413</v>
      </c>
      <c r="B77" t="s">
        <v>2886</v>
      </c>
      <c r="C77" t="s">
        <v>4511</v>
      </c>
      <c r="D77" s="6">
        <v>42471.572812500002</v>
      </c>
      <c r="E77" s="8" t="s">
        <v>2887</v>
      </c>
      <c r="F77" s="8">
        <v>1547568</v>
      </c>
      <c r="G77" t="s">
        <v>71</v>
      </c>
      <c r="H77" s="6">
        <v>42443.686909722222</v>
      </c>
    </row>
    <row r="78" spans="1:8" x14ac:dyDescent="0.2">
      <c r="A78" t="s">
        <v>4508</v>
      </c>
      <c r="B78" t="s">
        <v>2884</v>
      </c>
      <c r="C78" t="s">
        <v>4512</v>
      </c>
      <c r="D78" s="6">
        <v>42471.521956018521</v>
      </c>
      <c r="E78" s="8" t="s">
        <v>2885</v>
      </c>
      <c r="F78" s="8">
        <v>800316</v>
      </c>
      <c r="G78" t="s">
        <v>71</v>
      </c>
      <c r="H78" s="6">
        <v>42479.496377314812</v>
      </c>
    </row>
    <row r="79" spans="1:8" x14ac:dyDescent="0.2">
      <c r="A79" t="s">
        <v>4460</v>
      </c>
      <c r="B79" t="s">
        <v>2884</v>
      </c>
      <c r="C79" t="s">
        <v>4512</v>
      </c>
      <c r="D79" s="6">
        <v>42468.621006944442</v>
      </c>
      <c r="E79" s="8" t="s">
        <v>2885</v>
      </c>
      <c r="F79" s="8">
        <v>35183</v>
      </c>
      <c r="G79" t="s">
        <v>71</v>
      </c>
      <c r="H79" s="6">
        <v>42479.496377314812</v>
      </c>
    </row>
    <row r="80" spans="1:8" x14ac:dyDescent="0.2">
      <c r="A80" t="s">
        <v>4462</v>
      </c>
      <c r="B80" t="s">
        <v>2884</v>
      </c>
      <c r="C80" t="s">
        <v>4512</v>
      </c>
      <c r="D80" s="6">
        <v>42466.404027777775</v>
      </c>
      <c r="E80" s="8" t="s">
        <v>2885</v>
      </c>
      <c r="F80" s="8">
        <v>21010</v>
      </c>
      <c r="G80" t="s">
        <v>71</v>
      </c>
      <c r="H80" s="6">
        <v>42479.496377314812</v>
      </c>
    </row>
    <row r="81" spans="1:8" x14ac:dyDescent="0.2">
      <c r="A81" t="s">
        <v>4413</v>
      </c>
      <c r="B81" t="s">
        <v>2886</v>
      </c>
      <c r="C81" t="s">
        <v>4512</v>
      </c>
      <c r="D81" s="6">
        <v>42481.417060185187</v>
      </c>
      <c r="E81" s="8" t="s">
        <v>2887</v>
      </c>
      <c r="F81" s="8">
        <v>2342223</v>
      </c>
      <c r="G81" t="s">
        <v>71</v>
      </c>
      <c r="H81" s="6">
        <v>42479.496377314812</v>
      </c>
    </row>
    <row r="82" spans="1:8" x14ac:dyDescent="0.2">
      <c r="A82" t="s">
        <v>4413</v>
      </c>
      <c r="B82" t="s">
        <v>2884</v>
      </c>
      <c r="C82" t="s">
        <v>4512</v>
      </c>
      <c r="D82" s="6">
        <v>42481.417314814818</v>
      </c>
      <c r="E82" s="8" t="s">
        <v>2885</v>
      </c>
      <c r="F82" s="8">
        <v>1053175</v>
      </c>
      <c r="G82" t="s">
        <v>71</v>
      </c>
      <c r="H82" s="6">
        <v>42481.417222222219</v>
      </c>
    </row>
    <row r="83" spans="1:8" x14ac:dyDescent="0.2">
      <c r="A83" t="s">
        <v>4510</v>
      </c>
      <c r="B83" t="s">
        <v>2884</v>
      </c>
      <c r="C83" t="s">
        <v>4513</v>
      </c>
      <c r="D83" s="6">
        <v>42471.573611111111</v>
      </c>
      <c r="E83" s="8" t="s">
        <v>2885</v>
      </c>
      <c r="F83" s="8">
        <v>842097</v>
      </c>
      <c r="G83" t="s">
        <v>71</v>
      </c>
      <c r="H83" s="6">
        <v>42479.496365740742</v>
      </c>
    </row>
    <row r="84" spans="1:8" x14ac:dyDescent="0.2">
      <c r="A84" t="s">
        <v>4458</v>
      </c>
      <c r="B84" t="s">
        <v>2884</v>
      </c>
      <c r="C84" t="s">
        <v>4513</v>
      </c>
      <c r="D84" s="6">
        <v>42468.621400462966</v>
      </c>
      <c r="E84" s="8" t="s">
        <v>2885</v>
      </c>
      <c r="F84" s="8">
        <v>35417</v>
      </c>
      <c r="G84" t="s">
        <v>71</v>
      </c>
      <c r="H84" s="6">
        <v>42479.496365740742</v>
      </c>
    </row>
    <row r="85" spans="1:8" x14ac:dyDescent="0.2">
      <c r="A85" t="s">
        <v>4461</v>
      </c>
      <c r="B85" t="s">
        <v>2884</v>
      </c>
      <c r="C85" t="s">
        <v>4513</v>
      </c>
      <c r="D85" s="6">
        <v>42466.411863425928</v>
      </c>
      <c r="E85" s="8" t="s">
        <v>2885</v>
      </c>
      <c r="F85" s="8">
        <v>21382</v>
      </c>
      <c r="G85" t="s">
        <v>71</v>
      </c>
      <c r="H85" s="6">
        <v>42479.496365740742</v>
      </c>
    </row>
    <row r="86" spans="1:8" x14ac:dyDescent="0.2">
      <c r="A86" t="s">
        <v>4413</v>
      </c>
      <c r="B86" t="s">
        <v>2886</v>
      </c>
      <c r="C86" t="s">
        <v>4513</v>
      </c>
      <c r="D86" s="6">
        <v>42481.418993055559</v>
      </c>
      <c r="E86" s="8" t="s">
        <v>2887</v>
      </c>
      <c r="F86" s="8">
        <v>2369468</v>
      </c>
      <c r="G86" t="s">
        <v>71</v>
      </c>
      <c r="H86" s="6">
        <v>42479.496365740742</v>
      </c>
    </row>
    <row r="87" spans="1:8" x14ac:dyDescent="0.2">
      <c r="A87" t="s">
        <v>4413</v>
      </c>
      <c r="B87" t="s">
        <v>2884</v>
      </c>
      <c r="C87" t="s">
        <v>4513</v>
      </c>
      <c r="D87" s="6">
        <v>42481.419166666667</v>
      </c>
      <c r="E87" s="8" t="s">
        <v>2885</v>
      </c>
      <c r="F87" s="8">
        <v>1094659</v>
      </c>
      <c r="G87" t="s">
        <v>71</v>
      </c>
      <c r="H87" s="6">
        <v>42481.41909722222</v>
      </c>
    </row>
    <row r="88" spans="1:8" x14ac:dyDescent="0.2">
      <c r="A88" t="s">
        <v>4514</v>
      </c>
      <c r="B88" t="s">
        <v>2886</v>
      </c>
      <c r="C88" t="s">
        <v>4515</v>
      </c>
      <c r="D88" s="6">
        <v>42485.435208333336</v>
      </c>
      <c r="E88" s="8" t="s">
        <v>2887</v>
      </c>
      <c r="F88" s="8">
        <v>20973</v>
      </c>
      <c r="G88" t="s">
        <v>71</v>
      </c>
      <c r="H88" s="6">
        <v>42419.409930555557</v>
      </c>
    </row>
    <row r="89" spans="1:8" x14ac:dyDescent="0.2">
      <c r="A89" t="s">
        <v>4516</v>
      </c>
      <c r="B89" t="s">
        <v>2886</v>
      </c>
      <c r="C89" t="s">
        <v>4517</v>
      </c>
      <c r="D89" s="6">
        <v>42408.682372685187</v>
      </c>
      <c r="E89" s="8" t="s">
        <v>2887</v>
      </c>
      <c r="F89" s="8">
        <v>27025</v>
      </c>
      <c r="G89" t="s">
        <v>71</v>
      </c>
      <c r="H89" s="6">
        <v>42408.452488425923</v>
      </c>
    </row>
    <row r="90" spans="1:8" x14ac:dyDescent="0.2">
      <c r="A90" t="s">
        <v>4516</v>
      </c>
      <c r="B90" t="s">
        <v>2884</v>
      </c>
      <c r="C90" t="s">
        <v>4517</v>
      </c>
      <c r="D90" s="6">
        <v>42408.682280092595</v>
      </c>
      <c r="E90" s="8" t="s">
        <v>2885</v>
      </c>
      <c r="F90" s="8">
        <v>102911</v>
      </c>
      <c r="G90" t="s">
        <v>71</v>
      </c>
      <c r="H90" s="6">
        <v>42408.540543981479</v>
      </c>
    </row>
    <row r="91" spans="1:8" x14ac:dyDescent="0.2">
      <c r="A91" t="s">
        <v>4518</v>
      </c>
      <c r="B91" t="s">
        <v>2886</v>
      </c>
      <c r="C91" t="s">
        <v>4517</v>
      </c>
      <c r="D91" s="6">
        <v>42398.766122685185</v>
      </c>
      <c r="E91" s="8" t="s">
        <v>2887</v>
      </c>
      <c r="F91" s="8">
        <v>23886</v>
      </c>
      <c r="G91" t="s">
        <v>71</v>
      </c>
      <c r="H91" s="6">
        <v>42398.766122685185</v>
      </c>
    </row>
    <row r="92" spans="1:8" x14ac:dyDescent="0.2">
      <c r="A92" t="s">
        <v>4518</v>
      </c>
      <c r="B92" t="s">
        <v>2884</v>
      </c>
      <c r="C92" t="s">
        <v>4517</v>
      </c>
      <c r="D92" s="6">
        <v>42398.76902777778</v>
      </c>
      <c r="E92" s="8" t="s">
        <v>2885</v>
      </c>
      <c r="F92" s="8">
        <v>2634402</v>
      </c>
      <c r="G92" t="s">
        <v>71</v>
      </c>
      <c r="H92" s="6">
        <v>42398.76834490741</v>
      </c>
    </row>
    <row r="93" spans="1:8" x14ac:dyDescent="0.2">
      <c r="A93" t="s">
        <v>3270</v>
      </c>
      <c r="B93" t="s">
        <v>2886</v>
      </c>
      <c r="C93" t="s">
        <v>4519</v>
      </c>
      <c r="D93" s="6">
        <v>42338.485821759263</v>
      </c>
      <c r="E93" s="8" t="s">
        <v>2887</v>
      </c>
      <c r="F93" s="8">
        <v>21400</v>
      </c>
      <c r="G93" t="s">
        <v>71</v>
      </c>
      <c r="H93" s="6">
        <v>41151.482858796298</v>
      </c>
    </row>
    <row r="94" spans="1:8" x14ac:dyDescent="0.2">
      <c r="A94" t="s">
        <v>4520</v>
      </c>
      <c r="B94" t="s">
        <v>2886</v>
      </c>
      <c r="C94" t="s">
        <v>4521</v>
      </c>
      <c r="D94" s="6">
        <v>42430.87835648148</v>
      </c>
      <c r="E94" s="8" t="s">
        <v>2887</v>
      </c>
      <c r="F94" s="8">
        <v>6654864</v>
      </c>
      <c r="G94" t="s">
        <v>71</v>
      </c>
      <c r="H94" s="6">
        <v>42402.386307870373</v>
      </c>
    </row>
    <row r="95" spans="1:8" x14ac:dyDescent="0.2">
      <c r="A95" t="s">
        <v>4520</v>
      </c>
      <c r="B95" t="s">
        <v>2884</v>
      </c>
      <c r="C95" t="s">
        <v>4521</v>
      </c>
      <c r="D95" s="6">
        <v>42402.386469907404</v>
      </c>
      <c r="E95" s="8" t="s">
        <v>2885</v>
      </c>
      <c r="F95" s="8">
        <v>898600</v>
      </c>
      <c r="G95" t="s">
        <v>71</v>
      </c>
      <c r="H95" s="6">
        <v>42402.386435185188</v>
      </c>
    </row>
    <row r="96" spans="1:8" x14ac:dyDescent="0.2">
      <c r="A96" t="s">
        <v>4522</v>
      </c>
      <c r="B96" t="s">
        <v>2884</v>
      </c>
      <c r="C96" t="s">
        <v>4523</v>
      </c>
      <c r="D96" s="6">
        <v>42402.376481481479</v>
      </c>
      <c r="E96" s="8" t="s">
        <v>2885</v>
      </c>
      <c r="F96" s="8">
        <v>506660</v>
      </c>
      <c r="G96" t="s">
        <v>71</v>
      </c>
      <c r="H96" s="6">
        <v>42402.376481481479</v>
      </c>
    </row>
    <row r="97" spans="1:8" x14ac:dyDescent="0.2">
      <c r="A97" t="s">
        <v>83</v>
      </c>
      <c r="B97" t="s">
        <v>2884</v>
      </c>
      <c r="C97" t="s">
        <v>4523</v>
      </c>
      <c r="D97" s="6">
        <v>42402.376643518517</v>
      </c>
      <c r="E97" s="8" t="s">
        <v>2885</v>
      </c>
      <c r="F97" s="8">
        <v>375552</v>
      </c>
      <c r="G97" t="s">
        <v>71</v>
      </c>
      <c r="H97" s="6">
        <v>42402.376481481479</v>
      </c>
    </row>
    <row r="98" spans="1:8" x14ac:dyDescent="0.2">
      <c r="A98" t="s">
        <v>4406</v>
      </c>
      <c r="B98" t="s">
        <v>2884</v>
      </c>
      <c r="C98" t="s">
        <v>4523</v>
      </c>
      <c r="D98" s="6">
        <v>42402.378321759257</v>
      </c>
      <c r="E98" s="8" t="s">
        <v>2885</v>
      </c>
      <c r="F98" s="8">
        <v>457239</v>
      </c>
      <c r="G98" t="s">
        <v>71</v>
      </c>
      <c r="H98" s="6">
        <v>42402.378321759257</v>
      </c>
    </row>
    <row r="99" spans="1:8" x14ac:dyDescent="0.2">
      <c r="A99" t="s">
        <v>4273</v>
      </c>
      <c r="B99" t="s">
        <v>2882</v>
      </c>
      <c r="C99" t="s">
        <v>4524</v>
      </c>
      <c r="D99" s="6">
        <v>42485.602673611109</v>
      </c>
      <c r="E99" s="8" t="s">
        <v>2883</v>
      </c>
      <c r="F99" s="8">
        <v>36352</v>
      </c>
      <c r="G99" t="s">
        <v>71</v>
      </c>
      <c r="H99" s="6">
        <v>40913.469537037039</v>
      </c>
    </row>
    <row r="100" spans="1:8" x14ac:dyDescent="0.2">
      <c r="A100" t="s">
        <v>4390</v>
      </c>
      <c r="B100" t="s">
        <v>2884</v>
      </c>
      <c r="C100" t="s">
        <v>4525</v>
      </c>
      <c r="D100" s="6">
        <v>42450.750972222224</v>
      </c>
      <c r="E100" s="8" t="s">
        <v>2885</v>
      </c>
      <c r="F100" s="8">
        <v>63961</v>
      </c>
      <c r="G100" t="s">
        <v>71</v>
      </c>
      <c r="H100" s="6">
        <v>42450.750972222224</v>
      </c>
    </row>
    <row r="101" spans="1:8" x14ac:dyDescent="0.2">
      <c r="A101" t="s">
        <v>4391</v>
      </c>
      <c r="B101" t="s">
        <v>2884</v>
      </c>
      <c r="C101" t="s">
        <v>4525</v>
      </c>
      <c r="D101" s="6">
        <v>42451.406875000001</v>
      </c>
      <c r="E101" s="8" t="s">
        <v>2885</v>
      </c>
      <c r="F101" s="8">
        <v>65632</v>
      </c>
      <c r="G101" t="s">
        <v>71</v>
      </c>
      <c r="H101" s="6">
        <v>42451.406875000001</v>
      </c>
    </row>
    <row r="102" spans="1:8" x14ac:dyDescent="0.2">
      <c r="A102" s="1" t="s">
        <v>4392</v>
      </c>
      <c r="B102" t="s">
        <v>2884</v>
      </c>
      <c r="C102" t="s">
        <v>4525</v>
      </c>
      <c r="D102" s="6">
        <v>42451.462604166663</v>
      </c>
      <c r="E102" s="8" t="s">
        <v>2885</v>
      </c>
      <c r="F102" s="8">
        <v>72176</v>
      </c>
      <c r="G102" t="s">
        <v>71</v>
      </c>
      <c r="H102" s="6">
        <v>42451.462604166663</v>
      </c>
    </row>
    <row r="103" spans="1:8" x14ac:dyDescent="0.2">
      <c r="A103" t="s">
        <v>4393</v>
      </c>
      <c r="B103" t="s">
        <v>2884</v>
      </c>
      <c r="C103" t="s">
        <v>4525</v>
      </c>
      <c r="D103" s="6">
        <v>42451.607025462959</v>
      </c>
      <c r="E103" s="8" t="s">
        <v>2885</v>
      </c>
      <c r="F103" s="8">
        <v>65765</v>
      </c>
      <c r="G103" t="s">
        <v>71</v>
      </c>
      <c r="H103" s="6">
        <v>42451.607025462959</v>
      </c>
    </row>
    <row r="104" spans="1:8" x14ac:dyDescent="0.2">
      <c r="A104" t="s">
        <v>4394</v>
      </c>
      <c r="B104" t="s">
        <v>2884</v>
      </c>
      <c r="C104" t="s">
        <v>4525</v>
      </c>
      <c r="D104" s="6">
        <v>42451.748622685183</v>
      </c>
      <c r="E104" s="8" t="s">
        <v>2885</v>
      </c>
      <c r="F104" s="8">
        <v>66096</v>
      </c>
      <c r="G104" t="s">
        <v>71</v>
      </c>
      <c r="H104" s="6">
        <v>42451.748622685183</v>
      </c>
    </row>
    <row r="105" spans="1:8" x14ac:dyDescent="0.2">
      <c r="A105" t="s">
        <v>4395</v>
      </c>
      <c r="B105" t="s">
        <v>2884</v>
      </c>
      <c r="C105" t="s">
        <v>4525</v>
      </c>
      <c r="D105" s="6">
        <v>42458.518518518518</v>
      </c>
      <c r="E105" s="8" t="s">
        <v>2885</v>
      </c>
      <c r="F105" s="8">
        <v>68134</v>
      </c>
      <c r="G105" t="s">
        <v>71</v>
      </c>
      <c r="H105" s="6">
        <v>42458.518518518518</v>
      </c>
    </row>
    <row r="106" spans="1:8" x14ac:dyDescent="0.2">
      <c r="A106" t="s">
        <v>4396</v>
      </c>
      <c r="B106" t="s">
        <v>2884</v>
      </c>
      <c r="C106" t="s">
        <v>4525</v>
      </c>
      <c r="D106" s="6">
        <v>42461.365717592591</v>
      </c>
      <c r="E106" s="8" t="s">
        <v>2885</v>
      </c>
      <c r="F106" s="8">
        <v>67015</v>
      </c>
      <c r="G106" t="s">
        <v>71</v>
      </c>
      <c r="H106" s="6">
        <v>42461.365717592591</v>
      </c>
    </row>
    <row r="107" spans="1:8" x14ac:dyDescent="0.2">
      <c r="A107" t="s">
        <v>4397</v>
      </c>
      <c r="B107" t="s">
        <v>2884</v>
      </c>
      <c r="C107" t="s">
        <v>4525</v>
      </c>
      <c r="D107" s="6">
        <v>42461.369490740741</v>
      </c>
      <c r="E107" s="8" t="s">
        <v>2885</v>
      </c>
      <c r="F107" s="8">
        <v>62952</v>
      </c>
      <c r="G107" t="s">
        <v>71</v>
      </c>
      <c r="H107" s="6">
        <v>42461.369490740741</v>
      </c>
    </row>
    <row r="108" spans="1:8" x14ac:dyDescent="0.2">
      <c r="A108" t="s">
        <v>4398</v>
      </c>
      <c r="B108" t="s">
        <v>2884</v>
      </c>
      <c r="C108" t="s">
        <v>4525</v>
      </c>
      <c r="D108" s="6">
        <v>42471.533900462964</v>
      </c>
      <c r="E108" s="8" t="s">
        <v>2885</v>
      </c>
      <c r="F108" s="8">
        <v>66933</v>
      </c>
      <c r="G108" t="s">
        <v>71</v>
      </c>
      <c r="H108" s="6">
        <v>42471.533900462964</v>
      </c>
    </row>
    <row r="109" spans="1:8" x14ac:dyDescent="0.2">
      <c r="A109" t="s">
        <v>4399</v>
      </c>
      <c r="B109" t="s">
        <v>2884</v>
      </c>
      <c r="C109" t="s">
        <v>4525</v>
      </c>
      <c r="D109" s="6">
        <v>42471.579016203701</v>
      </c>
      <c r="E109" s="8" t="s">
        <v>2885</v>
      </c>
      <c r="F109" s="8">
        <v>72788</v>
      </c>
      <c r="G109" t="s">
        <v>71</v>
      </c>
      <c r="H109" s="6">
        <v>42471.579016203701</v>
      </c>
    </row>
    <row r="110" spans="1:8" x14ac:dyDescent="0.2">
      <c r="A110" t="s">
        <v>4400</v>
      </c>
      <c r="B110" t="s">
        <v>2884</v>
      </c>
      <c r="C110" t="s">
        <v>4525</v>
      </c>
      <c r="D110" s="6">
        <v>42481.489004629628</v>
      </c>
      <c r="E110" s="8" t="s">
        <v>2885</v>
      </c>
      <c r="F110" s="8">
        <v>60622</v>
      </c>
      <c r="G110" t="s">
        <v>71</v>
      </c>
      <c r="H110" s="6">
        <v>42481.489004629628</v>
      </c>
    </row>
    <row r="111" spans="1:8" x14ac:dyDescent="0.2">
      <c r="A111" t="s">
        <v>4401</v>
      </c>
      <c r="B111" t="s">
        <v>2884</v>
      </c>
      <c r="C111" t="s">
        <v>4525</v>
      </c>
      <c r="D111" s="6">
        <v>42481.491828703707</v>
      </c>
      <c r="E111" s="8" t="s">
        <v>2885</v>
      </c>
      <c r="F111" s="8">
        <v>64808</v>
      </c>
      <c r="G111" t="s">
        <v>71</v>
      </c>
      <c r="H111" s="6">
        <v>42481.491828703707</v>
      </c>
    </row>
    <row r="112" spans="1:8" x14ac:dyDescent="0.2">
      <c r="A112" t="s">
        <v>4526</v>
      </c>
      <c r="B112" t="s">
        <v>2884</v>
      </c>
      <c r="C112" t="s">
        <v>4527</v>
      </c>
      <c r="D112" s="6">
        <v>42451.512928240743</v>
      </c>
      <c r="E112" s="8" t="s">
        <v>2885</v>
      </c>
      <c r="F112" s="8">
        <v>66339</v>
      </c>
      <c r="G112" t="s">
        <v>71</v>
      </c>
      <c r="H112" s="6">
        <v>42451.512928240743</v>
      </c>
    </row>
    <row r="113" spans="1:8" x14ac:dyDescent="0.2">
      <c r="A113" t="s">
        <v>4528</v>
      </c>
      <c r="B113" t="s">
        <v>2884</v>
      </c>
      <c r="C113" t="s">
        <v>4527</v>
      </c>
      <c r="D113" s="6">
        <v>42440.743425925924</v>
      </c>
      <c r="E113" s="8" t="s">
        <v>2885</v>
      </c>
      <c r="F113" s="8">
        <v>47867</v>
      </c>
      <c r="G113" t="s">
        <v>71</v>
      </c>
      <c r="H113" s="6">
        <v>42440.742974537039</v>
      </c>
    </row>
    <row r="114" spans="1:8" x14ac:dyDescent="0.2">
      <c r="A114" t="s">
        <v>4529</v>
      </c>
      <c r="B114" t="s">
        <v>2886</v>
      </c>
      <c r="C114" t="s">
        <v>4530</v>
      </c>
      <c r="D114" s="6">
        <v>42481.467164351852</v>
      </c>
      <c r="E114" s="8" t="s">
        <v>2887</v>
      </c>
      <c r="F114" s="8">
        <v>755264</v>
      </c>
      <c r="G114" t="s">
        <v>71</v>
      </c>
      <c r="H114" s="6">
        <v>42387.461064814815</v>
      </c>
    </row>
    <row r="115" spans="1:8" x14ac:dyDescent="0.2">
      <c r="A115" t="s">
        <v>4529</v>
      </c>
      <c r="B115" t="s">
        <v>2884</v>
      </c>
      <c r="C115" t="s">
        <v>4530</v>
      </c>
      <c r="D115" s="6">
        <v>42481.467210648145</v>
      </c>
      <c r="E115" s="8" t="s">
        <v>2885</v>
      </c>
      <c r="F115" s="8">
        <v>120058</v>
      </c>
      <c r="G115" t="s">
        <v>71</v>
      </c>
      <c r="H115" s="6">
        <v>42481.466643518521</v>
      </c>
    </row>
    <row r="116" spans="1:8" x14ac:dyDescent="0.2">
      <c r="A116" t="s">
        <v>4531</v>
      </c>
      <c r="B116" t="s">
        <v>2884</v>
      </c>
      <c r="C116" t="s">
        <v>4530</v>
      </c>
      <c r="D116" s="6">
        <v>42398.766527777778</v>
      </c>
      <c r="E116" s="8" t="s">
        <v>2885</v>
      </c>
      <c r="F116" s="8">
        <v>2581203</v>
      </c>
      <c r="G116" t="s">
        <v>71</v>
      </c>
      <c r="H116" s="6">
        <v>42398.766504629632</v>
      </c>
    </row>
    <row r="117" spans="1:8" x14ac:dyDescent="0.2">
      <c r="A117" t="s">
        <v>4532</v>
      </c>
      <c r="B117" t="s">
        <v>2884</v>
      </c>
      <c r="C117" t="s">
        <v>4530</v>
      </c>
      <c r="D117" s="6">
        <v>42429.733668981484</v>
      </c>
      <c r="E117" s="8" t="s">
        <v>2885</v>
      </c>
      <c r="F117" s="8">
        <v>4451576</v>
      </c>
      <c r="G117" t="s">
        <v>71</v>
      </c>
      <c r="H117" s="6">
        <v>42429.555821759262</v>
      </c>
    </row>
    <row r="118" spans="1:8" x14ac:dyDescent="0.2">
      <c r="A118" t="s">
        <v>4533</v>
      </c>
      <c r="B118" t="s">
        <v>2884</v>
      </c>
      <c r="C118" t="s">
        <v>4530</v>
      </c>
      <c r="D118" s="6">
        <v>42444.682141203702</v>
      </c>
      <c r="E118" s="8" t="s">
        <v>2885</v>
      </c>
      <c r="F118" s="8">
        <v>4410431</v>
      </c>
      <c r="G118" t="s">
        <v>71</v>
      </c>
      <c r="H118" s="6">
        <v>42444.676481481481</v>
      </c>
    </row>
    <row r="119" spans="1:8" x14ac:dyDescent="0.2">
      <c r="A119" t="s">
        <v>4419</v>
      </c>
      <c r="B119" t="s">
        <v>2884</v>
      </c>
      <c r="C119" t="s">
        <v>4534</v>
      </c>
      <c r="D119" s="6">
        <v>42437.713206018518</v>
      </c>
      <c r="E119" s="8" t="s">
        <v>2885</v>
      </c>
      <c r="F119" s="8">
        <v>325108</v>
      </c>
      <c r="G119" t="s">
        <v>71</v>
      </c>
      <c r="H119" s="6">
        <v>42437.714756944442</v>
      </c>
    </row>
    <row r="120" spans="1:8" x14ac:dyDescent="0.2">
      <c r="A120" t="s">
        <v>4420</v>
      </c>
      <c r="B120" t="s">
        <v>2884</v>
      </c>
      <c r="C120" t="s">
        <v>4534</v>
      </c>
      <c r="D120" s="6">
        <v>42437.713206018518</v>
      </c>
      <c r="E120" s="8" t="s">
        <v>2885</v>
      </c>
      <c r="F120" s="8">
        <v>265501</v>
      </c>
      <c r="G120" t="s">
        <v>71</v>
      </c>
      <c r="H120" s="6">
        <v>42437.714756944442</v>
      </c>
    </row>
    <row r="121" spans="1:8" x14ac:dyDescent="0.2">
      <c r="A121" t="s">
        <v>4535</v>
      </c>
      <c r="B121" t="s">
        <v>2884</v>
      </c>
      <c r="C121" t="s">
        <v>4534</v>
      </c>
      <c r="D121" s="6">
        <v>42437.713206018518</v>
      </c>
      <c r="E121" s="8" t="s">
        <v>2885</v>
      </c>
      <c r="F121" s="8">
        <v>313505</v>
      </c>
      <c r="G121" t="s">
        <v>71</v>
      </c>
      <c r="H121" s="6">
        <v>42437.714756944442</v>
      </c>
    </row>
    <row r="122" spans="1:8" x14ac:dyDescent="0.2">
      <c r="A122" t="s">
        <v>4536</v>
      </c>
      <c r="B122" t="s">
        <v>2884</v>
      </c>
      <c r="C122" t="s">
        <v>4534</v>
      </c>
      <c r="D122" s="6">
        <v>42437.713206018518</v>
      </c>
      <c r="E122" s="8" t="s">
        <v>2885</v>
      </c>
      <c r="F122" s="8">
        <v>703452</v>
      </c>
      <c r="G122" t="s">
        <v>71</v>
      </c>
      <c r="H122" s="6">
        <v>42437.714756944442</v>
      </c>
    </row>
    <row r="123" spans="1:8" x14ac:dyDescent="0.2">
      <c r="A123" t="s">
        <v>4537</v>
      </c>
      <c r="B123" t="s">
        <v>2884</v>
      </c>
      <c r="C123" t="s">
        <v>4534</v>
      </c>
      <c r="D123" s="6">
        <v>42437.636481481481</v>
      </c>
      <c r="E123" s="8" t="s">
        <v>2885</v>
      </c>
      <c r="F123" s="8">
        <v>56241</v>
      </c>
      <c r="G123" t="s">
        <v>71</v>
      </c>
      <c r="H123" s="6">
        <v>42437.636863425927</v>
      </c>
    </row>
    <row r="124" spans="1:8" x14ac:dyDescent="0.2">
      <c r="A124" t="s">
        <v>4538</v>
      </c>
      <c r="B124" t="s">
        <v>2880</v>
      </c>
      <c r="C124" t="s">
        <v>4539</v>
      </c>
      <c r="D124" s="6">
        <v>42470.684155092589</v>
      </c>
      <c r="E124" s="8" t="s">
        <v>2881</v>
      </c>
      <c r="F124" s="8">
        <v>60372</v>
      </c>
      <c r="G124" t="s">
        <v>71</v>
      </c>
      <c r="H124" s="6">
        <v>42470.684027777781</v>
      </c>
    </row>
    <row r="125" spans="1:8" x14ac:dyDescent="0.2">
      <c r="A125" t="s">
        <v>4540</v>
      </c>
      <c r="B125" t="s">
        <v>2884</v>
      </c>
      <c r="C125" t="s">
        <v>4539</v>
      </c>
      <c r="D125" s="6">
        <v>42470.674097222225</v>
      </c>
      <c r="E125" s="8" t="s">
        <v>2885</v>
      </c>
      <c r="F125" s="8">
        <v>3284191</v>
      </c>
      <c r="G125" t="s">
        <v>71</v>
      </c>
      <c r="H125" s="6">
        <v>42470.674016203702</v>
      </c>
    </row>
    <row r="126" spans="1:8" x14ac:dyDescent="0.2">
      <c r="A126" t="s">
        <v>4541</v>
      </c>
      <c r="B126" t="s">
        <v>2884</v>
      </c>
      <c r="C126" t="s">
        <v>4539</v>
      </c>
      <c r="D126" s="6">
        <v>42480.709444444445</v>
      </c>
      <c r="E126" s="8" t="s">
        <v>2885</v>
      </c>
      <c r="F126" s="8">
        <v>252252</v>
      </c>
      <c r="G126" t="s">
        <v>71</v>
      </c>
      <c r="H126" s="6">
        <v>42480.709733796299</v>
      </c>
    </row>
    <row r="127" spans="1:8" x14ac:dyDescent="0.2">
      <c r="A127" t="s">
        <v>4542</v>
      </c>
      <c r="B127" t="s">
        <v>2884</v>
      </c>
      <c r="C127" t="s">
        <v>4539</v>
      </c>
      <c r="D127" s="6">
        <v>42470.677465277775</v>
      </c>
      <c r="E127" s="8" t="s">
        <v>2885</v>
      </c>
      <c r="F127" s="8">
        <v>137039</v>
      </c>
      <c r="G127" t="s">
        <v>71</v>
      </c>
      <c r="H127" s="6">
        <v>42470.677465277775</v>
      </c>
    </row>
    <row r="128" spans="1:8" x14ac:dyDescent="0.2">
      <c r="D128" s="6"/>
      <c r="H128" s="6">
        <v>42488.643923611111</v>
      </c>
    </row>
    <row r="129" spans="4:8" x14ac:dyDescent="0.2">
      <c r="D129" s="6"/>
      <c r="H129" s="6">
        <v>42488.644004629627</v>
      </c>
    </row>
    <row r="130" spans="4:8" x14ac:dyDescent="0.2">
      <c r="D130" s="6"/>
      <c r="H130" s="6">
        <v>42488.644120370373</v>
      </c>
    </row>
    <row r="131" spans="4:8" x14ac:dyDescent="0.2">
      <c r="D131" s="6"/>
      <c r="H131" s="6">
        <v>42488.644247685188</v>
      </c>
    </row>
    <row r="132" spans="4:8" x14ac:dyDescent="0.2">
      <c r="D132" s="6"/>
      <c r="H132" s="6">
        <v>42488.64434027778</v>
      </c>
    </row>
    <row r="133" spans="4:8" x14ac:dyDescent="0.2">
      <c r="D133" s="6"/>
      <c r="H133" s="6">
        <v>42488.644826388889</v>
      </c>
    </row>
    <row r="134" spans="4:8" x14ac:dyDescent="0.2">
      <c r="D134" s="6"/>
      <c r="H134" s="6">
        <v>42488.644942129627</v>
      </c>
    </row>
    <row r="135" spans="4:8" x14ac:dyDescent="0.2">
      <c r="D135" s="6"/>
      <c r="H135" s="6">
        <v>42488.645092592589</v>
      </c>
    </row>
    <row r="136" spans="4:8" x14ac:dyDescent="0.2">
      <c r="D136" s="6"/>
      <c r="H136" s="6">
        <v>42488.645173611112</v>
      </c>
    </row>
    <row r="137" spans="4:8" x14ac:dyDescent="0.2">
      <c r="D137" s="6"/>
      <c r="H137" s="6">
        <v>42488.645266203705</v>
      </c>
    </row>
    <row r="138" spans="4:8" x14ac:dyDescent="0.2">
      <c r="D138" s="6"/>
      <c r="H138" s="6">
        <v>42488.645358796297</v>
      </c>
    </row>
    <row r="139" spans="4:8" x14ac:dyDescent="0.2">
      <c r="D139" s="6"/>
      <c r="H139" s="6">
        <v>42488.645497685182</v>
      </c>
    </row>
    <row r="140" spans="4:8" x14ac:dyDescent="0.2">
      <c r="D140" s="6"/>
      <c r="H140" s="6">
        <v>42488.645590277774</v>
      </c>
    </row>
    <row r="141" spans="4:8" x14ac:dyDescent="0.2">
      <c r="D141" s="6"/>
      <c r="H141" s="6">
        <v>42488.645682870374</v>
      </c>
    </row>
    <row r="142" spans="4:8" x14ac:dyDescent="0.2">
      <c r="D142" s="6"/>
      <c r="H142" s="6">
        <v>42488.645844907405</v>
      </c>
    </row>
    <row r="143" spans="4:8" x14ac:dyDescent="0.2">
      <c r="D143" s="6"/>
      <c r="H143" s="6">
        <v>42488.645995370367</v>
      </c>
    </row>
    <row r="144" spans="4:8" x14ac:dyDescent="0.2">
      <c r="D144" s="6"/>
      <c r="H144" s="6">
        <v>42488.643379629626</v>
      </c>
    </row>
    <row r="145" spans="4:8" x14ac:dyDescent="0.2">
      <c r="D145" s="6"/>
      <c r="H145" s="6">
        <v>42488.649861111109</v>
      </c>
    </row>
    <row r="146" spans="4:8" x14ac:dyDescent="0.2">
      <c r="D146" s="6"/>
      <c r="H146" s="6">
        <v>42488.649861111109</v>
      </c>
    </row>
    <row r="147" spans="4:8" x14ac:dyDescent="0.2">
      <c r="D147" s="6"/>
      <c r="H147" s="6">
        <v>42488.649861111109</v>
      </c>
    </row>
    <row r="148" spans="4:8" x14ac:dyDescent="0.2">
      <c r="D148" s="6"/>
      <c r="H148" s="6">
        <v>42488.649861111109</v>
      </c>
    </row>
    <row r="149" spans="4:8" x14ac:dyDescent="0.2">
      <c r="D149" s="6"/>
      <c r="H149" s="6">
        <v>42488.649861111109</v>
      </c>
    </row>
    <row r="150" spans="4:8" x14ac:dyDescent="0.2">
      <c r="D150" s="6"/>
      <c r="H150" s="6">
        <v>42488.649861111109</v>
      </c>
    </row>
    <row r="151" spans="4:8" x14ac:dyDescent="0.2">
      <c r="D151" s="6"/>
      <c r="H151" s="6">
        <v>42488.649861111109</v>
      </c>
    </row>
    <row r="152" spans="4:8" x14ac:dyDescent="0.2">
      <c r="D152" s="6"/>
      <c r="H152" s="6">
        <v>42488.649861111109</v>
      </c>
    </row>
    <row r="153" spans="4:8" x14ac:dyDescent="0.2">
      <c r="D153" s="6"/>
      <c r="H153" s="6">
        <v>42488.649861111109</v>
      </c>
    </row>
    <row r="154" spans="4:8" x14ac:dyDescent="0.2">
      <c r="D154" s="6"/>
      <c r="H154" s="6">
        <v>42488.649861111109</v>
      </c>
    </row>
    <row r="155" spans="4:8" x14ac:dyDescent="0.2">
      <c r="D155" s="6"/>
      <c r="H155" s="6">
        <v>42488.649861111109</v>
      </c>
    </row>
    <row r="156" spans="4:8" x14ac:dyDescent="0.2">
      <c r="D156" s="6"/>
      <c r="H156" s="6">
        <v>42488.649861111109</v>
      </c>
    </row>
    <row r="157" spans="4:8" x14ac:dyDescent="0.2">
      <c r="D157" s="6"/>
      <c r="H157" s="6">
        <v>42488.649861111109</v>
      </c>
    </row>
    <row r="158" spans="4:8" x14ac:dyDescent="0.2">
      <c r="D158" s="6"/>
      <c r="H158" s="6">
        <v>42488.649861111109</v>
      </c>
    </row>
    <row r="159" spans="4:8" x14ac:dyDescent="0.2">
      <c r="D159" s="6"/>
      <c r="H159" s="6">
        <v>42488.649872685186</v>
      </c>
    </row>
    <row r="160" spans="4:8" x14ac:dyDescent="0.2">
      <c r="D160" s="6"/>
      <c r="H160" s="6">
        <v>42488.650509259256</v>
      </c>
    </row>
    <row r="161" spans="4:8" x14ac:dyDescent="0.2">
      <c r="D161" s="6"/>
      <c r="H161" s="6">
        <v>42488.650509259256</v>
      </c>
    </row>
    <row r="162" spans="4:8" x14ac:dyDescent="0.2">
      <c r="D162" s="6"/>
      <c r="H162" s="6">
        <v>42488.650509259256</v>
      </c>
    </row>
    <row r="163" spans="4:8" x14ac:dyDescent="0.2">
      <c r="D163" s="6"/>
      <c r="H163" s="6">
        <v>42488.650509259256</v>
      </c>
    </row>
    <row r="164" spans="4:8" x14ac:dyDescent="0.2">
      <c r="D164" s="6"/>
      <c r="H164" s="6">
        <v>42488.650509259256</v>
      </c>
    </row>
    <row r="165" spans="4:8" x14ac:dyDescent="0.2">
      <c r="D165" s="6"/>
      <c r="H165" s="6">
        <v>42488.651828703703</v>
      </c>
    </row>
    <row r="166" spans="4:8" x14ac:dyDescent="0.2">
      <c r="D166" s="6"/>
      <c r="H166" s="6">
        <v>42488.651828703703</v>
      </c>
    </row>
    <row r="167" spans="4:8" x14ac:dyDescent="0.2">
      <c r="D167" s="6"/>
      <c r="H167" s="6">
        <v>42488.651828703703</v>
      </c>
    </row>
    <row r="168" spans="4:8" x14ac:dyDescent="0.2">
      <c r="D168" s="6"/>
      <c r="H168" s="6">
        <v>42488.651828703703</v>
      </c>
    </row>
    <row r="169" spans="4:8" x14ac:dyDescent="0.2">
      <c r="D169" s="6"/>
      <c r="H169" s="6">
        <v>42488.651828703703</v>
      </c>
    </row>
    <row r="170" spans="4:8" x14ac:dyDescent="0.2">
      <c r="D170" s="6"/>
      <c r="H170" s="6">
        <v>42488.651875000003</v>
      </c>
    </row>
    <row r="171" spans="4:8" x14ac:dyDescent="0.2">
      <c r="D171" s="6"/>
      <c r="H171" s="6">
        <v>42488.651875000003</v>
      </c>
    </row>
    <row r="172" spans="4:8" x14ac:dyDescent="0.2">
      <c r="D172" s="6"/>
      <c r="H172" s="6">
        <v>42488.651875000003</v>
      </c>
    </row>
    <row r="173" spans="4:8" x14ac:dyDescent="0.2">
      <c r="D173" s="6"/>
      <c r="H173" s="6">
        <v>42488.650509259256</v>
      </c>
    </row>
    <row r="174" spans="4:8" x14ac:dyDescent="0.2">
      <c r="D174" s="6"/>
      <c r="H174" s="6">
        <v>42488.650509259256</v>
      </c>
    </row>
    <row r="175" spans="4:8" x14ac:dyDescent="0.2">
      <c r="D175" s="6"/>
      <c r="H175" s="6">
        <v>42488.650509259256</v>
      </c>
    </row>
    <row r="176" spans="4:8" x14ac:dyDescent="0.2">
      <c r="D176" s="6"/>
      <c r="H176" s="6">
        <v>42488.650520833333</v>
      </c>
    </row>
    <row r="177" spans="4:8" x14ac:dyDescent="0.2">
      <c r="D177" s="6"/>
      <c r="H177" s="6">
        <v>42493.443101851852</v>
      </c>
    </row>
    <row r="178" spans="4:8" x14ac:dyDescent="0.2">
      <c r="D178" s="6"/>
      <c r="H178" s="6">
        <v>42488.650520833333</v>
      </c>
    </row>
    <row r="179" spans="4:8" x14ac:dyDescent="0.2">
      <c r="D179" s="6"/>
      <c r="H179" s="6">
        <v>42488.650520833333</v>
      </c>
    </row>
    <row r="180" spans="4:8" x14ac:dyDescent="0.2">
      <c r="D180" s="6"/>
      <c r="H180" s="6">
        <v>42488.650520833333</v>
      </c>
    </row>
    <row r="181" spans="4:8" x14ac:dyDescent="0.2">
      <c r="D181" s="6"/>
      <c r="H181" s="6">
        <v>42488.650520833333</v>
      </c>
    </row>
    <row r="182" spans="4:8" x14ac:dyDescent="0.2">
      <c r="D182" s="6"/>
      <c r="H182" s="6">
        <v>42488.65053240741</v>
      </c>
    </row>
    <row r="183" spans="4:8" x14ac:dyDescent="0.2">
      <c r="D183" s="6"/>
      <c r="H183" s="6">
        <v>42488.65053240741</v>
      </c>
    </row>
    <row r="184" spans="4:8" x14ac:dyDescent="0.2">
      <c r="D184" s="6"/>
      <c r="H184" s="6">
        <v>42488.65053240741</v>
      </c>
    </row>
    <row r="185" spans="4:8" x14ac:dyDescent="0.2">
      <c r="D185" s="6"/>
      <c r="H185" s="6">
        <v>42488.65053240741</v>
      </c>
    </row>
    <row r="186" spans="4:8" x14ac:dyDescent="0.2">
      <c r="D186" s="6"/>
      <c r="H186" s="6">
        <v>42488.650543981479</v>
      </c>
    </row>
    <row r="187" spans="4:8" x14ac:dyDescent="0.2">
      <c r="D187" s="6"/>
      <c r="H187" s="6">
        <v>42488.650543981479</v>
      </c>
    </row>
    <row r="188" spans="4:8" x14ac:dyDescent="0.2">
      <c r="D188" s="6"/>
      <c r="H188" s="6">
        <v>42488.650543981479</v>
      </c>
    </row>
    <row r="189" spans="4:8" x14ac:dyDescent="0.2">
      <c r="D189" s="6"/>
      <c r="H189" s="6">
        <v>42488.650543981479</v>
      </c>
    </row>
    <row r="190" spans="4:8" x14ac:dyDescent="0.2">
      <c r="D190" s="6"/>
      <c r="H190" s="6">
        <v>42488.651562500003</v>
      </c>
    </row>
    <row r="191" spans="4:8" x14ac:dyDescent="0.2">
      <c r="D191" s="6"/>
      <c r="H191" s="6">
        <v>42488.729942129627</v>
      </c>
    </row>
    <row r="192" spans="4:8" x14ac:dyDescent="0.2">
      <c r="D192" s="6"/>
      <c r="H192" s="6">
        <v>42488.730115740742</v>
      </c>
    </row>
    <row r="193" spans="4:8" x14ac:dyDescent="0.2">
      <c r="D193" s="6"/>
      <c r="H193" s="6">
        <v>42493.429143518515</v>
      </c>
    </row>
    <row r="194" spans="4:8" x14ac:dyDescent="0.2">
      <c r="D194" s="6"/>
      <c r="H194" s="6">
        <v>42493.429155092592</v>
      </c>
    </row>
    <row r="195" spans="4:8" x14ac:dyDescent="0.2">
      <c r="D195" s="6"/>
      <c r="H195" s="6">
        <v>42493.429166666669</v>
      </c>
    </row>
    <row r="196" spans="4:8" x14ac:dyDescent="0.2">
      <c r="D196" s="6"/>
      <c r="H196" s="6">
        <v>42493.429178240738</v>
      </c>
    </row>
    <row r="197" spans="4:8" x14ac:dyDescent="0.2">
      <c r="D197" s="6"/>
      <c r="H197" s="6">
        <v>42493.429189814815</v>
      </c>
    </row>
    <row r="198" spans="4:8" x14ac:dyDescent="0.2">
      <c r="D198" s="6"/>
      <c r="H198" s="6">
        <v>42493.429247685184</v>
      </c>
    </row>
    <row r="199" spans="4:8" x14ac:dyDescent="0.2">
      <c r="D199" s="6"/>
      <c r="H199" s="6">
        <v>42493.429270833331</v>
      </c>
    </row>
    <row r="200" spans="4:8" x14ac:dyDescent="0.2">
      <c r="D200" s="6"/>
      <c r="H200" s="6">
        <v>42493.429282407407</v>
      </c>
    </row>
    <row r="201" spans="4:8" x14ac:dyDescent="0.2">
      <c r="D201" s="6"/>
      <c r="H201" s="6">
        <v>42493.429340277777</v>
      </c>
    </row>
    <row r="202" spans="4:8" x14ac:dyDescent="0.2">
      <c r="D202" s="6"/>
      <c r="H202" s="6">
        <v>42493.429363425923</v>
      </c>
    </row>
    <row r="203" spans="4:8" x14ac:dyDescent="0.2">
      <c r="D203" s="6"/>
      <c r="H203" s="6">
        <v>42493.429363425923</v>
      </c>
    </row>
    <row r="204" spans="4:8" x14ac:dyDescent="0.2">
      <c r="D204" s="6"/>
      <c r="H204" s="6">
        <v>42493.429386574076</v>
      </c>
    </row>
    <row r="205" spans="4:8" x14ac:dyDescent="0.2">
      <c r="D205" s="6"/>
      <c r="H205" s="6">
        <v>42493.429456018515</v>
      </c>
    </row>
    <row r="206" spans="4:8" x14ac:dyDescent="0.2">
      <c r="D206" s="6"/>
      <c r="H206" s="6">
        <v>42493.429456018515</v>
      </c>
    </row>
    <row r="207" spans="4:8" x14ac:dyDescent="0.2">
      <c r="D207" s="6"/>
      <c r="H207" s="6">
        <v>42493.429467592592</v>
      </c>
    </row>
    <row r="208" spans="4:8" x14ac:dyDescent="0.2">
      <c r="D208" s="6"/>
      <c r="H208" s="6">
        <v>42493.429479166669</v>
      </c>
    </row>
    <row r="209" spans="4:8" x14ac:dyDescent="0.2">
      <c r="D209" s="6"/>
      <c r="H209" s="6">
        <v>42493.429490740738</v>
      </c>
    </row>
    <row r="210" spans="4:8" x14ac:dyDescent="0.2">
      <c r="D210" s="6"/>
      <c r="H210" s="6">
        <v>42493.4296412037</v>
      </c>
    </row>
    <row r="211" spans="4:8" x14ac:dyDescent="0.2">
      <c r="D211" s="6"/>
      <c r="H211" s="6">
        <v>42493.429675925923</v>
      </c>
    </row>
    <row r="212" spans="4:8" x14ac:dyDescent="0.2">
      <c r="D212" s="6"/>
      <c r="H212" s="6">
        <v>42493.429699074077</v>
      </c>
    </row>
    <row r="213" spans="4:8" x14ac:dyDescent="0.2">
      <c r="D213" s="6"/>
      <c r="H213" s="6">
        <v>42493.429699074077</v>
      </c>
    </row>
    <row r="214" spans="4:8" x14ac:dyDescent="0.2">
      <c r="D214" s="6"/>
      <c r="H214" s="6">
        <v>42493.429722222223</v>
      </c>
    </row>
    <row r="215" spans="4:8" x14ac:dyDescent="0.2">
      <c r="D215" s="6"/>
      <c r="H215" s="6">
        <v>42493.429745370369</v>
      </c>
    </row>
    <row r="216" spans="4:8" x14ac:dyDescent="0.2">
      <c r="D216" s="6"/>
      <c r="H216" s="6">
        <v>42493.429756944446</v>
      </c>
    </row>
    <row r="217" spans="4:8" x14ac:dyDescent="0.2">
      <c r="D217" s="6"/>
      <c r="H217" s="6">
        <v>42493.430081018516</v>
      </c>
    </row>
    <row r="218" spans="4:8" x14ac:dyDescent="0.2">
      <c r="D218" s="6"/>
      <c r="H218" s="6">
        <v>42493.430138888885</v>
      </c>
    </row>
    <row r="219" spans="4:8" x14ac:dyDescent="0.2">
      <c r="D219" s="6"/>
      <c r="H219" s="6">
        <v>42493.430231481485</v>
      </c>
    </row>
    <row r="220" spans="4:8" x14ac:dyDescent="0.2">
      <c r="D220" s="6"/>
      <c r="H220" s="6">
        <v>42493.43037037037</v>
      </c>
    </row>
    <row r="221" spans="4:8" x14ac:dyDescent="0.2">
      <c r="D221" s="6"/>
      <c r="H221" s="6">
        <v>42493.430393518516</v>
      </c>
    </row>
    <row r="222" spans="4:8" x14ac:dyDescent="0.2">
      <c r="D222" s="6"/>
      <c r="H222" s="6">
        <v>42493.430393518516</v>
      </c>
    </row>
    <row r="223" spans="4:8" x14ac:dyDescent="0.2">
      <c r="D223" s="6"/>
      <c r="H223" s="6">
        <v>42493.430405092593</v>
      </c>
    </row>
    <row r="224" spans="4:8" x14ac:dyDescent="0.2">
      <c r="D224" s="6"/>
      <c r="H224" s="6">
        <v>42493.430405092593</v>
      </c>
    </row>
    <row r="225" spans="4:8" x14ac:dyDescent="0.2">
      <c r="D225" s="6"/>
      <c r="H225" s="6">
        <v>42493.430405092593</v>
      </c>
    </row>
    <row r="226" spans="4:8" x14ac:dyDescent="0.2">
      <c r="D226" s="6"/>
      <c r="H226" s="6">
        <v>42493.430405092593</v>
      </c>
    </row>
    <row r="227" spans="4:8" x14ac:dyDescent="0.2">
      <c r="D227" s="6"/>
      <c r="H227" s="6">
        <v>42493.43041666667</v>
      </c>
    </row>
    <row r="228" spans="4:8" x14ac:dyDescent="0.2">
      <c r="D228" s="6"/>
      <c r="H228" s="6">
        <v>42493.43041666667</v>
      </c>
    </row>
    <row r="229" spans="4:8" x14ac:dyDescent="0.2">
      <c r="D229" s="6"/>
      <c r="H229" s="6">
        <v>42493.43041666667</v>
      </c>
    </row>
    <row r="230" spans="4:8" x14ac:dyDescent="0.2">
      <c r="D230" s="6"/>
      <c r="H230" s="6">
        <v>42493.43041666667</v>
      </c>
    </row>
    <row r="231" spans="4:8" x14ac:dyDescent="0.2">
      <c r="D231" s="6"/>
      <c r="H231" s="6">
        <v>42493.430428240739</v>
      </c>
    </row>
    <row r="232" spans="4:8" x14ac:dyDescent="0.2">
      <c r="D232" s="6"/>
      <c r="H232" s="6">
        <v>42493.430428240739</v>
      </c>
    </row>
    <row r="233" spans="4:8" x14ac:dyDescent="0.2">
      <c r="D233" s="6"/>
      <c r="H233" s="6">
        <v>42493.430439814816</v>
      </c>
    </row>
    <row r="234" spans="4:8" x14ac:dyDescent="0.2">
      <c r="D234" s="6"/>
      <c r="H234" s="6">
        <v>42493.430439814816</v>
      </c>
    </row>
    <row r="235" spans="4:8" x14ac:dyDescent="0.2">
      <c r="D235" s="6"/>
      <c r="H235" s="6">
        <v>42493.430439814816</v>
      </c>
    </row>
    <row r="236" spans="4:8" x14ac:dyDescent="0.2">
      <c r="D236" s="6"/>
      <c r="H236" s="6">
        <v>42493.430451388886</v>
      </c>
    </row>
    <row r="237" spans="4:8" x14ac:dyDescent="0.2">
      <c r="D237" s="6"/>
      <c r="H237" s="6">
        <v>42493.430474537039</v>
      </c>
    </row>
    <row r="238" spans="4:8" x14ac:dyDescent="0.2">
      <c r="D238" s="6"/>
      <c r="H238" s="6">
        <v>42493.430474537039</v>
      </c>
    </row>
    <row r="239" spans="4:8" x14ac:dyDescent="0.2">
      <c r="D239" s="6"/>
      <c r="H239" s="6">
        <v>42493.430486111109</v>
      </c>
    </row>
    <row r="240" spans="4:8" x14ac:dyDescent="0.2">
      <c r="D240" s="6"/>
      <c r="H240" s="6">
        <v>42493.430486111109</v>
      </c>
    </row>
    <row r="241" spans="4:8" x14ac:dyDescent="0.2">
      <c r="D241" s="6"/>
      <c r="H241" s="6">
        <v>42493.430497685185</v>
      </c>
    </row>
    <row r="242" spans="4:8" x14ac:dyDescent="0.2">
      <c r="D242" s="6"/>
      <c r="H242" s="6">
        <v>42493.430497685185</v>
      </c>
    </row>
    <row r="243" spans="4:8" x14ac:dyDescent="0.2">
      <c r="D243" s="6"/>
      <c r="H243" s="6">
        <v>42493.430497685185</v>
      </c>
    </row>
    <row r="244" spans="4:8" x14ac:dyDescent="0.2">
      <c r="D244" s="6"/>
      <c r="H244" s="6">
        <v>42493.430497685185</v>
      </c>
    </row>
    <row r="245" spans="4:8" x14ac:dyDescent="0.2">
      <c r="D245" s="6"/>
      <c r="H245" s="6">
        <v>42493.430509259262</v>
      </c>
    </row>
    <row r="246" spans="4:8" x14ac:dyDescent="0.2">
      <c r="D246" s="6"/>
      <c r="H246" s="6">
        <v>42493.430509259262</v>
      </c>
    </row>
    <row r="247" spans="4:8" x14ac:dyDescent="0.2">
      <c r="D247" s="6"/>
      <c r="H247" s="6">
        <v>42493.430509259262</v>
      </c>
    </row>
    <row r="248" spans="4:8" x14ac:dyDescent="0.2">
      <c r="D248" s="6"/>
      <c r="H248" s="6">
        <v>42493.430509259262</v>
      </c>
    </row>
    <row r="249" spans="4:8" x14ac:dyDescent="0.2">
      <c r="D249" s="6"/>
      <c r="H249" s="6">
        <v>42493.430520833332</v>
      </c>
    </row>
    <row r="250" spans="4:8" x14ac:dyDescent="0.2">
      <c r="D250" s="6"/>
      <c r="H250" s="6">
        <v>42493.430520833332</v>
      </c>
    </row>
    <row r="251" spans="4:8" x14ac:dyDescent="0.2">
      <c r="D251" s="6"/>
      <c r="H251" s="6">
        <v>42493.430520833332</v>
      </c>
    </row>
    <row r="252" spans="4:8" x14ac:dyDescent="0.2">
      <c r="D252" s="6"/>
      <c r="H252" s="6">
        <v>42493.430532407408</v>
      </c>
    </row>
    <row r="253" spans="4:8" x14ac:dyDescent="0.2">
      <c r="D253" s="6"/>
      <c r="H253" s="6">
        <v>42493.430543981478</v>
      </c>
    </row>
    <row r="254" spans="4:8" x14ac:dyDescent="0.2">
      <c r="D254" s="6"/>
      <c r="H254" s="6">
        <v>42493.430543981478</v>
      </c>
    </row>
    <row r="255" spans="4:8" x14ac:dyDescent="0.2">
      <c r="D255" s="6"/>
      <c r="H255" s="6">
        <v>42493.430567129632</v>
      </c>
    </row>
    <row r="256" spans="4:8" x14ac:dyDescent="0.2">
      <c r="D256" s="6"/>
      <c r="H256" s="6">
        <v>42493.430567129632</v>
      </c>
    </row>
    <row r="257" spans="4:8" x14ac:dyDescent="0.2">
      <c r="D257" s="6"/>
      <c r="H257" s="6">
        <v>42493.430578703701</v>
      </c>
    </row>
    <row r="258" spans="4:8" x14ac:dyDescent="0.2">
      <c r="D258" s="6"/>
      <c r="H258" s="6">
        <v>42493.430590277778</v>
      </c>
    </row>
    <row r="259" spans="4:8" x14ac:dyDescent="0.2">
      <c r="D259" s="6"/>
      <c r="H259" s="6">
        <v>42493.430601851855</v>
      </c>
    </row>
    <row r="260" spans="4:8" x14ac:dyDescent="0.2">
      <c r="D260" s="6"/>
      <c r="H260" s="6">
        <v>42493.430601851855</v>
      </c>
    </row>
    <row r="261" spans="4:8" x14ac:dyDescent="0.2">
      <c r="D261" s="6"/>
      <c r="H261" s="6">
        <v>42493.430613425924</v>
      </c>
    </row>
    <row r="262" spans="4:8" x14ac:dyDescent="0.2">
      <c r="D262" s="6"/>
      <c r="H262" s="6">
        <v>42493.430625000001</v>
      </c>
    </row>
    <row r="263" spans="4:8" x14ac:dyDescent="0.2">
      <c r="D263" s="6"/>
      <c r="H263" s="6">
        <v>42493.430625000001</v>
      </c>
    </row>
    <row r="264" spans="4:8" x14ac:dyDescent="0.2">
      <c r="D264" s="6"/>
      <c r="H264" s="6">
        <v>42493.430636574078</v>
      </c>
    </row>
    <row r="265" spans="4:8" x14ac:dyDescent="0.2">
      <c r="D265" s="6"/>
      <c r="H265" s="6">
        <v>42493.430636574078</v>
      </c>
    </row>
    <row r="266" spans="4:8" x14ac:dyDescent="0.2">
      <c r="D266" s="6"/>
      <c r="H266" s="6">
        <v>42493.430636574078</v>
      </c>
    </row>
    <row r="267" spans="4:8" x14ac:dyDescent="0.2">
      <c r="D267" s="6"/>
      <c r="H267" s="6">
        <v>42493.430636574078</v>
      </c>
    </row>
    <row r="268" spans="4:8" x14ac:dyDescent="0.2">
      <c r="D268" s="6"/>
      <c r="H268" s="6">
        <v>42493.430636574078</v>
      </c>
    </row>
    <row r="269" spans="4:8" x14ac:dyDescent="0.2">
      <c r="D269" s="6"/>
      <c r="H269" s="6">
        <v>42493.430648148147</v>
      </c>
    </row>
    <row r="270" spans="4:8" x14ac:dyDescent="0.2">
      <c r="D270" s="6"/>
      <c r="H270" s="6">
        <v>42493.430648148147</v>
      </c>
    </row>
    <row r="271" spans="4:8" x14ac:dyDescent="0.2">
      <c r="D271" s="6"/>
      <c r="H271" s="6">
        <v>42493.430648148147</v>
      </c>
    </row>
    <row r="272" spans="4:8" x14ac:dyDescent="0.2">
      <c r="D272" s="6"/>
      <c r="H272" s="6">
        <v>42493.430648148147</v>
      </c>
    </row>
    <row r="273" spans="1:8" x14ac:dyDescent="0.2">
      <c r="D273" s="6"/>
      <c r="H273" s="6">
        <v>42493.430648148147</v>
      </c>
    </row>
    <row r="274" spans="1:8" x14ac:dyDescent="0.2">
      <c r="D274" s="6"/>
      <c r="H274" s="6">
        <v>42493.430648148147</v>
      </c>
    </row>
    <row r="275" spans="1:8" x14ac:dyDescent="0.2">
      <c r="D275" s="6"/>
      <c r="H275" s="6">
        <v>42493.430659722224</v>
      </c>
    </row>
    <row r="276" spans="1:8" x14ac:dyDescent="0.2">
      <c r="D276" s="6"/>
      <c r="H276" s="6">
        <v>42493.43072916667</v>
      </c>
    </row>
    <row r="277" spans="1:8" x14ac:dyDescent="0.2">
      <c r="D277" s="6"/>
      <c r="H277" s="6">
        <v>42493.43072916667</v>
      </c>
    </row>
    <row r="278" spans="1:8" x14ac:dyDescent="0.2">
      <c r="D278" s="6"/>
      <c r="H278" s="6">
        <v>42493.43074074074</v>
      </c>
    </row>
    <row r="279" spans="1:8" x14ac:dyDescent="0.2">
      <c r="D279" s="6"/>
      <c r="H279" s="6">
        <v>42493.43074074074</v>
      </c>
    </row>
    <row r="280" spans="1:8" x14ac:dyDescent="0.2">
      <c r="D280" s="6"/>
      <c r="H280" s="6">
        <v>42493.43074074074</v>
      </c>
    </row>
    <row r="281" spans="1:8" x14ac:dyDescent="0.2">
      <c r="D281" s="6"/>
      <c r="H281" s="6">
        <v>42493.43074074074</v>
      </c>
    </row>
    <row r="282" spans="1:8" x14ac:dyDescent="0.2">
      <c r="D282" s="6"/>
      <c r="H282" s="6">
        <v>42493.430752314816</v>
      </c>
    </row>
    <row r="283" spans="1:8" x14ac:dyDescent="0.2">
      <c r="D283" s="6"/>
      <c r="H283" s="6">
        <v>42493.430752314816</v>
      </c>
    </row>
    <row r="284" spans="1:8" x14ac:dyDescent="0.2">
      <c r="D284" s="6"/>
      <c r="H284" s="6">
        <v>42493.430752314816</v>
      </c>
    </row>
    <row r="285" spans="1:8" x14ac:dyDescent="0.2">
      <c r="D285" s="6"/>
      <c r="H285" s="6">
        <v>42493.430752314816</v>
      </c>
    </row>
    <row r="286" spans="1:8" x14ac:dyDescent="0.2">
      <c r="D286" s="6"/>
      <c r="H286" s="6">
        <v>42493.430752314816</v>
      </c>
    </row>
    <row r="287" spans="1:8" x14ac:dyDescent="0.2">
      <c r="D287" s="6"/>
      <c r="H287" s="6">
        <v>42493.430752314816</v>
      </c>
    </row>
    <row r="288" spans="1:8" x14ac:dyDescent="0.2">
      <c r="A288" s="15"/>
      <c r="D288" s="6"/>
      <c r="H288" s="6">
        <v>42493.430752314816</v>
      </c>
    </row>
    <row r="289" spans="1:8" x14ac:dyDescent="0.2">
      <c r="A289" s="15"/>
      <c r="D289" s="6"/>
      <c r="H289" s="6">
        <v>42493.430763888886</v>
      </c>
    </row>
    <row r="290" spans="1:8" x14ac:dyDescent="0.2">
      <c r="D290" s="6"/>
      <c r="H290" s="6">
        <v>42493.430763888886</v>
      </c>
    </row>
    <row r="291" spans="1:8" x14ac:dyDescent="0.2">
      <c r="D291" s="6"/>
      <c r="H291" s="6">
        <v>42493.430763888886</v>
      </c>
    </row>
    <row r="292" spans="1:8" x14ac:dyDescent="0.2">
      <c r="D292" s="6"/>
      <c r="H292" s="6">
        <v>42493.430763888886</v>
      </c>
    </row>
    <row r="293" spans="1:8" x14ac:dyDescent="0.2">
      <c r="D293" s="6"/>
      <c r="H293" s="6">
        <v>42493.430763888886</v>
      </c>
    </row>
    <row r="294" spans="1:8" x14ac:dyDescent="0.2">
      <c r="D294" s="6"/>
      <c r="H294" s="6">
        <v>42493.430763888886</v>
      </c>
    </row>
    <row r="295" spans="1:8" x14ac:dyDescent="0.2">
      <c r="D295" s="6"/>
      <c r="H295" s="6">
        <v>42493.430763888886</v>
      </c>
    </row>
    <row r="296" spans="1:8" x14ac:dyDescent="0.2">
      <c r="D296" s="6"/>
      <c r="H296" s="6">
        <v>42493.430763888886</v>
      </c>
    </row>
    <row r="297" spans="1:8" x14ac:dyDescent="0.2">
      <c r="D297" s="6"/>
      <c r="H297" s="6">
        <v>42493.430810185186</v>
      </c>
    </row>
    <row r="298" spans="1:8" x14ac:dyDescent="0.2">
      <c r="D298" s="6"/>
      <c r="H298" s="6">
        <v>42493.430821759262</v>
      </c>
    </row>
    <row r="299" spans="1:8" x14ac:dyDescent="0.2">
      <c r="D299" s="6"/>
      <c r="H299" s="6">
        <v>42493.430821759262</v>
      </c>
    </row>
    <row r="300" spans="1:8" x14ac:dyDescent="0.2">
      <c r="D300" s="6"/>
      <c r="H300" s="6">
        <v>42493.430821759262</v>
      </c>
    </row>
    <row r="301" spans="1:8" x14ac:dyDescent="0.2">
      <c r="D301" s="6"/>
      <c r="H301" s="6">
        <v>42493.430833333332</v>
      </c>
    </row>
    <row r="302" spans="1:8" x14ac:dyDescent="0.2">
      <c r="D302" s="6"/>
      <c r="H302" s="6">
        <v>42493.430833333332</v>
      </c>
    </row>
    <row r="303" spans="1:8" x14ac:dyDescent="0.2">
      <c r="D303" s="6"/>
      <c r="H303" s="6">
        <v>42493.430833333332</v>
      </c>
    </row>
    <row r="304" spans="1:8" x14ac:dyDescent="0.2">
      <c r="D304" s="6"/>
      <c r="H304" s="6">
        <v>42493.430833333332</v>
      </c>
    </row>
    <row r="305" spans="4:8" x14ac:dyDescent="0.2">
      <c r="D305" s="6"/>
      <c r="H305" s="6">
        <v>42493.430833333332</v>
      </c>
    </row>
    <row r="306" spans="4:8" x14ac:dyDescent="0.2">
      <c r="D306" s="6"/>
      <c r="H306" s="6">
        <v>42493.430833333332</v>
      </c>
    </row>
    <row r="307" spans="4:8" x14ac:dyDescent="0.2">
      <c r="D307" s="6"/>
      <c r="H307" s="6">
        <v>42493.430833333332</v>
      </c>
    </row>
    <row r="308" spans="4:8" x14ac:dyDescent="0.2">
      <c r="D308" s="6"/>
      <c r="H308" s="6">
        <v>42493.430833333332</v>
      </c>
    </row>
    <row r="309" spans="4:8" x14ac:dyDescent="0.2">
      <c r="D309" s="6"/>
      <c r="H309" s="6">
        <v>42493.430833333332</v>
      </c>
    </row>
    <row r="310" spans="4:8" x14ac:dyDescent="0.2">
      <c r="D310" s="6"/>
      <c r="H310" s="6">
        <v>42493.430833333332</v>
      </c>
    </row>
    <row r="311" spans="4:8" x14ac:dyDescent="0.2">
      <c r="D311" s="6"/>
      <c r="H311" s="6">
        <v>42493.430833333332</v>
      </c>
    </row>
    <row r="312" spans="4:8" x14ac:dyDescent="0.2">
      <c r="D312" s="6"/>
      <c r="H312" s="6">
        <v>42493.430844907409</v>
      </c>
    </row>
    <row r="313" spans="4:8" x14ac:dyDescent="0.2">
      <c r="D313" s="6"/>
      <c r="H313" s="6">
        <v>42493.430844907409</v>
      </c>
    </row>
    <row r="314" spans="4:8" x14ac:dyDescent="0.2">
      <c r="D314" s="6"/>
      <c r="H314" s="6">
        <v>42493.430844907409</v>
      </c>
    </row>
    <row r="315" spans="4:8" x14ac:dyDescent="0.2">
      <c r="D315" s="6"/>
      <c r="H315" s="6">
        <v>42493.430844907409</v>
      </c>
    </row>
    <row r="316" spans="4:8" x14ac:dyDescent="0.2">
      <c r="D316" s="6"/>
      <c r="H316" s="6">
        <v>42493.430856481478</v>
      </c>
    </row>
    <row r="317" spans="4:8" x14ac:dyDescent="0.2">
      <c r="D317" s="6"/>
      <c r="H317" s="6">
        <v>42493.430856481478</v>
      </c>
    </row>
    <row r="318" spans="4:8" x14ac:dyDescent="0.2">
      <c r="D318" s="6"/>
      <c r="H318" s="6">
        <v>42493.430856481478</v>
      </c>
    </row>
    <row r="319" spans="4:8" x14ac:dyDescent="0.2">
      <c r="D319" s="6"/>
      <c r="H319" s="6">
        <v>42493.430856481478</v>
      </c>
    </row>
    <row r="320" spans="4:8" x14ac:dyDescent="0.2">
      <c r="D320" s="6"/>
      <c r="H320" s="6">
        <v>42493.430856481478</v>
      </c>
    </row>
    <row r="321" spans="4:8" x14ac:dyDescent="0.2">
      <c r="D321" s="6"/>
      <c r="H321" s="6">
        <v>42493.430868055555</v>
      </c>
    </row>
    <row r="322" spans="4:8" x14ac:dyDescent="0.2">
      <c r="D322" s="6"/>
      <c r="H322" s="6">
        <v>42493.430868055555</v>
      </c>
    </row>
    <row r="323" spans="4:8" x14ac:dyDescent="0.2">
      <c r="D323" s="6"/>
      <c r="H323" s="6">
        <v>42493.430868055555</v>
      </c>
    </row>
    <row r="324" spans="4:8" x14ac:dyDescent="0.2">
      <c r="D324" s="6"/>
      <c r="H324" s="6">
        <v>42493.430868055555</v>
      </c>
    </row>
    <row r="325" spans="4:8" x14ac:dyDescent="0.2">
      <c r="D325" s="6"/>
      <c r="H325" s="6">
        <v>42493.430868055555</v>
      </c>
    </row>
    <row r="326" spans="4:8" x14ac:dyDescent="0.2">
      <c r="D326" s="6"/>
      <c r="H326" s="6">
        <v>42493.430879629632</v>
      </c>
    </row>
    <row r="327" spans="4:8" x14ac:dyDescent="0.2">
      <c r="D327" s="6"/>
      <c r="H327" s="6">
        <v>42493.430879629632</v>
      </c>
    </row>
    <row r="328" spans="4:8" x14ac:dyDescent="0.2">
      <c r="D328" s="6"/>
      <c r="H328" s="6">
        <v>42493.430879629632</v>
      </c>
    </row>
    <row r="329" spans="4:8" x14ac:dyDescent="0.2">
      <c r="D329" s="6"/>
      <c r="H329" s="6">
        <v>42493.430879629632</v>
      </c>
    </row>
    <row r="330" spans="4:8" x14ac:dyDescent="0.2">
      <c r="D330" s="6"/>
      <c r="H330" s="6">
        <v>42493.430879629632</v>
      </c>
    </row>
    <row r="331" spans="4:8" x14ac:dyDescent="0.2">
      <c r="D331" s="6"/>
      <c r="H331" s="6">
        <v>42493.430902777778</v>
      </c>
    </row>
    <row r="332" spans="4:8" x14ac:dyDescent="0.2">
      <c r="D332" s="6"/>
      <c r="H332" s="6">
        <v>42493.430949074071</v>
      </c>
    </row>
    <row r="333" spans="4:8" x14ac:dyDescent="0.2">
      <c r="D333" s="6"/>
      <c r="H333" s="6">
        <v>42493.431226851855</v>
      </c>
    </row>
    <row r="334" spans="4:8" x14ac:dyDescent="0.2">
      <c r="D334" s="6"/>
      <c r="H334" s="6">
        <v>42493.431226851855</v>
      </c>
    </row>
    <row r="335" spans="4:8" x14ac:dyDescent="0.2">
      <c r="D335" s="6"/>
      <c r="H335" s="6">
        <v>42493.431226851855</v>
      </c>
    </row>
    <row r="336" spans="4:8" x14ac:dyDescent="0.2">
      <c r="D336" s="6"/>
      <c r="H336" s="6">
        <v>42493.431226851855</v>
      </c>
    </row>
    <row r="337" spans="4:8" x14ac:dyDescent="0.2">
      <c r="D337" s="6"/>
      <c r="H337" s="6">
        <v>42493.431226851855</v>
      </c>
    </row>
    <row r="338" spans="4:8" x14ac:dyDescent="0.2">
      <c r="D338" s="6"/>
      <c r="H338" s="6">
        <v>42493.431226851855</v>
      </c>
    </row>
    <row r="339" spans="4:8" x14ac:dyDescent="0.2">
      <c r="D339" s="6"/>
      <c r="H339" s="6">
        <v>42493.431226851855</v>
      </c>
    </row>
    <row r="340" spans="4:8" x14ac:dyDescent="0.2">
      <c r="D340" s="6"/>
      <c r="H340" s="6">
        <v>42493.431238425925</v>
      </c>
    </row>
    <row r="341" spans="4:8" x14ac:dyDescent="0.2">
      <c r="D341" s="6"/>
      <c r="H341" s="6">
        <v>42493.431238425925</v>
      </c>
    </row>
    <row r="342" spans="4:8" x14ac:dyDescent="0.2">
      <c r="D342" s="6"/>
      <c r="H342" s="6">
        <v>42493.431238425925</v>
      </c>
    </row>
    <row r="343" spans="4:8" x14ac:dyDescent="0.2">
      <c r="D343" s="6"/>
      <c r="H343" s="6">
        <v>42493.431238425925</v>
      </c>
    </row>
    <row r="344" spans="4:8" x14ac:dyDescent="0.2">
      <c r="D344" s="6"/>
      <c r="H344" s="6">
        <v>42493.431238425925</v>
      </c>
    </row>
    <row r="345" spans="4:8" x14ac:dyDescent="0.2">
      <c r="D345" s="6"/>
      <c r="H345" s="6">
        <v>42493.431238425925</v>
      </c>
    </row>
    <row r="346" spans="4:8" x14ac:dyDescent="0.2">
      <c r="D346" s="6"/>
      <c r="H346" s="6">
        <v>42493.431250000001</v>
      </c>
    </row>
    <row r="347" spans="4:8" x14ac:dyDescent="0.2">
      <c r="D347" s="6"/>
      <c r="H347" s="6">
        <v>42493.431250000001</v>
      </c>
    </row>
    <row r="348" spans="4:8" x14ac:dyDescent="0.2">
      <c r="D348" s="6"/>
      <c r="H348" s="6">
        <v>42493.431250000001</v>
      </c>
    </row>
    <row r="349" spans="4:8" x14ac:dyDescent="0.2">
      <c r="D349" s="6"/>
      <c r="H349" s="6">
        <v>42493.431250000001</v>
      </c>
    </row>
    <row r="350" spans="4:8" x14ac:dyDescent="0.2">
      <c r="D350" s="6"/>
      <c r="H350" s="6">
        <v>42493.431250000001</v>
      </c>
    </row>
    <row r="351" spans="4:8" x14ac:dyDescent="0.2">
      <c r="D351" s="6"/>
      <c r="H351" s="6">
        <v>42493.431250000001</v>
      </c>
    </row>
    <row r="352" spans="4:8" x14ac:dyDescent="0.2">
      <c r="D352" s="6"/>
      <c r="H352" s="6">
        <v>42493.431250000001</v>
      </c>
    </row>
    <row r="353" spans="1:8" x14ac:dyDescent="0.2">
      <c r="D353" s="6"/>
      <c r="H353" s="6">
        <v>42493.431250000001</v>
      </c>
    </row>
    <row r="354" spans="1:8" x14ac:dyDescent="0.2">
      <c r="D354" s="6"/>
      <c r="H354" s="6">
        <v>42493.431250000001</v>
      </c>
    </row>
    <row r="355" spans="1:8" x14ac:dyDescent="0.2">
      <c r="D355" s="6"/>
      <c r="H355" s="6">
        <v>42493.431250000001</v>
      </c>
    </row>
    <row r="356" spans="1:8" x14ac:dyDescent="0.2">
      <c r="D356" s="6"/>
      <c r="H356" s="6">
        <v>42493.431250000001</v>
      </c>
    </row>
    <row r="357" spans="1:8" x14ac:dyDescent="0.2">
      <c r="D357" s="6"/>
      <c r="H357" s="6">
        <v>42493.431250000001</v>
      </c>
    </row>
    <row r="358" spans="1:8" x14ac:dyDescent="0.2">
      <c r="D358" s="6"/>
      <c r="H358" s="6">
        <v>42493.431261574071</v>
      </c>
    </row>
    <row r="359" spans="1:8" x14ac:dyDescent="0.2">
      <c r="A359" s="15"/>
      <c r="D359" s="6"/>
      <c r="H359" s="6">
        <v>42493.431261574071</v>
      </c>
    </row>
    <row r="360" spans="1:8" x14ac:dyDescent="0.2">
      <c r="A360" s="15"/>
      <c r="D360" s="6"/>
      <c r="H360" s="6">
        <v>42493.431261574071</v>
      </c>
    </row>
    <row r="361" spans="1:8" x14ac:dyDescent="0.2">
      <c r="D361" s="6"/>
      <c r="H361" s="6">
        <v>42493.431261574071</v>
      </c>
    </row>
    <row r="362" spans="1:8" x14ac:dyDescent="0.2">
      <c r="A362" s="15"/>
      <c r="D362" s="6"/>
      <c r="H362" s="6">
        <v>42493.431261574071</v>
      </c>
    </row>
    <row r="363" spans="1:8" x14ac:dyDescent="0.2">
      <c r="A363" s="15"/>
      <c r="D363" s="6"/>
      <c r="H363" s="6">
        <v>42493.431261574071</v>
      </c>
    </row>
    <row r="364" spans="1:8" x14ac:dyDescent="0.2">
      <c r="D364" s="6"/>
      <c r="H364" s="6">
        <v>42493.431261574071</v>
      </c>
    </row>
    <row r="365" spans="1:8" x14ac:dyDescent="0.2">
      <c r="D365" s="6"/>
      <c r="H365" s="6">
        <v>42493.431261574071</v>
      </c>
    </row>
    <row r="366" spans="1:8" x14ac:dyDescent="0.2">
      <c r="D366" s="6"/>
      <c r="H366" s="6">
        <v>42493.431261574071</v>
      </c>
    </row>
    <row r="367" spans="1:8" x14ac:dyDescent="0.2">
      <c r="D367" s="6"/>
      <c r="H367" s="6">
        <v>42493.431261574071</v>
      </c>
    </row>
    <row r="368" spans="1:8" x14ac:dyDescent="0.2">
      <c r="D368" s="6"/>
      <c r="H368" s="6">
        <v>42493.431261574071</v>
      </c>
    </row>
    <row r="369" spans="1:8" x14ac:dyDescent="0.2">
      <c r="D369" s="6"/>
      <c r="H369" s="6">
        <v>42493.431273148148</v>
      </c>
    </row>
    <row r="370" spans="1:8" x14ac:dyDescent="0.2">
      <c r="D370" s="6"/>
      <c r="H370" s="6">
        <v>42493.431273148148</v>
      </c>
    </row>
    <row r="371" spans="1:8" x14ac:dyDescent="0.2">
      <c r="D371" s="6"/>
      <c r="H371" s="6">
        <v>42493.431273148148</v>
      </c>
    </row>
    <row r="372" spans="1:8" x14ac:dyDescent="0.2">
      <c r="D372" s="6"/>
      <c r="H372" s="6">
        <v>42493.431273148148</v>
      </c>
    </row>
    <row r="373" spans="1:8" x14ac:dyDescent="0.2">
      <c r="D373" s="6"/>
      <c r="H373" s="6">
        <v>42493.431273148148</v>
      </c>
    </row>
    <row r="374" spans="1:8" x14ac:dyDescent="0.2">
      <c r="D374" s="6"/>
      <c r="H374" s="6">
        <v>42493.431273148148</v>
      </c>
    </row>
    <row r="375" spans="1:8" x14ac:dyDescent="0.2">
      <c r="D375" s="6"/>
      <c r="H375" s="6">
        <v>42493.431284722225</v>
      </c>
    </row>
    <row r="376" spans="1:8" x14ac:dyDescent="0.2">
      <c r="D376" s="6"/>
      <c r="H376" s="6">
        <v>42493.431284722225</v>
      </c>
    </row>
    <row r="377" spans="1:8" x14ac:dyDescent="0.2">
      <c r="D377" s="6"/>
      <c r="H377" s="6">
        <v>42493.431284722225</v>
      </c>
    </row>
    <row r="378" spans="1:8" x14ac:dyDescent="0.2">
      <c r="D378" s="6"/>
      <c r="H378" s="6">
        <v>42493.431284722225</v>
      </c>
    </row>
    <row r="379" spans="1:8" x14ac:dyDescent="0.2">
      <c r="D379" s="6"/>
      <c r="H379" s="6">
        <v>42493.431307870371</v>
      </c>
    </row>
    <row r="380" spans="1:8" x14ac:dyDescent="0.2">
      <c r="D380" s="6"/>
      <c r="H380" s="6">
        <v>42493.431307870371</v>
      </c>
    </row>
    <row r="381" spans="1:8" x14ac:dyDescent="0.2">
      <c r="D381" s="6"/>
      <c r="H381" s="6">
        <v>42493.431307870371</v>
      </c>
    </row>
    <row r="382" spans="1:8" x14ac:dyDescent="0.2">
      <c r="A382" s="15"/>
      <c r="D382" s="6"/>
      <c r="H382" s="6">
        <v>42493.431307870371</v>
      </c>
    </row>
    <row r="383" spans="1:8" x14ac:dyDescent="0.2">
      <c r="A383" s="15"/>
      <c r="D383" s="6"/>
      <c r="H383" s="6">
        <v>42493.431307870371</v>
      </c>
    </row>
    <row r="384" spans="1:8" x14ac:dyDescent="0.2">
      <c r="D384" s="6"/>
      <c r="H384" s="6">
        <v>42493.431319444448</v>
      </c>
    </row>
    <row r="385" spans="1:8" x14ac:dyDescent="0.2">
      <c r="D385" s="6"/>
      <c r="H385" s="6">
        <v>42493.431319444448</v>
      </c>
    </row>
    <row r="386" spans="1:8" x14ac:dyDescent="0.2">
      <c r="D386" s="6"/>
      <c r="H386" s="6">
        <v>42493.431319444448</v>
      </c>
    </row>
    <row r="387" spans="1:8" x14ac:dyDescent="0.2">
      <c r="D387" s="6"/>
      <c r="H387" s="6">
        <v>42493.431319444448</v>
      </c>
    </row>
    <row r="388" spans="1:8" x14ac:dyDescent="0.2">
      <c r="A388" s="15"/>
      <c r="D388" s="6"/>
      <c r="H388" s="6">
        <v>42493.431331018517</v>
      </c>
    </row>
    <row r="389" spans="1:8" x14ac:dyDescent="0.2">
      <c r="A389" s="15"/>
      <c r="D389" s="6"/>
      <c r="H389" s="6">
        <v>42493.431331018517</v>
      </c>
    </row>
    <row r="390" spans="1:8" x14ac:dyDescent="0.2">
      <c r="A390" s="15"/>
      <c r="D390" s="6"/>
      <c r="H390" s="6">
        <v>42493.431331018517</v>
      </c>
    </row>
    <row r="391" spans="1:8" x14ac:dyDescent="0.2">
      <c r="D391" s="6"/>
      <c r="H391" s="6">
        <v>42493.431331018517</v>
      </c>
    </row>
    <row r="392" spans="1:8" x14ac:dyDescent="0.2">
      <c r="D392" s="6"/>
      <c r="H392" s="6">
        <v>42493.431331018517</v>
      </c>
    </row>
    <row r="393" spans="1:8" x14ac:dyDescent="0.2">
      <c r="D393" s="6"/>
      <c r="H393" s="6">
        <v>42493.431342592594</v>
      </c>
    </row>
    <row r="394" spans="1:8" x14ac:dyDescent="0.2">
      <c r="D394" s="6"/>
      <c r="H394" s="6">
        <v>42493.431342592594</v>
      </c>
    </row>
    <row r="395" spans="1:8" x14ac:dyDescent="0.2">
      <c r="D395" s="6"/>
      <c r="H395" s="6">
        <v>42493.431342592594</v>
      </c>
    </row>
    <row r="396" spans="1:8" x14ac:dyDescent="0.2">
      <c r="D396" s="6"/>
      <c r="H396" s="6">
        <v>42493.431342592594</v>
      </c>
    </row>
    <row r="397" spans="1:8" x14ac:dyDescent="0.2">
      <c r="D397" s="6"/>
      <c r="H397" s="6">
        <v>42493.431342592594</v>
      </c>
    </row>
    <row r="398" spans="1:8" x14ac:dyDescent="0.2">
      <c r="D398" s="6"/>
      <c r="H398" s="6">
        <v>42493.431342592594</v>
      </c>
    </row>
    <row r="399" spans="1:8" x14ac:dyDescent="0.2">
      <c r="D399" s="6"/>
      <c r="H399" s="6">
        <v>42493.431354166663</v>
      </c>
    </row>
    <row r="400" spans="1:8" x14ac:dyDescent="0.2">
      <c r="D400" s="6"/>
      <c r="H400" s="6">
        <v>42493.431354166663</v>
      </c>
    </row>
    <row r="401" spans="1:8" x14ac:dyDescent="0.2">
      <c r="A401" s="15"/>
      <c r="D401" s="6"/>
      <c r="H401" s="6">
        <v>42493.431354166663</v>
      </c>
    </row>
    <row r="402" spans="1:8" x14ac:dyDescent="0.2">
      <c r="A402" s="15"/>
      <c r="D402" s="6"/>
      <c r="H402" s="6">
        <v>42493.431354166663</v>
      </c>
    </row>
    <row r="403" spans="1:8" x14ac:dyDescent="0.2">
      <c r="D403" s="6"/>
      <c r="H403" s="6">
        <v>42493.431354166663</v>
      </c>
    </row>
    <row r="404" spans="1:8" x14ac:dyDescent="0.2">
      <c r="D404" s="6"/>
      <c r="H404" s="6">
        <v>42493.431354166663</v>
      </c>
    </row>
    <row r="405" spans="1:8" x14ac:dyDescent="0.2">
      <c r="D405" s="6"/>
      <c r="H405" s="6">
        <v>42493.43136574074</v>
      </c>
    </row>
    <row r="406" spans="1:8" x14ac:dyDescent="0.2">
      <c r="D406" s="6"/>
      <c r="H406" s="6">
        <v>42493.43136574074</v>
      </c>
    </row>
    <row r="407" spans="1:8" x14ac:dyDescent="0.2">
      <c r="D407" s="6"/>
      <c r="H407" s="6">
        <v>42493.43136574074</v>
      </c>
    </row>
    <row r="408" spans="1:8" x14ac:dyDescent="0.2">
      <c r="A408" s="15"/>
      <c r="D408" s="6"/>
      <c r="H408" s="6">
        <v>42493.43136574074</v>
      </c>
    </row>
    <row r="409" spans="1:8" x14ac:dyDescent="0.2">
      <c r="A409" s="15"/>
      <c r="D409" s="6"/>
      <c r="H409" s="6">
        <v>42493.43136574074</v>
      </c>
    </row>
    <row r="410" spans="1:8" x14ac:dyDescent="0.2">
      <c r="D410" s="6"/>
      <c r="H410" s="6">
        <v>42493.43136574074</v>
      </c>
    </row>
    <row r="411" spans="1:8" x14ac:dyDescent="0.2">
      <c r="D411" s="6"/>
      <c r="H411" s="6">
        <v>42493.43136574074</v>
      </c>
    </row>
    <row r="412" spans="1:8" x14ac:dyDescent="0.2">
      <c r="A412" s="15"/>
      <c r="D412" s="6"/>
      <c r="H412" s="6">
        <v>42493.431377314817</v>
      </c>
    </row>
    <row r="413" spans="1:8" x14ac:dyDescent="0.2">
      <c r="A413" s="15"/>
      <c r="D413" s="6"/>
      <c r="H413" s="6">
        <v>42493.431377314817</v>
      </c>
    </row>
    <row r="414" spans="1:8" x14ac:dyDescent="0.2">
      <c r="D414" s="6"/>
      <c r="H414" s="6">
        <v>42493.431377314817</v>
      </c>
    </row>
    <row r="415" spans="1:8" x14ac:dyDescent="0.2">
      <c r="D415" s="6"/>
      <c r="H415" s="6">
        <v>42493.431377314817</v>
      </c>
    </row>
    <row r="416" spans="1:8" x14ac:dyDescent="0.2">
      <c r="D416" s="6"/>
      <c r="H416" s="6">
        <v>42493.431377314817</v>
      </c>
    </row>
    <row r="417" spans="4:8" x14ac:dyDescent="0.2">
      <c r="D417" s="6"/>
      <c r="H417" s="6">
        <v>42493.431377314817</v>
      </c>
    </row>
    <row r="418" spans="4:8" x14ac:dyDescent="0.2">
      <c r="D418" s="6"/>
      <c r="H418" s="6">
        <v>42493.431377314817</v>
      </c>
    </row>
    <row r="419" spans="4:8" x14ac:dyDescent="0.2">
      <c r="D419" s="6"/>
      <c r="H419" s="6">
        <v>42493.431388888886</v>
      </c>
    </row>
    <row r="420" spans="4:8" x14ac:dyDescent="0.2">
      <c r="D420" s="6"/>
      <c r="H420" s="6">
        <v>42493.431388888886</v>
      </c>
    </row>
    <row r="421" spans="4:8" x14ac:dyDescent="0.2">
      <c r="D421" s="6"/>
      <c r="H421" s="6">
        <v>42493.431388888886</v>
      </c>
    </row>
    <row r="422" spans="4:8" x14ac:dyDescent="0.2">
      <c r="D422" s="6"/>
      <c r="H422" s="6">
        <v>42493.431388888886</v>
      </c>
    </row>
    <row r="423" spans="4:8" x14ac:dyDescent="0.2">
      <c r="D423" s="6"/>
      <c r="H423" s="6">
        <v>42493.431388888886</v>
      </c>
    </row>
    <row r="424" spans="4:8" x14ac:dyDescent="0.2">
      <c r="D424" s="6"/>
      <c r="H424" s="6">
        <v>42493.431388888886</v>
      </c>
    </row>
    <row r="425" spans="4:8" x14ac:dyDescent="0.2">
      <c r="D425" s="6"/>
      <c r="H425" s="6">
        <v>42493.431388888886</v>
      </c>
    </row>
    <row r="426" spans="4:8" x14ac:dyDescent="0.2">
      <c r="D426" s="6"/>
      <c r="H426" s="6">
        <v>42493.431388888886</v>
      </c>
    </row>
    <row r="427" spans="4:8" x14ac:dyDescent="0.2">
      <c r="D427" s="6"/>
      <c r="H427" s="6">
        <v>42493.431400462963</v>
      </c>
    </row>
    <row r="428" spans="4:8" x14ac:dyDescent="0.2">
      <c r="D428" s="6"/>
      <c r="H428" s="6">
        <v>42493.431400462963</v>
      </c>
    </row>
    <row r="429" spans="4:8" x14ac:dyDescent="0.2">
      <c r="D429" s="6"/>
      <c r="H429" s="6">
        <v>42493.431400462963</v>
      </c>
    </row>
    <row r="430" spans="4:8" x14ac:dyDescent="0.2">
      <c r="D430" s="6"/>
      <c r="H430" s="6">
        <v>42493.431400462963</v>
      </c>
    </row>
    <row r="431" spans="4:8" x14ac:dyDescent="0.2">
      <c r="D431" s="6"/>
      <c r="H431" s="6">
        <v>42493.431400462963</v>
      </c>
    </row>
    <row r="432" spans="4:8" x14ac:dyDescent="0.2">
      <c r="D432" s="6"/>
      <c r="H432" s="6">
        <v>42493.431400462963</v>
      </c>
    </row>
    <row r="433" spans="4:8" x14ac:dyDescent="0.2">
      <c r="D433" s="6"/>
      <c r="H433" s="6">
        <v>42493.431400462963</v>
      </c>
    </row>
    <row r="434" spans="4:8" x14ac:dyDescent="0.2">
      <c r="D434" s="6"/>
      <c r="H434" s="6">
        <v>42493.43141203704</v>
      </c>
    </row>
    <row r="435" spans="4:8" x14ac:dyDescent="0.2">
      <c r="D435" s="6"/>
      <c r="H435" s="6">
        <v>42493.43141203704</v>
      </c>
    </row>
    <row r="436" spans="4:8" x14ac:dyDescent="0.2">
      <c r="D436" s="6"/>
      <c r="H436" s="6">
        <v>42493.43141203704</v>
      </c>
    </row>
    <row r="437" spans="4:8" x14ac:dyDescent="0.2">
      <c r="D437" s="6"/>
      <c r="H437" s="6">
        <v>42493.43141203704</v>
      </c>
    </row>
    <row r="438" spans="4:8" x14ac:dyDescent="0.2">
      <c r="D438" s="6"/>
      <c r="H438" s="6">
        <v>42493.43141203704</v>
      </c>
    </row>
    <row r="439" spans="4:8" x14ac:dyDescent="0.2">
      <c r="D439" s="6"/>
      <c r="H439" s="6">
        <v>42493.43141203704</v>
      </c>
    </row>
    <row r="440" spans="4:8" x14ac:dyDescent="0.2">
      <c r="D440" s="6"/>
      <c r="H440" s="6">
        <v>42493.43141203704</v>
      </c>
    </row>
    <row r="441" spans="4:8" x14ac:dyDescent="0.2">
      <c r="D441" s="6"/>
      <c r="H441" s="6">
        <v>42493.431458333333</v>
      </c>
    </row>
    <row r="442" spans="4:8" x14ac:dyDescent="0.2">
      <c r="D442" s="6"/>
      <c r="H442" s="6">
        <v>42493.431469907409</v>
      </c>
    </row>
    <row r="443" spans="4:8" x14ac:dyDescent="0.2">
      <c r="D443" s="6"/>
      <c r="H443" s="6">
        <v>42493.431469907409</v>
      </c>
    </row>
    <row r="444" spans="4:8" x14ac:dyDescent="0.2">
      <c r="D444" s="6"/>
      <c r="H444" s="6">
        <v>42493.431469907409</v>
      </c>
    </row>
    <row r="445" spans="4:8" x14ac:dyDescent="0.2">
      <c r="D445" s="6"/>
      <c r="H445" s="6">
        <v>42493.431469907409</v>
      </c>
    </row>
    <row r="446" spans="4:8" x14ac:dyDescent="0.2">
      <c r="D446" s="6"/>
      <c r="H446" s="6">
        <v>42493.431469907409</v>
      </c>
    </row>
    <row r="447" spans="4:8" x14ac:dyDescent="0.2">
      <c r="D447" s="6"/>
      <c r="H447" s="6">
        <v>42493.431469907409</v>
      </c>
    </row>
    <row r="448" spans="4:8" x14ac:dyDescent="0.2">
      <c r="D448" s="6"/>
      <c r="H448" s="6">
        <v>42493.431469907409</v>
      </c>
    </row>
    <row r="449" spans="4:8" x14ac:dyDescent="0.2">
      <c r="D449" s="6"/>
      <c r="H449" s="6">
        <v>42493.431469907409</v>
      </c>
    </row>
    <row r="450" spans="4:8" x14ac:dyDescent="0.2">
      <c r="D450" s="6"/>
      <c r="H450" s="6">
        <v>42493.431481481479</v>
      </c>
    </row>
    <row r="451" spans="4:8" x14ac:dyDescent="0.2">
      <c r="D451" s="6"/>
      <c r="H451" s="6">
        <v>42493.431481481479</v>
      </c>
    </row>
    <row r="452" spans="4:8" x14ac:dyDescent="0.2">
      <c r="D452" s="6"/>
      <c r="H452" s="6">
        <v>42493.431481481479</v>
      </c>
    </row>
    <row r="453" spans="4:8" x14ac:dyDescent="0.2">
      <c r="D453" s="6"/>
      <c r="H453" s="6">
        <v>42493.431493055556</v>
      </c>
    </row>
    <row r="454" spans="4:8" x14ac:dyDescent="0.2">
      <c r="D454" s="6"/>
      <c r="H454" s="6">
        <v>42493.431493055556</v>
      </c>
    </row>
    <row r="455" spans="4:8" x14ac:dyDescent="0.2">
      <c r="D455" s="6"/>
      <c r="H455" s="6">
        <v>42493.431493055556</v>
      </c>
    </row>
    <row r="456" spans="4:8" x14ac:dyDescent="0.2">
      <c r="D456" s="6"/>
      <c r="H456" s="6">
        <v>42493.431493055556</v>
      </c>
    </row>
    <row r="457" spans="4:8" x14ac:dyDescent="0.2">
      <c r="D457" s="6"/>
      <c r="H457" s="6">
        <v>42493.431493055556</v>
      </c>
    </row>
    <row r="458" spans="4:8" x14ac:dyDescent="0.2">
      <c r="D458" s="6"/>
      <c r="H458" s="6">
        <v>42493.431574074071</v>
      </c>
    </row>
    <row r="459" spans="4:8" x14ac:dyDescent="0.2">
      <c r="D459" s="6"/>
      <c r="H459" s="6">
        <v>42493.431574074071</v>
      </c>
    </row>
    <row r="460" spans="4:8" x14ac:dyDescent="0.2">
      <c r="D460" s="6"/>
      <c r="H460" s="6">
        <v>42493.431666666664</v>
      </c>
    </row>
    <row r="461" spans="4:8" x14ac:dyDescent="0.2">
      <c r="D461" s="6"/>
      <c r="H461" s="6">
        <v>42493.431666666664</v>
      </c>
    </row>
    <row r="462" spans="4:8" x14ac:dyDescent="0.2">
      <c r="D462" s="6"/>
      <c r="H462" s="6">
        <v>42493.431817129633</v>
      </c>
    </row>
    <row r="463" spans="4:8" x14ac:dyDescent="0.2">
      <c r="D463" s="6"/>
      <c r="H463" s="6">
        <v>42493.431851851848</v>
      </c>
    </row>
    <row r="464" spans="4:8" x14ac:dyDescent="0.2">
      <c r="D464" s="6"/>
      <c r="H464" s="6">
        <v>42493.431863425925</v>
      </c>
    </row>
    <row r="465" spans="4:8" x14ac:dyDescent="0.2">
      <c r="D465" s="6"/>
      <c r="H465" s="6">
        <v>42493.431875000002</v>
      </c>
    </row>
    <row r="466" spans="4:8" x14ac:dyDescent="0.2">
      <c r="D466" s="6"/>
      <c r="H466" s="6">
        <v>42493.431886574072</v>
      </c>
    </row>
    <row r="467" spans="4:8" x14ac:dyDescent="0.2">
      <c r="D467" s="6"/>
      <c r="H467" s="6">
        <v>42493.431886574072</v>
      </c>
    </row>
    <row r="468" spans="4:8" x14ac:dyDescent="0.2">
      <c r="D468" s="6"/>
      <c r="H468" s="6">
        <v>42493.431886574072</v>
      </c>
    </row>
    <row r="469" spans="4:8" x14ac:dyDescent="0.2">
      <c r="D469" s="6"/>
      <c r="H469" s="6">
        <v>42493.431886574072</v>
      </c>
    </row>
    <row r="470" spans="4:8" x14ac:dyDescent="0.2">
      <c r="D470" s="6"/>
      <c r="H470" s="6">
        <v>42493.431898148148</v>
      </c>
    </row>
    <row r="471" spans="4:8" x14ac:dyDescent="0.2">
      <c r="D471" s="6"/>
      <c r="H471" s="6">
        <v>42493.431898148148</v>
      </c>
    </row>
    <row r="472" spans="4:8" x14ac:dyDescent="0.2">
      <c r="D472" s="6"/>
      <c r="H472" s="6">
        <v>42493.431909722225</v>
      </c>
    </row>
    <row r="473" spans="4:8" x14ac:dyDescent="0.2">
      <c r="D473" s="6"/>
      <c r="H473" s="6">
        <v>42493.431909722225</v>
      </c>
    </row>
    <row r="474" spans="4:8" x14ac:dyDescent="0.2">
      <c r="D474" s="6"/>
      <c r="H474" s="6">
        <v>42493.431921296295</v>
      </c>
    </row>
    <row r="475" spans="4:8" x14ac:dyDescent="0.2">
      <c r="D475" s="6"/>
      <c r="H475" s="6">
        <v>42493.431921296295</v>
      </c>
    </row>
    <row r="476" spans="4:8" x14ac:dyDescent="0.2">
      <c r="D476" s="6"/>
      <c r="H476" s="6">
        <v>42493.431932870371</v>
      </c>
    </row>
    <row r="477" spans="4:8" x14ac:dyDescent="0.2">
      <c r="D477" s="6"/>
      <c r="H477" s="6">
        <v>40913.469513888886</v>
      </c>
    </row>
    <row r="478" spans="4:8" x14ac:dyDescent="0.2">
      <c r="D478" s="6"/>
      <c r="H478" s="6">
        <v>42251.610277777778</v>
      </c>
    </row>
    <row r="479" spans="4:8" x14ac:dyDescent="0.2">
      <c r="D479" s="6"/>
      <c r="H479" s="6">
        <v>41646.375578703701</v>
      </c>
    </row>
    <row r="480" spans="4:8" x14ac:dyDescent="0.2">
      <c r="D480" s="6"/>
      <c r="H480" s="6">
        <v>42264.387604166666</v>
      </c>
    </row>
    <row r="481" spans="4:8" x14ac:dyDescent="0.2">
      <c r="D481" s="6"/>
      <c r="H481" s="6">
        <v>42488.476342592592</v>
      </c>
    </row>
    <row r="482" spans="4:8" x14ac:dyDescent="0.2">
      <c r="D482" s="6"/>
      <c r="H482" s="6">
        <v>42202.590949074074</v>
      </c>
    </row>
    <row r="483" spans="4:8" x14ac:dyDescent="0.2">
      <c r="D483" s="6"/>
      <c r="H483" s="6">
        <v>42451.545949074076</v>
      </c>
    </row>
    <row r="484" spans="4:8" x14ac:dyDescent="0.2">
      <c r="D484" s="6"/>
      <c r="H484" s="6">
        <v>42451.545995370368</v>
      </c>
    </row>
    <row r="485" spans="4:8" x14ac:dyDescent="0.2">
      <c r="D485" s="6"/>
      <c r="H485" s="6">
        <v>42451.546041666668</v>
      </c>
    </row>
    <row r="486" spans="4:8" x14ac:dyDescent="0.2">
      <c r="D486" s="6"/>
      <c r="H486" s="6">
        <v>42451.546076388891</v>
      </c>
    </row>
    <row r="487" spans="4:8" x14ac:dyDescent="0.2">
      <c r="D487" s="6"/>
      <c r="H487" s="6">
        <v>42451.546122685184</v>
      </c>
    </row>
    <row r="488" spans="4:8" x14ac:dyDescent="0.2">
      <c r="D488" s="6"/>
      <c r="H488" s="6">
        <v>42451.546157407407</v>
      </c>
    </row>
    <row r="489" spans="4:8" x14ac:dyDescent="0.2">
      <c r="D489" s="6"/>
      <c r="H489" s="6">
        <v>42487.37604166667</v>
      </c>
    </row>
    <row r="490" spans="4:8" x14ac:dyDescent="0.2">
      <c r="D490" s="6"/>
      <c r="H490" s="6">
        <v>42283.706145833334</v>
      </c>
    </row>
    <row r="491" spans="4:8" x14ac:dyDescent="0.2">
      <c r="D491" s="6"/>
      <c r="H491" s="6">
        <v>42283.706145833334</v>
      </c>
    </row>
    <row r="492" spans="4:8" x14ac:dyDescent="0.2">
      <c r="D492" s="6"/>
      <c r="H492" s="6">
        <v>41120.598530092589</v>
      </c>
    </row>
    <row r="493" spans="4:8" x14ac:dyDescent="0.2">
      <c r="D493" s="6"/>
      <c r="H493" s="6">
        <v>41558.459016203706</v>
      </c>
    </row>
    <row r="494" spans="4:8" x14ac:dyDescent="0.2">
      <c r="D494" s="6"/>
      <c r="H494" s="6">
        <v>41334.505671296298</v>
      </c>
    </row>
    <row r="495" spans="4:8" x14ac:dyDescent="0.2">
      <c r="D495" s="6"/>
      <c r="H495" s="6">
        <v>42486.426516203705</v>
      </c>
    </row>
    <row r="496" spans="4:8" x14ac:dyDescent="0.2">
      <c r="D496" s="6"/>
      <c r="H496" s="6">
        <v>42489.620127314818</v>
      </c>
    </row>
    <row r="497" spans="4:8" x14ac:dyDescent="0.2">
      <c r="D497" s="6"/>
      <c r="H497" s="6">
        <v>42450.493969907409</v>
      </c>
    </row>
    <row r="498" spans="4:8" x14ac:dyDescent="0.2">
      <c r="D498" s="6"/>
      <c r="H498" s="6">
        <v>42450.493969907409</v>
      </c>
    </row>
    <row r="499" spans="4:8" x14ac:dyDescent="0.2">
      <c r="D499" s="6"/>
      <c r="H499" s="6">
        <v>42450.493981481479</v>
      </c>
    </row>
    <row r="500" spans="4:8" x14ac:dyDescent="0.2">
      <c r="D500" s="6"/>
      <c r="H500" s="6">
        <v>42450.493993055556</v>
      </c>
    </row>
    <row r="501" spans="4:8" x14ac:dyDescent="0.2">
      <c r="D501" s="6"/>
      <c r="H501" s="6">
        <v>42450.494004629632</v>
      </c>
    </row>
    <row r="502" spans="4:8" x14ac:dyDescent="0.2">
      <c r="D502" s="6"/>
      <c r="H502" s="6">
        <v>42450.494016203702</v>
      </c>
    </row>
    <row r="503" spans="4:8" x14ac:dyDescent="0.2">
      <c r="D503" s="6"/>
      <c r="H503" s="6">
        <v>42450.494016203702</v>
      </c>
    </row>
    <row r="504" spans="4:8" x14ac:dyDescent="0.2">
      <c r="D504" s="6"/>
      <c r="H504" s="6">
        <v>42450.494027777779</v>
      </c>
    </row>
    <row r="505" spans="4:8" x14ac:dyDescent="0.2">
      <c r="D505" s="6"/>
      <c r="H505" s="6">
        <v>42450.494027777779</v>
      </c>
    </row>
    <row r="506" spans="4:8" x14ac:dyDescent="0.2">
      <c r="D506" s="6"/>
      <c r="H506" s="6">
        <v>42450.494027777779</v>
      </c>
    </row>
    <row r="507" spans="4:8" x14ac:dyDescent="0.2">
      <c r="D507" s="6"/>
      <c r="H507" s="6">
        <v>42450.494027777779</v>
      </c>
    </row>
    <row r="508" spans="4:8" x14ac:dyDescent="0.2">
      <c r="D508" s="6"/>
      <c r="H508" s="6">
        <v>42450.494027777779</v>
      </c>
    </row>
    <row r="509" spans="4:8" x14ac:dyDescent="0.2">
      <c r="D509" s="6"/>
      <c r="H509" s="6">
        <v>42450.494027777779</v>
      </c>
    </row>
    <row r="510" spans="4:8" x14ac:dyDescent="0.2">
      <c r="D510" s="6"/>
      <c r="H510" s="6">
        <v>42450.494039351855</v>
      </c>
    </row>
    <row r="511" spans="4:8" x14ac:dyDescent="0.2">
      <c r="D511" s="6"/>
      <c r="H511" s="6">
        <v>42450.494039351855</v>
      </c>
    </row>
    <row r="512" spans="4:8" x14ac:dyDescent="0.2">
      <c r="D512" s="6"/>
      <c r="H512" s="6">
        <v>42450.494039351855</v>
      </c>
    </row>
    <row r="513" spans="1:8" x14ac:dyDescent="0.2">
      <c r="D513" s="6"/>
      <c r="H513" s="6">
        <v>42450.494039351855</v>
      </c>
    </row>
    <row r="514" spans="1:8" x14ac:dyDescent="0.2">
      <c r="D514" s="6"/>
      <c r="H514" s="6">
        <v>42450.494039351855</v>
      </c>
    </row>
    <row r="515" spans="1:8" x14ac:dyDescent="0.2">
      <c r="D515" s="6"/>
      <c r="H515" s="6">
        <v>42450.494050925925</v>
      </c>
    </row>
    <row r="516" spans="1:8" x14ac:dyDescent="0.2">
      <c r="D516" s="6"/>
      <c r="H516" s="6">
        <v>42450.494097222225</v>
      </c>
    </row>
    <row r="517" spans="1:8" x14ac:dyDescent="0.2">
      <c r="A517" s="15"/>
      <c r="D517" s="6"/>
      <c r="H517" s="6">
        <v>42450.494097222225</v>
      </c>
    </row>
    <row r="518" spans="1:8" x14ac:dyDescent="0.2">
      <c r="A518" s="15"/>
      <c r="D518" s="6"/>
      <c r="H518" s="6">
        <v>42450.494120370371</v>
      </c>
    </row>
    <row r="519" spans="1:8" x14ac:dyDescent="0.2">
      <c r="D519" s="6"/>
      <c r="H519" s="6">
        <v>42450.494120370371</v>
      </c>
    </row>
    <row r="520" spans="1:8" x14ac:dyDescent="0.2">
      <c r="D520" s="6"/>
      <c r="H520" s="6">
        <v>42450.494120370371</v>
      </c>
    </row>
    <row r="521" spans="1:8" x14ac:dyDescent="0.2">
      <c r="D521" s="6"/>
      <c r="H521" s="6">
        <v>42450.494120370371</v>
      </c>
    </row>
    <row r="522" spans="1:8" x14ac:dyDescent="0.2">
      <c r="A522" s="15"/>
      <c r="D522" s="6"/>
      <c r="H522" s="6">
        <v>42450.494166666664</v>
      </c>
    </row>
    <row r="523" spans="1:8" x14ac:dyDescent="0.2">
      <c r="A523" s="15"/>
      <c r="D523" s="6"/>
      <c r="H523" s="6">
        <v>42450.49417824074</v>
      </c>
    </row>
    <row r="524" spans="1:8" x14ac:dyDescent="0.2">
      <c r="D524" s="6"/>
      <c r="H524" s="6">
        <v>42450.49422453704</v>
      </c>
    </row>
    <row r="525" spans="1:8" x14ac:dyDescent="0.2">
      <c r="D525" s="6"/>
      <c r="H525" s="6">
        <v>42450.494490740741</v>
      </c>
    </row>
    <row r="526" spans="1:8" x14ac:dyDescent="0.2">
      <c r="D526" s="6"/>
      <c r="H526" s="6">
        <v>42450.494641203702</v>
      </c>
    </row>
    <row r="527" spans="1:8" x14ac:dyDescent="0.2">
      <c r="D527" s="6"/>
      <c r="H527" s="6">
        <v>42450.494641203702</v>
      </c>
    </row>
    <row r="528" spans="1:8" x14ac:dyDescent="0.2">
      <c r="D528" s="6"/>
      <c r="H528" s="6">
        <v>42450.494652777779</v>
      </c>
    </row>
    <row r="529" spans="1:8" x14ac:dyDescent="0.2">
      <c r="A529" s="15"/>
      <c r="D529" s="6"/>
      <c r="H529" s="6">
        <v>42450.494652777779</v>
      </c>
    </row>
    <row r="530" spans="1:8" x14ac:dyDescent="0.2">
      <c r="A530" s="15"/>
      <c r="D530" s="6"/>
      <c r="H530" s="6">
        <v>42450.494652777779</v>
      </c>
    </row>
    <row r="531" spans="1:8" x14ac:dyDescent="0.2">
      <c r="D531" s="6"/>
      <c r="H531" s="6">
        <v>42450.494652777779</v>
      </c>
    </row>
    <row r="532" spans="1:8" x14ac:dyDescent="0.2">
      <c r="D532" s="6"/>
      <c r="H532" s="6">
        <v>42450.494664351849</v>
      </c>
    </row>
    <row r="533" spans="1:8" x14ac:dyDescent="0.2">
      <c r="D533" s="6"/>
      <c r="H533" s="6">
        <v>42450.494664351849</v>
      </c>
    </row>
    <row r="534" spans="1:8" x14ac:dyDescent="0.2">
      <c r="D534" s="6"/>
      <c r="H534" s="6">
        <v>42450.494664351849</v>
      </c>
    </row>
    <row r="535" spans="1:8" x14ac:dyDescent="0.2">
      <c r="D535" s="6"/>
      <c r="H535" s="6">
        <v>42450.494664351849</v>
      </c>
    </row>
    <row r="536" spans="1:8" x14ac:dyDescent="0.2">
      <c r="D536" s="6"/>
      <c r="H536" s="6">
        <v>42450.494664351849</v>
      </c>
    </row>
    <row r="537" spans="1:8" x14ac:dyDescent="0.2">
      <c r="D537" s="6"/>
      <c r="H537" s="6">
        <v>42450.494664351849</v>
      </c>
    </row>
    <row r="538" spans="1:8" x14ac:dyDescent="0.2">
      <c r="D538" s="6"/>
      <c r="H538" s="6">
        <v>42450.494699074072</v>
      </c>
    </row>
    <row r="539" spans="1:8" x14ac:dyDescent="0.2">
      <c r="D539" s="6"/>
      <c r="H539" s="6">
        <v>42450.494710648149</v>
      </c>
    </row>
    <row r="540" spans="1:8" x14ac:dyDescent="0.2">
      <c r="D540" s="6"/>
      <c r="H540" s="6">
        <v>42450.494733796295</v>
      </c>
    </row>
    <row r="541" spans="1:8" x14ac:dyDescent="0.2">
      <c r="D541" s="6"/>
      <c r="H541" s="6">
        <v>42450.494733796295</v>
      </c>
    </row>
    <row r="542" spans="1:8" x14ac:dyDescent="0.2">
      <c r="D542" s="6"/>
      <c r="H542" s="6">
        <v>42450.494745370372</v>
      </c>
    </row>
    <row r="543" spans="1:8" x14ac:dyDescent="0.2">
      <c r="D543" s="6"/>
      <c r="H543" s="6">
        <v>42450.494745370372</v>
      </c>
    </row>
    <row r="544" spans="1:8" x14ac:dyDescent="0.2">
      <c r="D544" s="6"/>
      <c r="H544" s="6">
        <v>42450.494756944441</v>
      </c>
    </row>
    <row r="545" spans="4:8" x14ac:dyDescent="0.2">
      <c r="D545" s="6"/>
      <c r="H545" s="6">
        <v>42450.494756944441</v>
      </c>
    </row>
    <row r="546" spans="4:8" x14ac:dyDescent="0.2">
      <c r="D546" s="6"/>
      <c r="H546" s="6">
        <v>42450.494768518518</v>
      </c>
    </row>
    <row r="547" spans="4:8" x14ac:dyDescent="0.2">
      <c r="D547" s="6"/>
      <c r="H547" s="6">
        <v>42450.494768518518</v>
      </c>
    </row>
    <row r="548" spans="4:8" x14ac:dyDescent="0.2">
      <c r="D548" s="6"/>
      <c r="H548" s="6">
        <v>42450.494768518518</v>
      </c>
    </row>
    <row r="549" spans="4:8" x14ac:dyDescent="0.2">
      <c r="D549" s="6"/>
      <c r="H549" s="6">
        <v>42450.494791666664</v>
      </c>
    </row>
    <row r="550" spans="4:8" x14ac:dyDescent="0.2">
      <c r="D550" s="6"/>
      <c r="H550" s="6">
        <v>42450.494791666664</v>
      </c>
    </row>
    <row r="551" spans="4:8" x14ac:dyDescent="0.2">
      <c r="D551" s="6"/>
      <c r="H551" s="6">
        <v>42450.494803240741</v>
      </c>
    </row>
    <row r="552" spans="4:8" x14ac:dyDescent="0.2">
      <c r="D552" s="6"/>
      <c r="H552" s="6">
        <v>42450.494814814818</v>
      </c>
    </row>
    <row r="553" spans="4:8" x14ac:dyDescent="0.2">
      <c r="D553" s="6"/>
      <c r="H553" s="6">
        <v>42450.494837962964</v>
      </c>
    </row>
    <row r="554" spans="4:8" x14ac:dyDescent="0.2">
      <c r="D554" s="6"/>
      <c r="H554" s="6">
        <v>42450.494837962964</v>
      </c>
    </row>
    <row r="555" spans="4:8" x14ac:dyDescent="0.2">
      <c r="D555" s="6"/>
      <c r="H555" s="6">
        <v>42450.494837962964</v>
      </c>
    </row>
    <row r="556" spans="4:8" x14ac:dyDescent="0.2">
      <c r="D556" s="6"/>
      <c r="H556" s="6">
        <v>42450.494895833333</v>
      </c>
    </row>
    <row r="557" spans="4:8" x14ac:dyDescent="0.2">
      <c r="D557" s="6"/>
      <c r="H557" s="6">
        <v>42450.49490740741</v>
      </c>
    </row>
    <row r="558" spans="4:8" x14ac:dyDescent="0.2">
      <c r="D558" s="6"/>
      <c r="H558" s="6">
        <v>42450.49491898148</v>
      </c>
    </row>
    <row r="559" spans="4:8" x14ac:dyDescent="0.2">
      <c r="D559" s="6"/>
      <c r="H559" s="6">
        <v>42450.494942129626</v>
      </c>
    </row>
    <row r="560" spans="4:8" x14ac:dyDescent="0.2">
      <c r="D560" s="6"/>
      <c r="H560" s="6">
        <v>42450.494942129626</v>
      </c>
    </row>
    <row r="561" spans="4:8" x14ac:dyDescent="0.2">
      <c r="D561" s="6"/>
      <c r="H561" s="6">
        <v>42450.49496527778</v>
      </c>
    </row>
    <row r="562" spans="4:8" x14ac:dyDescent="0.2">
      <c r="D562" s="6"/>
      <c r="H562" s="6">
        <v>42450.49496527778</v>
      </c>
    </row>
    <row r="563" spans="4:8" x14ac:dyDescent="0.2">
      <c r="D563" s="6"/>
      <c r="H563" s="6">
        <v>42450.49496527778</v>
      </c>
    </row>
    <row r="564" spans="4:8" x14ac:dyDescent="0.2">
      <c r="D564" s="6"/>
      <c r="H564" s="6">
        <v>42450.49496527778</v>
      </c>
    </row>
    <row r="565" spans="4:8" x14ac:dyDescent="0.2">
      <c r="D565" s="6"/>
      <c r="H565" s="6">
        <v>42450.494976851849</v>
      </c>
    </row>
    <row r="566" spans="4:8" x14ac:dyDescent="0.2">
      <c r="D566" s="6"/>
      <c r="H566" s="6">
        <v>42450.495000000003</v>
      </c>
    </row>
    <row r="567" spans="4:8" x14ac:dyDescent="0.2">
      <c r="D567" s="6"/>
      <c r="H567" s="6">
        <v>42450.495023148149</v>
      </c>
    </row>
    <row r="568" spans="4:8" x14ac:dyDescent="0.2">
      <c r="D568" s="6"/>
      <c r="H568" s="6">
        <v>42450.495046296295</v>
      </c>
    </row>
    <row r="569" spans="4:8" x14ac:dyDescent="0.2">
      <c r="D569" s="6"/>
      <c r="H569" s="6">
        <v>42450.495104166665</v>
      </c>
    </row>
    <row r="570" spans="4:8" x14ac:dyDescent="0.2">
      <c r="D570" s="6"/>
      <c r="H570" s="6">
        <v>42450.495138888888</v>
      </c>
    </row>
    <row r="571" spans="4:8" x14ac:dyDescent="0.2">
      <c r="D571" s="6"/>
      <c r="H571" s="6">
        <v>42450.495173611111</v>
      </c>
    </row>
    <row r="572" spans="4:8" x14ac:dyDescent="0.2">
      <c r="D572" s="6"/>
      <c r="H572" s="6">
        <v>42450.495196759257</v>
      </c>
    </row>
    <row r="573" spans="4:8" x14ac:dyDescent="0.2">
      <c r="D573" s="6"/>
      <c r="H573" s="6">
        <v>42450.49523148148</v>
      </c>
    </row>
    <row r="574" spans="4:8" x14ac:dyDescent="0.2">
      <c r="D574" s="6"/>
      <c r="H574" s="6">
        <v>42450.495254629626</v>
      </c>
    </row>
    <row r="575" spans="4:8" x14ac:dyDescent="0.2">
      <c r="D575" s="6"/>
      <c r="H575" s="6">
        <v>42450.495289351849</v>
      </c>
    </row>
    <row r="576" spans="4:8" x14ac:dyDescent="0.2">
      <c r="D576" s="6"/>
      <c r="H576" s="6">
        <v>42450.495312500003</v>
      </c>
    </row>
    <row r="577" spans="1:8" x14ac:dyDescent="0.2">
      <c r="D577" s="6"/>
      <c r="H577" s="6">
        <v>42450.495335648149</v>
      </c>
    </row>
    <row r="578" spans="1:8" x14ac:dyDescent="0.2">
      <c r="D578" s="6"/>
      <c r="H578" s="6">
        <v>42450.495358796295</v>
      </c>
    </row>
    <row r="579" spans="1:8" x14ac:dyDescent="0.2">
      <c r="D579" s="6"/>
      <c r="H579" s="6">
        <v>42450.495381944442</v>
      </c>
    </row>
    <row r="580" spans="1:8" x14ac:dyDescent="0.2">
      <c r="D580" s="6"/>
      <c r="H580" s="6">
        <v>42450.495405092595</v>
      </c>
    </row>
    <row r="581" spans="1:8" x14ac:dyDescent="0.2">
      <c r="D581" s="6"/>
      <c r="H581" s="6">
        <v>42450.495462962965</v>
      </c>
    </row>
    <row r="582" spans="1:8" x14ac:dyDescent="0.2">
      <c r="A582" s="19"/>
      <c r="D582" s="6"/>
      <c r="H582" s="6">
        <v>42450.495497685188</v>
      </c>
    </row>
    <row r="583" spans="1:8" x14ac:dyDescent="0.2">
      <c r="D583" s="6"/>
      <c r="H583" s="6">
        <v>42450.495937500003</v>
      </c>
    </row>
    <row r="584" spans="1:8" x14ac:dyDescent="0.2">
      <c r="D584" s="6"/>
      <c r="H584" s="6">
        <v>42450.495983796296</v>
      </c>
    </row>
    <row r="585" spans="1:8" x14ac:dyDescent="0.2">
      <c r="D585" s="6"/>
      <c r="H585" s="6">
        <v>42450.496030092596</v>
      </c>
    </row>
    <row r="586" spans="1:8" x14ac:dyDescent="0.2">
      <c r="D586" s="6"/>
      <c r="H586" s="6">
        <v>42450.496076388888</v>
      </c>
    </row>
    <row r="587" spans="1:8" x14ac:dyDescent="0.2">
      <c r="D587" s="6"/>
      <c r="H587" s="6">
        <v>42450.496111111112</v>
      </c>
    </row>
    <row r="588" spans="1:8" x14ac:dyDescent="0.2">
      <c r="D588" s="6"/>
      <c r="H588" s="6">
        <v>42450.496145833335</v>
      </c>
    </row>
    <row r="589" spans="1:8" x14ac:dyDescent="0.2">
      <c r="D589" s="6"/>
      <c r="H589" s="6">
        <v>42450.495509259257</v>
      </c>
    </row>
    <row r="590" spans="1:8" x14ac:dyDescent="0.2">
      <c r="D590" s="6"/>
      <c r="H590" s="6">
        <v>42450.495555555557</v>
      </c>
    </row>
    <row r="591" spans="1:8" x14ac:dyDescent="0.2">
      <c r="D591" s="6"/>
      <c r="H591" s="6">
        <v>42450.49560185185</v>
      </c>
    </row>
    <row r="592" spans="1:8" x14ac:dyDescent="0.2">
      <c r="D592" s="6"/>
      <c r="H592" s="6">
        <v>42450.495625000003</v>
      </c>
    </row>
    <row r="593" spans="4:8" x14ac:dyDescent="0.2">
      <c r="D593" s="6"/>
      <c r="H593" s="6">
        <v>42450.495636574073</v>
      </c>
    </row>
    <row r="594" spans="4:8" x14ac:dyDescent="0.2">
      <c r="D594" s="6"/>
      <c r="H594" s="6">
        <v>42450.495636574073</v>
      </c>
    </row>
    <row r="595" spans="4:8" x14ac:dyDescent="0.2">
      <c r="D595" s="6"/>
      <c r="H595" s="6">
        <v>42450.495648148149</v>
      </c>
    </row>
    <row r="596" spans="4:8" x14ac:dyDescent="0.2">
      <c r="D596" s="6"/>
      <c r="H596" s="6">
        <v>42450.495682870373</v>
      </c>
    </row>
    <row r="597" spans="4:8" x14ac:dyDescent="0.2">
      <c r="D597" s="6"/>
      <c r="H597" s="6">
        <v>42450.495717592596</v>
      </c>
    </row>
    <row r="598" spans="4:8" x14ac:dyDescent="0.2">
      <c r="D598" s="6"/>
      <c r="H598" s="6">
        <v>42450.495740740742</v>
      </c>
    </row>
    <row r="599" spans="4:8" x14ac:dyDescent="0.2">
      <c r="D599" s="6"/>
      <c r="H599" s="6">
        <v>42453.657349537039</v>
      </c>
    </row>
    <row r="600" spans="4:8" x14ac:dyDescent="0.2">
      <c r="D600" s="6"/>
      <c r="H600" s="6">
        <v>42453.657361111109</v>
      </c>
    </row>
    <row r="601" spans="4:8" x14ac:dyDescent="0.2">
      <c r="D601" s="6"/>
      <c r="H601" s="6">
        <v>42450.495752314811</v>
      </c>
    </row>
    <row r="602" spans="4:8" x14ac:dyDescent="0.2">
      <c r="D602" s="6"/>
      <c r="H602" s="6">
        <v>42450.495763888888</v>
      </c>
    </row>
    <row r="603" spans="4:8" x14ac:dyDescent="0.2">
      <c r="D603" s="6"/>
      <c r="H603" s="6">
        <v>42450.495763888888</v>
      </c>
    </row>
    <row r="604" spans="4:8" x14ac:dyDescent="0.2">
      <c r="D604" s="6"/>
      <c r="H604" s="6">
        <v>42450.495775462965</v>
      </c>
    </row>
    <row r="605" spans="4:8" x14ac:dyDescent="0.2">
      <c r="D605" s="6"/>
      <c r="H605" s="6">
        <v>42450.495833333334</v>
      </c>
    </row>
    <row r="606" spans="4:8" x14ac:dyDescent="0.2">
      <c r="D606" s="6"/>
      <c r="H606" s="6">
        <v>42468.461273148147</v>
      </c>
    </row>
    <row r="607" spans="4:8" x14ac:dyDescent="0.2">
      <c r="D607" s="6"/>
      <c r="H607" s="6">
        <v>42468.515115740738</v>
      </c>
    </row>
    <row r="608" spans="4:8" x14ac:dyDescent="0.2">
      <c r="D608" s="6"/>
      <c r="H608" s="6">
        <v>42474.667141203703</v>
      </c>
    </row>
    <row r="609" spans="4:8" x14ac:dyDescent="0.2">
      <c r="D609" s="6"/>
      <c r="H609" s="6">
        <v>42474.660300925927</v>
      </c>
    </row>
    <row r="610" spans="4:8" x14ac:dyDescent="0.2">
      <c r="D610" s="6"/>
      <c r="H610" s="6">
        <v>42489.738043981481</v>
      </c>
    </row>
    <row r="611" spans="4:8" x14ac:dyDescent="0.2">
      <c r="D611" s="6"/>
      <c r="H611" s="6">
        <v>42489.743715277778</v>
      </c>
    </row>
    <row r="612" spans="4:8" x14ac:dyDescent="0.2">
      <c r="D612" s="6"/>
      <c r="H612" s="6">
        <v>42489.736458333333</v>
      </c>
    </row>
    <row r="613" spans="4:8" x14ac:dyDescent="0.2">
      <c r="D613" s="6"/>
      <c r="H613" s="6">
        <v>42489.704699074071</v>
      </c>
    </row>
    <row r="614" spans="4:8" x14ac:dyDescent="0.2">
      <c r="D614" s="6"/>
      <c r="H614" s="6">
        <v>41151.482858796298</v>
      </c>
    </row>
    <row r="615" spans="4:8" x14ac:dyDescent="0.2">
      <c r="D615" s="6"/>
      <c r="H615" s="6">
        <v>42488.501793981479</v>
      </c>
    </row>
    <row r="616" spans="4:8" x14ac:dyDescent="0.2">
      <c r="D616" s="6"/>
      <c r="H616" s="6">
        <v>42489.411365740743</v>
      </c>
    </row>
    <row r="617" spans="4:8" x14ac:dyDescent="0.2">
      <c r="D617" s="6"/>
      <c r="H617" s="6">
        <v>42311.54420138889</v>
      </c>
    </row>
    <row r="618" spans="4:8" x14ac:dyDescent="0.2">
      <c r="D618" s="6"/>
      <c r="H618" s="6">
        <v>41880.420567129629</v>
      </c>
    </row>
    <row r="619" spans="4:8" x14ac:dyDescent="0.2">
      <c r="D619" s="6"/>
      <c r="H619" s="6">
        <v>40913.469537037039</v>
      </c>
    </row>
    <row r="620" spans="4:8" x14ac:dyDescent="0.2">
      <c r="D620" s="6"/>
      <c r="H620" s="6">
        <v>42332.55914351852</v>
      </c>
    </row>
    <row r="621" spans="4:8" x14ac:dyDescent="0.2">
      <c r="D621" s="6"/>
      <c r="H621" s="6">
        <v>40913.469537037039</v>
      </c>
    </row>
    <row r="622" spans="4:8" x14ac:dyDescent="0.2">
      <c r="D622" s="6"/>
      <c r="H622" s="6">
        <v>42450.516840277778</v>
      </c>
    </row>
    <row r="623" spans="4:8" x14ac:dyDescent="0.2">
      <c r="D623" s="6"/>
      <c r="H623" s="6">
        <v>42450.516863425924</v>
      </c>
    </row>
    <row r="624" spans="4:8" x14ac:dyDescent="0.2">
      <c r="D624" s="6"/>
      <c r="H624" s="6">
        <v>42450.516898148147</v>
      </c>
    </row>
    <row r="625" spans="4:8" x14ac:dyDescent="0.2">
      <c r="D625" s="6"/>
      <c r="H625" s="6">
        <v>42450.516921296294</v>
      </c>
    </row>
    <row r="626" spans="4:8" x14ac:dyDescent="0.2">
      <c r="D626" s="6"/>
      <c r="H626" s="6">
        <v>42450.517013888886</v>
      </c>
    </row>
    <row r="627" spans="4:8" x14ac:dyDescent="0.2">
      <c r="D627" s="6"/>
      <c r="H627" s="6">
        <v>42450.517083333332</v>
      </c>
    </row>
    <row r="628" spans="4:8" x14ac:dyDescent="0.2">
      <c r="D628" s="6"/>
      <c r="H628" s="6">
        <v>42450.517106481479</v>
      </c>
    </row>
    <row r="629" spans="4:8" x14ac:dyDescent="0.2">
      <c r="D629" s="6"/>
      <c r="H629" s="6">
        <v>42450.517106481479</v>
      </c>
    </row>
    <row r="630" spans="4:8" x14ac:dyDescent="0.2">
      <c r="D630" s="6"/>
      <c r="H630" s="6">
        <v>42450.517118055555</v>
      </c>
    </row>
    <row r="631" spans="4:8" x14ac:dyDescent="0.2">
      <c r="D631" s="6"/>
      <c r="H631" s="6">
        <v>42450.517129629632</v>
      </c>
    </row>
    <row r="632" spans="4:8" x14ac:dyDescent="0.2">
      <c r="D632" s="6"/>
      <c r="H632" s="6">
        <v>42450.517141203702</v>
      </c>
    </row>
    <row r="633" spans="4:8" x14ac:dyDescent="0.2">
      <c r="D633" s="6"/>
      <c r="H633" s="6">
        <v>42450.517141203702</v>
      </c>
    </row>
    <row r="634" spans="4:8" x14ac:dyDescent="0.2">
      <c r="D634" s="6"/>
      <c r="H634" s="6">
        <v>42450.517152777778</v>
      </c>
    </row>
    <row r="635" spans="4:8" x14ac:dyDescent="0.2">
      <c r="D635" s="6"/>
      <c r="H635" s="6">
        <v>42450.517164351855</v>
      </c>
    </row>
    <row r="636" spans="4:8" x14ac:dyDescent="0.2">
      <c r="D636" s="6"/>
      <c r="H636" s="6">
        <v>42450.554236111115</v>
      </c>
    </row>
    <row r="637" spans="4:8" x14ac:dyDescent="0.2">
      <c r="D637" s="6"/>
      <c r="H637" s="6">
        <v>42450.554270833331</v>
      </c>
    </row>
    <row r="638" spans="4:8" x14ac:dyDescent="0.2">
      <c r="D638" s="6"/>
      <c r="H638" s="6">
        <v>42450.517442129632</v>
      </c>
    </row>
    <row r="639" spans="4:8" x14ac:dyDescent="0.2">
      <c r="D639" s="6"/>
      <c r="H639" s="6">
        <v>42450.517870370371</v>
      </c>
    </row>
    <row r="640" spans="4:8" x14ac:dyDescent="0.2">
      <c r="D640" s="6"/>
      <c r="H640" s="6">
        <v>42450.517881944441</v>
      </c>
    </row>
    <row r="641" spans="4:8" x14ac:dyDescent="0.2">
      <c r="D641" s="6"/>
      <c r="H641" s="6">
        <v>42450.517893518518</v>
      </c>
    </row>
    <row r="642" spans="4:8" x14ac:dyDescent="0.2">
      <c r="D642" s="6"/>
      <c r="H642" s="6">
        <v>42450.517928240741</v>
      </c>
    </row>
    <row r="643" spans="4:8" x14ac:dyDescent="0.2">
      <c r="D643" s="6"/>
      <c r="H643" s="6">
        <v>42450.518263888887</v>
      </c>
    </row>
    <row r="644" spans="4:8" x14ac:dyDescent="0.2">
      <c r="D644" s="6"/>
      <c r="H644" s="6">
        <v>42450.518287037034</v>
      </c>
    </row>
    <row r="645" spans="4:8" x14ac:dyDescent="0.2">
      <c r="D645" s="6"/>
      <c r="H645" s="6">
        <v>42450.518310185187</v>
      </c>
    </row>
    <row r="646" spans="4:8" x14ac:dyDescent="0.2">
      <c r="D646" s="6"/>
      <c r="H646" s="6">
        <v>42450.518321759257</v>
      </c>
    </row>
    <row r="647" spans="4:8" x14ac:dyDescent="0.2">
      <c r="D647" s="6"/>
      <c r="H647" s="6">
        <v>42450.518333333333</v>
      </c>
    </row>
    <row r="648" spans="4:8" x14ac:dyDescent="0.2">
      <c r="D648" s="6"/>
      <c r="H648" s="6">
        <v>42450.518425925926</v>
      </c>
    </row>
    <row r="649" spans="4:8" x14ac:dyDescent="0.2">
      <c r="D649" s="6"/>
      <c r="H649" s="6">
        <v>42450.518449074072</v>
      </c>
    </row>
    <row r="650" spans="4:8" x14ac:dyDescent="0.2">
      <c r="D650" s="6"/>
      <c r="H650" s="6">
        <v>42450.519131944442</v>
      </c>
    </row>
    <row r="651" spans="4:8" x14ac:dyDescent="0.2">
      <c r="D651" s="6"/>
      <c r="H651" s="6">
        <v>42450.519131944442</v>
      </c>
    </row>
    <row r="652" spans="4:8" x14ac:dyDescent="0.2">
      <c r="D652" s="6"/>
      <c r="H652" s="6">
        <v>42450.519131944442</v>
      </c>
    </row>
    <row r="653" spans="4:8" x14ac:dyDescent="0.2">
      <c r="D653" s="6"/>
      <c r="H653" s="6">
        <v>42450.519131944442</v>
      </c>
    </row>
    <row r="654" spans="4:8" x14ac:dyDescent="0.2">
      <c r="D654" s="6"/>
      <c r="H654" s="6">
        <v>42450.519131944442</v>
      </c>
    </row>
    <row r="655" spans="4:8" x14ac:dyDescent="0.2">
      <c r="D655" s="6"/>
      <c r="H655" s="6">
        <v>42450.519143518519</v>
      </c>
    </row>
    <row r="656" spans="4:8" x14ac:dyDescent="0.2">
      <c r="D656" s="6"/>
      <c r="H656" s="6">
        <v>42450.519143518519</v>
      </c>
    </row>
    <row r="657" spans="1:8" x14ac:dyDescent="0.2">
      <c r="D657" s="6"/>
      <c r="H657" s="6">
        <v>42450.519143518519</v>
      </c>
    </row>
    <row r="658" spans="1:8" x14ac:dyDescent="0.2">
      <c r="A658" s="19"/>
      <c r="D658" s="6"/>
      <c r="H658" s="6">
        <v>42450.517199074071</v>
      </c>
    </row>
    <row r="659" spans="1:8" x14ac:dyDescent="0.2">
      <c r="A659" s="19"/>
      <c r="D659" s="6"/>
      <c r="H659" s="6">
        <v>42450.517222222225</v>
      </c>
    </row>
    <row r="660" spans="1:8" x14ac:dyDescent="0.2">
      <c r="D660" s="6"/>
      <c r="H660" s="6">
        <v>42450.517789351848</v>
      </c>
    </row>
    <row r="661" spans="1:8" x14ac:dyDescent="0.2">
      <c r="D661" s="6"/>
      <c r="H661" s="6">
        <v>42450.517905092594</v>
      </c>
    </row>
    <row r="662" spans="1:8" x14ac:dyDescent="0.2">
      <c r="D662" s="6"/>
      <c r="H662" s="6">
        <v>42450.51803240741</v>
      </c>
    </row>
    <row r="663" spans="1:8" x14ac:dyDescent="0.2">
      <c r="D663" s="6"/>
      <c r="H663" s="6">
        <v>42450.518113425926</v>
      </c>
    </row>
    <row r="664" spans="1:8" x14ac:dyDescent="0.2">
      <c r="D664" s="6"/>
      <c r="H664" s="6">
        <v>42486.421342592592</v>
      </c>
    </row>
    <row r="665" spans="1:8" x14ac:dyDescent="0.2">
      <c r="D665" s="6"/>
      <c r="H665" s="6">
        <v>42486.422800925924</v>
      </c>
    </row>
    <row r="666" spans="1:8" x14ac:dyDescent="0.2">
      <c r="D666" s="6"/>
      <c r="H666" s="6">
        <v>42486.422372685185</v>
      </c>
    </row>
    <row r="667" spans="1:8" x14ac:dyDescent="0.2">
      <c r="D667" s="6"/>
      <c r="H667" s="6">
        <v>42450.51903935185</v>
      </c>
    </row>
    <row r="668" spans="1:8" x14ac:dyDescent="0.2">
      <c r="D668" s="6"/>
      <c r="H668" s="6">
        <v>42450.519074074073</v>
      </c>
    </row>
    <row r="669" spans="1:8" x14ac:dyDescent="0.2">
      <c r="D669" s="6"/>
      <c r="H669" s="6">
        <v>42445.452245370368</v>
      </c>
    </row>
    <row r="670" spans="1:8" x14ac:dyDescent="0.2">
      <c r="D670" s="6"/>
      <c r="H670" s="6">
        <v>42450.519155092596</v>
      </c>
    </row>
    <row r="671" spans="1:8" x14ac:dyDescent="0.2">
      <c r="D671" s="6"/>
      <c r="H671" s="6">
        <v>42445.694594907407</v>
      </c>
    </row>
    <row r="672" spans="1:8" x14ac:dyDescent="0.2">
      <c r="D672" s="6"/>
      <c r="H672" s="6">
        <v>42450.519155092596</v>
      </c>
    </row>
    <row r="673" spans="4:8" x14ac:dyDescent="0.2">
      <c r="D673" s="6"/>
      <c r="H673" s="6">
        <v>42450.519201388888</v>
      </c>
    </row>
    <row r="674" spans="4:8" x14ac:dyDescent="0.2">
      <c r="D674" s="6"/>
      <c r="H674" s="6">
        <v>42450.519259259258</v>
      </c>
    </row>
    <row r="675" spans="4:8" x14ac:dyDescent="0.2">
      <c r="D675" s="6"/>
      <c r="H675" s="6">
        <v>42450.714386574073</v>
      </c>
    </row>
    <row r="676" spans="4:8" x14ac:dyDescent="0.2">
      <c r="D676" s="6"/>
      <c r="H676" s="6">
        <v>42450.721307870372</v>
      </c>
    </row>
    <row r="677" spans="4:8" x14ac:dyDescent="0.2">
      <c r="D677" s="6"/>
      <c r="H677" s="6">
        <v>42464.601539351854</v>
      </c>
    </row>
    <row r="678" spans="4:8" x14ac:dyDescent="0.2">
      <c r="D678" s="6"/>
      <c r="H678" s="6">
        <v>42465.604444444441</v>
      </c>
    </row>
    <row r="679" spans="4:8" x14ac:dyDescent="0.2">
      <c r="D679" s="6"/>
      <c r="H679" s="6">
        <v>42464.598310185182</v>
      </c>
    </row>
    <row r="680" spans="4:8" x14ac:dyDescent="0.2">
      <c r="D680" s="6"/>
      <c r="H680" s="6">
        <v>42471.51903935185</v>
      </c>
    </row>
    <row r="681" spans="4:8" x14ac:dyDescent="0.2">
      <c r="D681" s="6"/>
      <c r="H681" s="6">
        <v>42474.425752314812</v>
      </c>
    </row>
    <row r="682" spans="4:8" x14ac:dyDescent="0.2">
      <c r="D682" s="6"/>
      <c r="H682" s="6">
        <v>42474.488599537035</v>
      </c>
    </row>
    <row r="683" spans="4:8" x14ac:dyDescent="0.2">
      <c r="D683" s="6"/>
      <c r="H683" s="6">
        <v>42474.488449074073</v>
      </c>
    </row>
    <row r="684" spans="4:8" x14ac:dyDescent="0.2">
      <c r="D684" s="6"/>
      <c r="H684" s="6">
        <v>42474.489756944444</v>
      </c>
    </row>
    <row r="685" spans="4:8" x14ac:dyDescent="0.2">
      <c r="D685" s="6"/>
      <c r="H685" s="6">
        <v>42474.485636574071</v>
      </c>
    </row>
    <row r="686" spans="4:8" x14ac:dyDescent="0.2">
      <c r="D686" s="6"/>
      <c r="H686" s="6">
        <v>42474.429502314815</v>
      </c>
    </row>
    <row r="687" spans="4:8" x14ac:dyDescent="0.2">
      <c r="D687" s="6"/>
      <c r="H687" s="6">
        <v>42474.428414351853</v>
      </c>
    </row>
    <row r="688" spans="4:8" x14ac:dyDescent="0.2">
      <c r="D688" s="6"/>
      <c r="H688" s="6">
        <v>42474.427256944444</v>
      </c>
    </row>
    <row r="689" spans="4:8" x14ac:dyDescent="0.2">
      <c r="D689" s="6"/>
      <c r="H689" s="6">
        <v>42474.489270833335</v>
      </c>
    </row>
    <row r="690" spans="4:8" x14ac:dyDescent="0.2">
      <c r="D690" s="6"/>
      <c r="H690" s="6">
        <v>42474.484895833331</v>
      </c>
    </row>
    <row r="691" spans="4:8" x14ac:dyDescent="0.2">
      <c r="D691" s="6"/>
      <c r="H691" s="6">
        <v>42474.425763888888</v>
      </c>
    </row>
    <row r="692" spans="4:8" x14ac:dyDescent="0.2">
      <c r="D692" s="6"/>
      <c r="H692" s="6">
        <v>42486.742442129631</v>
      </c>
    </row>
    <row r="693" spans="4:8" x14ac:dyDescent="0.2">
      <c r="D693" s="6"/>
      <c r="H693" s="6">
        <v>42486.749120370368</v>
      </c>
    </row>
    <row r="694" spans="4:8" x14ac:dyDescent="0.2">
      <c r="D694" s="6"/>
      <c r="H694" s="6">
        <v>42486.742893518516</v>
      </c>
    </row>
    <row r="695" spans="4:8" x14ac:dyDescent="0.2">
      <c r="D695" s="6"/>
      <c r="H695" s="6">
        <v>42488.663564814815</v>
      </c>
    </row>
    <row r="696" spans="4:8" x14ac:dyDescent="0.2">
      <c r="D696" s="6"/>
      <c r="H696" s="6">
        <v>42486.514467592591</v>
      </c>
    </row>
    <row r="697" spans="4:8" x14ac:dyDescent="0.2">
      <c r="D697" s="6"/>
      <c r="H697" s="6">
        <v>42486.514490740738</v>
      </c>
    </row>
    <row r="698" spans="4:8" x14ac:dyDescent="0.2">
      <c r="D698" s="6"/>
      <c r="H698" s="6">
        <v>42486.514560185184</v>
      </c>
    </row>
    <row r="699" spans="4:8" x14ac:dyDescent="0.2">
      <c r="D699" s="6"/>
      <c r="H699" s="6">
        <v>42486.514479166668</v>
      </c>
    </row>
    <row r="700" spans="4:8" x14ac:dyDescent="0.2">
      <c r="D700" s="6"/>
      <c r="H700" s="6">
        <v>42486.514560185184</v>
      </c>
    </row>
    <row r="701" spans="4:8" x14ac:dyDescent="0.2">
      <c r="D701" s="6"/>
      <c r="H701" s="6">
        <v>42486.51457175926</v>
      </c>
    </row>
    <row r="702" spans="4:8" x14ac:dyDescent="0.2">
      <c r="D702" s="6"/>
      <c r="H702" s="6">
        <v>42486.514560185184</v>
      </c>
    </row>
    <row r="703" spans="4:8" x14ac:dyDescent="0.2">
      <c r="D703" s="6"/>
      <c r="H703" s="6">
        <v>42486.514560185184</v>
      </c>
    </row>
    <row r="704" spans="4:8" x14ac:dyDescent="0.2">
      <c r="D704" s="6"/>
      <c r="H704" s="6">
        <v>42486.51457175926</v>
      </c>
    </row>
    <row r="705" spans="4:8" x14ac:dyDescent="0.2">
      <c r="D705" s="6"/>
      <c r="H705" s="6">
        <v>42486.51457175926</v>
      </c>
    </row>
    <row r="706" spans="4:8" x14ac:dyDescent="0.2">
      <c r="D706" s="6"/>
      <c r="H706" s="6">
        <v>42486.51457175926</v>
      </c>
    </row>
    <row r="707" spans="4:8" x14ac:dyDescent="0.2">
      <c r="D707" s="6"/>
      <c r="H707" s="6">
        <v>42486.51458333333</v>
      </c>
    </row>
    <row r="708" spans="4:8" x14ac:dyDescent="0.2">
      <c r="D708" s="6"/>
      <c r="H708" s="6">
        <v>42487.642858796295</v>
      </c>
    </row>
    <row r="709" spans="4:8" x14ac:dyDescent="0.2">
      <c r="D709" s="6"/>
      <c r="H709" s="6">
        <v>42487.642858796295</v>
      </c>
    </row>
    <row r="710" spans="4:8" x14ac:dyDescent="0.2">
      <c r="D710" s="6"/>
      <c r="H710" s="6">
        <v>42487.534895833334</v>
      </c>
    </row>
    <row r="711" spans="4:8" x14ac:dyDescent="0.2">
      <c r="D711" s="6"/>
      <c r="H711" s="6">
        <v>42489.602465277778</v>
      </c>
    </row>
    <row r="712" spans="4:8" x14ac:dyDescent="0.2">
      <c r="D712" s="6"/>
      <c r="H712" s="6">
        <v>42489.522164351853</v>
      </c>
    </row>
    <row r="713" spans="4:8" x14ac:dyDescent="0.2">
      <c r="D713" s="6"/>
      <c r="H713" s="6">
        <v>42450.519305555557</v>
      </c>
    </row>
    <row r="714" spans="4:8" x14ac:dyDescent="0.2">
      <c r="D714" s="6"/>
      <c r="H714" s="6">
        <v>42486.522951388892</v>
      </c>
    </row>
    <row r="715" spans="4:8" x14ac:dyDescent="0.2">
      <c r="D715" s="6"/>
      <c r="H715" s="6">
        <v>42486.524363425924</v>
      </c>
    </row>
    <row r="716" spans="4:8" x14ac:dyDescent="0.2">
      <c r="D716" s="6"/>
      <c r="H716" s="6">
        <v>42486.519953703704</v>
      </c>
    </row>
    <row r="717" spans="4:8" x14ac:dyDescent="0.2">
      <c r="D717" s="6"/>
      <c r="H717" s="6">
        <v>42486.519548611112</v>
      </c>
    </row>
    <row r="718" spans="4:8" x14ac:dyDescent="0.2">
      <c r="D718" s="6"/>
      <c r="H718" s="6">
        <v>42486.519953703704</v>
      </c>
    </row>
    <row r="719" spans="4:8" x14ac:dyDescent="0.2">
      <c r="D719" s="6"/>
      <c r="H719" s="6">
        <v>42486.519953703704</v>
      </c>
    </row>
    <row r="720" spans="4:8" x14ac:dyDescent="0.2">
      <c r="D720" s="6"/>
      <c r="H720" s="6">
        <v>42486.519953703704</v>
      </c>
    </row>
    <row r="721" spans="4:8" x14ac:dyDescent="0.2">
      <c r="D721" s="6"/>
      <c r="H721" s="6">
        <v>42486.519953703704</v>
      </c>
    </row>
    <row r="722" spans="4:8" x14ac:dyDescent="0.2">
      <c r="D722" s="6"/>
      <c r="H722" s="6">
        <v>42486.519965277781</v>
      </c>
    </row>
    <row r="723" spans="4:8" x14ac:dyDescent="0.2">
      <c r="D723" s="6"/>
      <c r="H723" s="6">
        <v>42486.519953703704</v>
      </c>
    </row>
    <row r="724" spans="4:8" x14ac:dyDescent="0.2">
      <c r="D724" s="6"/>
      <c r="H724" s="6">
        <v>42450.519317129627</v>
      </c>
    </row>
    <row r="725" spans="4:8" x14ac:dyDescent="0.2">
      <c r="D725" s="6"/>
      <c r="H725" s="6">
        <v>42450.519317129627</v>
      </c>
    </row>
    <row r="726" spans="4:8" x14ac:dyDescent="0.2">
      <c r="D726" s="6"/>
      <c r="H726" s="6">
        <v>42450.519328703704</v>
      </c>
    </row>
    <row r="727" spans="4:8" x14ac:dyDescent="0.2">
      <c r="D727" s="6"/>
      <c r="H727" s="6">
        <v>42450.519328703704</v>
      </c>
    </row>
    <row r="728" spans="4:8" x14ac:dyDescent="0.2">
      <c r="D728" s="6"/>
      <c r="H728" s="6">
        <v>42450.519328703704</v>
      </c>
    </row>
    <row r="729" spans="4:8" x14ac:dyDescent="0.2">
      <c r="D729" s="6"/>
      <c r="H729" s="6">
        <v>42450.51934027778</v>
      </c>
    </row>
    <row r="730" spans="4:8" x14ac:dyDescent="0.2">
      <c r="D730" s="6"/>
      <c r="H730" s="6">
        <v>42450.519363425927</v>
      </c>
    </row>
    <row r="731" spans="4:8" x14ac:dyDescent="0.2">
      <c r="D731" s="6"/>
      <c r="H731" s="6">
        <v>42450.519375000003</v>
      </c>
    </row>
    <row r="732" spans="4:8" x14ac:dyDescent="0.2">
      <c r="D732" s="6"/>
      <c r="H732" s="6">
        <v>42450.519375000003</v>
      </c>
    </row>
    <row r="733" spans="4:8" x14ac:dyDescent="0.2">
      <c r="D733" s="6"/>
      <c r="H733" s="6">
        <v>42450.519386574073</v>
      </c>
    </row>
    <row r="734" spans="4:8" x14ac:dyDescent="0.2">
      <c r="D734" s="6"/>
      <c r="H734" s="6">
        <v>42450.51939814815</v>
      </c>
    </row>
    <row r="735" spans="4:8" x14ac:dyDescent="0.2">
      <c r="D735" s="6"/>
      <c r="H735" s="6">
        <v>42450.519456018519</v>
      </c>
    </row>
    <row r="736" spans="4:8" x14ac:dyDescent="0.2">
      <c r="D736" s="6"/>
      <c r="H736" s="6">
        <v>42450.519467592596</v>
      </c>
    </row>
    <row r="737" spans="4:8" x14ac:dyDescent="0.2">
      <c r="D737" s="6"/>
      <c r="H737" s="6">
        <v>42450.519479166665</v>
      </c>
    </row>
    <row r="738" spans="4:8" x14ac:dyDescent="0.2">
      <c r="D738" s="6"/>
      <c r="H738" s="6">
        <v>42450.519537037035</v>
      </c>
    </row>
    <row r="739" spans="4:8" x14ac:dyDescent="0.2">
      <c r="D739" s="6"/>
      <c r="H739" s="6">
        <v>42450.519560185188</v>
      </c>
    </row>
    <row r="740" spans="4:8" x14ac:dyDescent="0.2">
      <c r="D740" s="6"/>
      <c r="H740" s="6">
        <v>42450.519560185188</v>
      </c>
    </row>
    <row r="741" spans="4:8" x14ac:dyDescent="0.2">
      <c r="D741" s="6"/>
      <c r="H741" s="6">
        <v>42453.748726851853</v>
      </c>
    </row>
    <row r="742" spans="4:8" x14ac:dyDescent="0.2">
      <c r="D742" s="6"/>
      <c r="H742" s="6">
        <v>42453.647164351853</v>
      </c>
    </row>
    <row r="743" spans="4:8" x14ac:dyDescent="0.2">
      <c r="D743" s="6"/>
      <c r="H743" s="6">
        <v>42453.526643518519</v>
      </c>
    </row>
    <row r="744" spans="4:8" x14ac:dyDescent="0.2">
      <c r="D744" s="6"/>
      <c r="H744" s="6">
        <v>42453.648946759262</v>
      </c>
    </row>
    <row r="745" spans="4:8" x14ac:dyDescent="0.2">
      <c r="D745" s="6"/>
      <c r="H745" s="6">
        <v>42453.651863425926</v>
      </c>
    </row>
    <row r="746" spans="4:8" x14ac:dyDescent="0.2">
      <c r="D746" s="6"/>
      <c r="H746" s="6">
        <v>42453.736493055556</v>
      </c>
    </row>
    <row r="747" spans="4:8" x14ac:dyDescent="0.2">
      <c r="D747" s="6"/>
      <c r="H747" s="6">
        <v>42450.519675925927</v>
      </c>
    </row>
    <row r="748" spans="4:8" x14ac:dyDescent="0.2">
      <c r="D748" s="6"/>
      <c r="H748" s="6">
        <v>42450.519687499997</v>
      </c>
    </row>
    <row r="749" spans="4:8" x14ac:dyDescent="0.2">
      <c r="D749" s="6"/>
      <c r="H749" s="6">
        <v>42450.519699074073</v>
      </c>
    </row>
    <row r="750" spans="4:8" x14ac:dyDescent="0.2">
      <c r="D750" s="6"/>
      <c r="H750" s="6">
        <v>42450.519699074073</v>
      </c>
    </row>
    <row r="751" spans="4:8" x14ac:dyDescent="0.2">
      <c r="D751" s="6"/>
      <c r="H751" s="6">
        <v>42450.519699074073</v>
      </c>
    </row>
    <row r="752" spans="4:8" x14ac:dyDescent="0.2">
      <c r="D752" s="6"/>
      <c r="H752" s="6">
        <v>42450.51971064815</v>
      </c>
    </row>
    <row r="753" spans="4:8" x14ac:dyDescent="0.2">
      <c r="D753" s="6"/>
      <c r="H753" s="6">
        <v>42450.51971064815</v>
      </c>
    </row>
    <row r="754" spans="4:8" x14ac:dyDescent="0.2">
      <c r="D754" s="6"/>
      <c r="H754" s="6">
        <v>42450.519837962966</v>
      </c>
    </row>
    <row r="755" spans="4:8" x14ac:dyDescent="0.2">
      <c r="D755" s="6"/>
      <c r="H755" s="6">
        <v>42450.519907407404</v>
      </c>
    </row>
    <row r="756" spans="4:8" x14ac:dyDescent="0.2">
      <c r="D756" s="6"/>
      <c r="H756" s="6">
        <v>42450.519953703704</v>
      </c>
    </row>
    <row r="757" spans="4:8" x14ac:dyDescent="0.2">
      <c r="D757" s="6"/>
      <c r="H757" s="6">
        <v>42450.520057870373</v>
      </c>
    </row>
    <row r="758" spans="4:8" x14ac:dyDescent="0.2">
      <c r="D758" s="6"/>
      <c r="H758" s="6">
        <v>42450.52008101852</v>
      </c>
    </row>
    <row r="759" spans="4:8" x14ac:dyDescent="0.2">
      <c r="D759" s="6"/>
      <c r="H759" s="6">
        <v>42450.52008101852</v>
      </c>
    </row>
    <row r="760" spans="4:8" x14ac:dyDescent="0.2">
      <c r="D760" s="6"/>
      <c r="H760" s="6">
        <v>42450.52008101852</v>
      </c>
    </row>
    <row r="761" spans="4:8" x14ac:dyDescent="0.2">
      <c r="D761" s="6"/>
      <c r="H761" s="6">
        <v>42450.52008101852</v>
      </c>
    </row>
    <row r="762" spans="4:8" x14ac:dyDescent="0.2">
      <c r="D762" s="6"/>
      <c r="H762" s="6">
        <v>42450.520092592589</v>
      </c>
    </row>
    <row r="763" spans="4:8" x14ac:dyDescent="0.2">
      <c r="D763" s="6"/>
      <c r="H763" s="6">
        <v>42450.520092592589</v>
      </c>
    </row>
    <row r="764" spans="4:8" x14ac:dyDescent="0.2">
      <c r="D764" s="6"/>
      <c r="H764" s="6">
        <v>42450.520092592589</v>
      </c>
    </row>
    <row r="765" spans="4:8" x14ac:dyDescent="0.2">
      <c r="D765" s="6"/>
      <c r="H765" s="6">
        <v>42450.520092592589</v>
      </c>
    </row>
    <row r="766" spans="4:8" x14ac:dyDescent="0.2">
      <c r="D766" s="6"/>
      <c r="H766" s="6">
        <v>42450.520092592589</v>
      </c>
    </row>
    <row r="767" spans="4:8" x14ac:dyDescent="0.2">
      <c r="D767" s="6"/>
      <c r="H767" s="6">
        <v>42450.520092592589</v>
      </c>
    </row>
    <row r="768" spans="4:8" x14ac:dyDescent="0.2">
      <c r="D768" s="6"/>
      <c r="H768" s="6">
        <v>42450.520092592589</v>
      </c>
    </row>
    <row r="769" spans="4:8" x14ac:dyDescent="0.2">
      <c r="D769" s="6"/>
      <c r="H769" s="6">
        <v>42450.520104166666</v>
      </c>
    </row>
    <row r="770" spans="4:8" x14ac:dyDescent="0.2">
      <c r="D770" s="6"/>
      <c r="H770" s="6">
        <v>42450.520104166666</v>
      </c>
    </row>
    <row r="771" spans="4:8" x14ac:dyDescent="0.2">
      <c r="D771" s="6"/>
      <c r="H771" s="6">
        <v>42450.520104166666</v>
      </c>
    </row>
    <row r="772" spans="4:8" x14ac:dyDescent="0.2">
      <c r="D772" s="6"/>
      <c r="H772" s="6">
        <v>42450.520104166666</v>
      </c>
    </row>
    <row r="773" spans="4:8" x14ac:dyDescent="0.2">
      <c r="D773" s="6"/>
      <c r="H773" s="6">
        <v>42450.520115740743</v>
      </c>
    </row>
    <row r="774" spans="4:8" x14ac:dyDescent="0.2">
      <c r="D774" s="6"/>
      <c r="H774" s="6">
        <v>42450.520127314812</v>
      </c>
    </row>
    <row r="775" spans="4:8" x14ac:dyDescent="0.2">
      <c r="D775" s="6"/>
      <c r="H775" s="6">
        <v>42450.520127314812</v>
      </c>
    </row>
    <row r="776" spans="4:8" x14ac:dyDescent="0.2">
      <c r="D776" s="6"/>
      <c r="H776" s="6">
        <v>42450.520127314812</v>
      </c>
    </row>
    <row r="777" spans="4:8" x14ac:dyDescent="0.2">
      <c r="D777" s="6"/>
      <c r="H777" s="6">
        <v>42450.520127314812</v>
      </c>
    </row>
    <row r="778" spans="4:8" x14ac:dyDescent="0.2">
      <c r="D778" s="6"/>
      <c r="H778" s="6">
        <v>42450.520127314812</v>
      </c>
    </row>
    <row r="779" spans="4:8" x14ac:dyDescent="0.2">
      <c r="D779" s="6"/>
      <c r="H779" s="6">
        <v>42450.520138888889</v>
      </c>
    </row>
    <row r="780" spans="4:8" x14ac:dyDescent="0.2">
      <c r="D780" s="6"/>
      <c r="H780" s="6">
        <v>42450.520138888889</v>
      </c>
    </row>
    <row r="781" spans="4:8" x14ac:dyDescent="0.2">
      <c r="D781" s="6"/>
      <c r="H781" s="6">
        <v>42450.520138888889</v>
      </c>
    </row>
    <row r="782" spans="4:8" x14ac:dyDescent="0.2">
      <c r="D782" s="6"/>
      <c r="H782" s="6">
        <v>42450.520138888889</v>
      </c>
    </row>
    <row r="783" spans="4:8" x14ac:dyDescent="0.2">
      <c r="D783" s="6"/>
      <c r="H783" s="6">
        <v>42450.520138888889</v>
      </c>
    </row>
    <row r="784" spans="4:8" x14ac:dyDescent="0.2">
      <c r="D784" s="6"/>
      <c r="H784" s="6">
        <v>42450.520138888889</v>
      </c>
    </row>
    <row r="785" spans="4:8" x14ac:dyDescent="0.2">
      <c r="D785" s="6"/>
      <c r="H785" s="6">
        <v>42450.520138888889</v>
      </c>
    </row>
    <row r="786" spans="4:8" x14ac:dyDescent="0.2">
      <c r="D786" s="6"/>
      <c r="H786" s="6">
        <v>42450.520138888889</v>
      </c>
    </row>
    <row r="787" spans="4:8" x14ac:dyDescent="0.2">
      <c r="D787" s="6"/>
      <c r="H787" s="6">
        <v>42450.520138888889</v>
      </c>
    </row>
    <row r="788" spans="4:8" x14ac:dyDescent="0.2">
      <c r="D788" s="6"/>
      <c r="H788" s="6">
        <v>42450.520150462966</v>
      </c>
    </row>
    <row r="789" spans="4:8" x14ac:dyDescent="0.2">
      <c r="D789" s="6"/>
      <c r="H789" s="6">
        <v>42450.520150462966</v>
      </c>
    </row>
    <row r="790" spans="4:8" x14ac:dyDescent="0.2">
      <c r="D790" s="6"/>
      <c r="H790" s="6">
        <v>42450.520150462966</v>
      </c>
    </row>
    <row r="791" spans="4:8" x14ac:dyDescent="0.2">
      <c r="D791" s="6"/>
      <c r="H791" s="6">
        <v>42450.520162037035</v>
      </c>
    </row>
    <row r="792" spans="4:8" x14ac:dyDescent="0.2">
      <c r="D792" s="6"/>
      <c r="H792" s="6">
        <v>42450.520173611112</v>
      </c>
    </row>
    <row r="793" spans="4:8" x14ac:dyDescent="0.2">
      <c r="D793" s="6"/>
      <c r="H793" s="6">
        <v>42450.520173611112</v>
      </c>
    </row>
    <row r="794" spans="4:8" x14ac:dyDescent="0.2">
      <c r="D794" s="6"/>
      <c r="H794" s="6">
        <v>42450.520173611112</v>
      </c>
    </row>
    <row r="795" spans="4:8" x14ac:dyDescent="0.2">
      <c r="D795" s="6"/>
      <c r="H795" s="6">
        <v>42450.520185185182</v>
      </c>
    </row>
    <row r="796" spans="4:8" x14ac:dyDescent="0.2">
      <c r="D796" s="6"/>
      <c r="H796" s="6">
        <v>42450.520185185182</v>
      </c>
    </row>
    <row r="797" spans="4:8" x14ac:dyDescent="0.2">
      <c r="D797" s="6"/>
      <c r="H797" s="6">
        <v>42450.520185185182</v>
      </c>
    </row>
    <row r="798" spans="4:8" x14ac:dyDescent="0.2">
      <c r="D798" s="6"/>
      <c r="H798" s="6">
        <v>42450.520196759258</v>
      </c>
    </row>
    <row r="799" spans="4:8" x14ac:dyDescent="0.2">
      <c r="D799" s="6"/>
      <c r="H799" s="6">
        <v>42450.520196759258</v>
      </c>
    </row>
    <row r="800" spans="4:8" x14ac:dyDescent="0.2">
      <c r="D800" s="6"/>
      <c r="H800" s="6">
        <v>42450.520208333335</v>
      </c>
    </row>
    <row r="801" spans="4:8" x14ac:dyDescent="0.2">
      <c r="D801" s="6"/>
      <c r="H801" s="6">
        <v>42450.520208333335</v>
      </c>
    </row>
    <row r="802" spans="4:8" x14ac:dyDescent="0.2">
      <c r="D802" s="6"/>
      <c r="H802" s="6">
        <v>42450.520208333335</v>
      </c>
    </row>
    <row r="803" spans="4:8" x14ac:dyDescent="0.2">
      <c r="D803" s="6"/>
      <c r="H803" s="6">
        <v>42450.520208333335</v>
      </c>
    </row>
    <row r="804" spans="4:8" x14ac:dyDescent="0.2">
      <c r="D804" s="6"/>
      <c r="H804" s="6">
        <v>42450.520208333335</v>
      </c>
    </row>
    <row r="805" spans="4:8" x14ac:dyDescent="0.2">
      <c r="D805" s="6"/>
      <c r="H805" s="6">
        <v>42450.520208333335</v>
      </c>
    </row>
    <row r="806" spans="4:8" x14ac:dyDescent="0.2">
      <c r="D806" s="6"/>
      <c r="H806" s="6">
        <v>42450.520208333335</v>
      </c>
    </row>
    <row r="807" spans="4:8" x14ac:dyDescent="0.2">
      <c r="D807" s="6"/>
      <c r="H807" s="6">
        <v>42450.520208333335</v>
      </c>
    </row>
    <row r="808" spans="4:8" x14ac:dyDescent="0.2">
      <c r="D808" s="6"/>
      <c r="H808" s="6">
        <v>42450.520208333335</v>
      </c>
    </row>
    <row r="809" spans="4:8" x14ac:dyDescent="0.2">
      <c r="D809" s="6"/>
      <c r="H809" s="6">
        <v>42450.520208333335</v>
      </c>
    </row>
    <row r="810" spans="4:8" x14ac:dyDescent="0.2">
      <c r="D810" s="6"/>
      <c r="H810" s="6">
        <v>42450.520208333335</v>
      </c>
    </row>
    <row r="811" spans="4:8" x14ac:dyDescent="0.2">
      <c r="D811" s="6"/>
      <c r="H811" s="6">
        <v>42450.520208333335</v>
      </c>
    </row>
    <row r="812" spans="4:8" x14ac:dyDescent="0.2">
      <c r="D812" s="6"/>
      <c r="H812" s="6">
        <v>42450.520219907405</v>
      </c>
    </row>
    <row r="813" spans="4:8" x14ac:dyDescent="0.2">
      <c r="D813" s="6"/>
      <c r="H813" s="6">
        <v>42450.520254629628</v>
      </c>
    </row>
    <row r="814" spans="4:8" x14ac:dyDescent="0.2">
      <c r="D814" s="6"/>
      <c r="H814" s="6">
        <v>42450.520254629628</v>
      </c>
    </row>
    <row r="815" spans="4:8" x14ac:dyDescent="0.2">
      <c r="D815" s="6"/>
      <c r="H815" s="6">
        <v>42450.520266203705</v>
      </c>
    </row>
    <row r="816" spans="4:8" x14ac:dyDescent="0.2">
      <c r="D816" s="6"/>
      <c r="H816" s="6">
        <v>42450.520266203705</v>
      </c>
    </row>
    <row r="817" spans="4:8" x14ac:dyDescent="0.2">
      <c r="D817" s="6"/>
      <c r="H817" s="6">
        <v>42450.520266203705</v>
      </c>
    </row>
    <row r="818" spans="4:8" x14ac:dyDescent="0.2">
      <c r="D818" s="6"/>
      <c r="H818" s="6">
        <v>42450.520266203705</v>
      </c>
    </row>
    <row r="819" spans="4:8" x14ac:dyDescent="0.2">
      <c r="D819" s="6"/>
      <c r="H819" s="6">
        <v>42450.520277777781</v>
      </c>
    </row>
    <row r="820" spans="4:8" x14ac:dyDescent="0.2">
      <c r="D820" s="6"/>
      <c r="H820" s="6">
        <v>42450.520277777781</v>
      </c>
    </row>
    <row r="821" spans="4:8" x14ac:dyDescent="0.2">
      <c r="D821" s="6"/>
      <c r="H821" s="6">
        <v>42450.520277777781</v>
      </c>
    </row>
    <row r="822" spans="4:8" x14ac:dyDescent="0.2">
      <c r="D822" s="6"/>
      <c r="H822" s="6">
        <v>42450.520277777781</v>
      </c>
    </row>
    <row r="823" spans="4:8" x14ac:dyDescent="0.2">
      <c r="D823" s="6"/>
      <c r="H823" s="6">
        <v>42450.520277777781</v>
      </c>
    </row>
    <row r="824" spans="4:8" x14ac:dyDescent="0.2">
      <c r="D824" s="6"/>
      <c r="H824" s="6">
        <v>42450.520277777781</v>
      </c>
    </row>
    <row r="825" spans="4:8" x14ac:dyDescent="0.2">
      <c r="D825" s="6"/>
      <c r="H825" s="6">
        <v>42450.520277777781</v>
      </c>
    </row>
    <row r="826" spans="4:8" x14ac:dyDescent="0.2">
      <c r="D826" s="6"/>
      <c r="H826" s="6">
        <v>42450.520277777781</v>
      </c>
    </row>
    <row r="827" spans="4:8" x14ac:dyDescent="0.2">
      <c r="D827" s="6"/>
      <c r="H827" s="6">
        <v>42450.520277777781</v>
      </c>
    </row>
    <row r="828" spans="4:8" x14ac:dyDescent="0.2">
      <c r="D828" s="6"/>
      <c r="H828" s="6">
        <v>42450.520277777781</v>
      </c>
    </row>
    <row r="829" spans="4:8" x14ac:dyDescent="0.2">
      <c r="D829" s="6"/>
      <c r="H829" s="6">
        <v>42450.520277777781</v>
      </c>
    </row>
    <row r="830" spans="4:8" x14ac:dyDescent="0.2">
      <c r="D830" s="6"/>
      <c r="H830" s="6">
        <v>42450.520277777781</v>
      </c>
    </row>
    <row r="831" spans="4:8" x14ac:dyDescent="0.2">
      <c r="D831" s="6"/>
      <c r="H831" s="6">
        <v>42450.520277777781</v>
      </c>
    </row>
    <row r="832" spans="4:8" x14ac:dyDescent="0.2">
      <c r="D832" s="6"/>
      <c r="H832" s="6">
        <v>42450.520277777781</v>
      </c>
    </row>
    <row r="833" spans="4:8" x14ac:dyDescent="0.2">
      <c r="D833" s="6"/>
      <c r="H833" s="6">
        <v>42450.520277777781</v>
      </c>
    </row>
    <row r="834" spans="4:8" x14ac:dyDescent="0.2">
      <c r="D834" s="6"/>
      <c r="H834" s="6">
        <v>42450.520289351851</v>
      </c>
    </row>
    <row r="835" spans="4:8" x14ac:dyDescent="0.2">
      <c r="D835" s="6"/>
      <c r="H835" s="6">
        <v>42450.520300925928</v>
      </c>
    </row>
    <row r="836" spans="4:8" x14ac:dyDescent="0.2">
      <c r="D836" s="6"/>
      <c r="H836" s="6">
        <v>42450.520300925928</v>
      </c>
    </row>
    <row r="837" spans="4:8" x14ac:dyDescent="0.2">
      <c r="D837" s="6"/>
      <c r="H837" s="6">
        <v>42450.520300925928</v>
      </c>
    </row>
    <row r="838" spans="4:8" x14ac:dyDescent="0.2">
      <c r="D838" s="6"/>
      <c r="H838" s="6">
        <v>42450.520300925928</v>
      </c>
    </row>
    <row r="839" spans="4:8" x14ac:dyDescent="0.2">
      <c r="D839" s="6"/>
      <c r="H839" s="6">
        <v>42450.520300925928</v>
      </c>
    </row>
    <row r="840" spans="4:8" x14ac:dyDescent="0.2">
      <c r="D840" s="6"/>
      <c r="H840" s="6">
        <v>42450.520300925928</v>
      </c>
    </row>
    <row r="841" spans="4:8" x14ac:dyDescent="0.2">
      <c r="D841" s="6"/>
      <c r="H841" s="6">
        <v>42450.520300925928</v>
      </c>
    </row>
    <row r="842" spans="4:8" x14ac:dyDescent="0.2">
      <c r="D842" s="6"/>
      <c r="H842" s="6">
        <v>42450.520300925928</v>
      </c>
    </row>
    <row r="843" spans="4:8" x14ac:dyDescent="0.2">
      <c r="D843" s="6"/>
      <c r="H843" s="6">
        <v>42450.520300925928</v>
      </c>
    </row>
    <row r="844" spans="4:8" x14ac:dyDescent="0.2">
      <c r="D844" s="6"/>
      <c r="H844" s="6">
        <v>42450.520300925928</v>
      </c>
    </row>
    <row r="845" spans="4:8" x14ac:dyDescent="0.2">
      <c r="D845" s="6"/>
      <c r="H845" s="6">
        <v>42450.520300925928</v>
      </c>
    </row>
    <row r="846" spans="4:8" x14ac:dyDescent="0.2">
      <c r="D846" s="6"/>
      <c r="H846" s="6">
        <v>42450.520300925928</v>
      </c>
    </row>
    <row r="847" spans="4:8" x14ac:dyDescent="0.2">
      <c r="D847" s="6"/>
      <c r="H847" s="6">
        <v>42450.520300925928</v>
      </c>
    </row>
    <row r="848" spans="4:8" x14ac:dyDescent="0.2">
      <c r="D848" s="6"/>
      <c r="H848" s="6">
        <v>42450.520300925928</v>
      </c>
    </row>
    <row r="849" spans="4:8" x14ac:dyDescent="0.2">
      <c r="D849" s="6"/>
      <c r="H849" s="6">
        <v>42450.520300925928</v>
      </c>
    </row>
    <row r="850" spans="4:8" x14ac:dyDescent="0.2">
      <c r="D850" s="6"/>
      <c r="H850" s="6">
        <v>42450.520312499997</v>
      </c>
    </row>
    <row r="851" spans="4:8" x14ac:dyDescent="0.2">
      <c r="D851" s="6"/>
      <c r="H851" s="6">
        <v>42450.520312499997</v>
      </c>
    </row>
    <row r="852" spans="4:8" x14ac:dyDescent="0.2">
      <c r="D852" s="6"/>
      <c r="H852" s="6">
        <v>42450.520312499997</v>
      </c>
    </row>
    <row r="853" spans="4:8" x14ac:dyDescent="0.2">
      <c r="D853" s="6"/>
      <c r="H853" s="6">
        <v>42450.520312499997</v>
      </c>
    </row>
    <row r="854" spans="4:8" x14ac:dyDescent="0.2">
      <c r="D854" s="6"/>
      <c r="H854" s="6">
        <v>42450.520312499997</v>
      </c>
    </row>
    <row r="855" spans="4:8" x14ac:dyDescent="0.2">
      <c r="D855" s="6"/>
      <c r="H855" s="6">
        <v>42450.520312499997</v>
      </c>
    </row>
    <row r="856" spans="4:8" x14ac:dyDescent="0.2">
      <c r="D856" s="6"/>
      <c r="H856" s="6">
        <v>42450.520312499997</v>
      </c>
    </row>
    <row r="857" spans="4:8" x14ac:dyDescent="0.2">
      <c r="D857" s="6"/>
      <c r="H857" s="6">
        <v>42450.520312499997</v>
      </c>
    </row>
    <row r="858" spans="4:8" x14ac:dyDescent="0.2">
      <c r="D858" s="6"/>
      <c r="H858" s="6">
        <v>42450.520312499997</v>
      </c>
    </row>
    <row r="859" spans="4:8" x14ac:dyDescent="0.2">
      <c r="D859" s="6"/>
      <c r="H859" s="6">
        <v>42450.520312499997</v>
      </c>
    </row>
    <row r="860" spans="4:8" x14ac:dyDescent="0.2">
      <c r="D860" s="6"/>
      <c r="H860" s="6">
        <v>42450.520312499997</v>
      </c>
    </row>
    <row r="861" spans="4:8" x14ac:dyDescent="0.2">
      <c r="D861" s="6"/>
      <c r="H861" s="6">
        <v>42450.520312499997</v>
      </c>
    </row>
    <row r="862" spans="4:8" x14ac:dyDescent="0.2">
      <c r="D862" s="6"/>
      <c r="H862" s="6">
        <v>42450.520312499997</v>
      </c>
    </row>
    <row r="863" spans="4:8" x14ac:dyDescent="0.2">
      <c r="D863" s="6"/>
      <c r="H863" s="6">
        <v>42450.520312499997</v>
      </c>
    </row>
    <row r="864" spans="4:8" x14ac:dyDescent="0.2">
      <c r="D864" s="6"/>
      <c r="H864" s="6">
        <v>42450.520312499997</v>
      </c>
    </row>
    <row r="865" spans="4:8" x14ac:dyDescent="0.2">
      <c r="D865" s="6"/>
      <c r="H865" s="6">
        <v>42450.520324074074</v>
      </c>
    </row>
    <row r="866" spans="4:8" x14ac:dyDescent="0.2">
      <c r="D866" s="6"/>
      <c r="H866" s="6">
        <v>42450.520324074074</v>
      </c>
    </row>
    <row r="867" spans="4:8" x14ac:dyDescent="0.2">
      <c r="D867" s="6"/>
      <c r="H867" s="6">
        <v>42450.520324074074</v>
      </c>
    </row>
    <row r="868" spans="4:8" x14ac:dyDescent="0.2">
      <c r="D868" s="6"/>
      <c r="H868" s="6">
        <v>42450.520335648151</v>
      </c>
    </row>
    <row r="869" spans="4:8" x14ac:dyDescent="0.2">
      <c r="D869" s="6"/>
      <c r="H869" s="6">
        <v>42450.52034722222</v>
      </c>
    </row>
    <row r="870" spans="4:8" x14ac:dyDescent="0.2">
      <c r="D870" s="6"/>
      <c r="H870" s="6">
        <v>42450.520520833335</v>
      </c>
    </row>
    <row r="871" spans="4:8" x14ac:dyDescent="0.2">
      <c r="D871" s="6"/>
      <c r="H871" s="6">
        <v>42450.520520833335</v>
      </c>
    </row>
    <row r="872" spans="4:8" x14ac:dyDescent="0.2">
      <c r="D872" s="6"/>
      <c r="H872" s="6">
        <v>42450.520520833335</v>
      </c>
    </row>
    <row r="873" spans="4:8" x14ac:dyDescent="0.2">
      <c r="D873" s="6"/>
      <c r="H873" s="6">
        <v>42450.520520833335</v>
      </c>
    </row>
    <row r="874" spans="4:8" x14ac:dyDescent="0.2">
      <c r="D874" s="6"/>
      <c r="H874" s="6">
        <v>42450.520520833335</v>
      </c>
    </row>
    <row r="875" spans="4:8" x14ac:dyDescent="0.2">
      <c r="D875" s="6"/>
      <c r="H875" s="6">
        <v>42450.520520833335</v>
      </c>
    </row>
    <row r="876" spans="4:8" x14ac:dyDescent="0.2">
      <c r="D876" s="6"/>
      <c r="H876" s="6">
        <v>42450.520520833335</v>
      </c>
    </row>
    <row r="877" spans="4:8" x14ac:dyDescent="0.2">
      <c r="D877" s="6"/>
      <c r="H877" s="6">
        <v>42450.520520833335</v>
      </c>
    </row>
    <row r="878" spans="4:8" x14ac:dyDescent="0.2">
      <c r="D878" s="6"/>
      <c r="H878" s="6">
        <v>42450.520520833335</v>
      </c>
    </row>
    <row r="879" spans="4:8" x14ac:dyDescent="0.2">
      <c r="D879" s="6"/>
      <c r="H879" s="6">
        <v>42450.520532407405</v>
      </c>
    </row>
    <row r="880" spans="4:8" x14ac:dyDescent="0.2">
      <c r="D880" s="6"/>
      <c r="H880" s="6">
        <v>42450.520532407405</v>
      </c>
    </row>
    <row r="881" spans="4:8" x14ac:dyDescent="0.2">
      <c r="D881" s="6"/>
      <c r="H881" s="6">
        <v>42450.520532407405</v>
      </c>
    </row>
    <row r="882" spans="4:8" x14ac:dyDescent="0.2">
      <c r="D882" s="6"/>
      <c r="H882" s="6">
        <v>42450.520532407405</v>
      </c>
    </row>
    <row r="883" spans="4:8" x14ac:dyDescent="0.2">
      <c r="D883" s="6"/>
      <c r="H883" s="6">
        <v>42450.520532407405</v>
      </c>
    </row>
    <row r="884" spans="4:8" x14ac:dyDescent="0.2">
      <c r="D884" s="6"/>
      <c r="H884" s="6">
        <v>42450.520532407405</v>
      </c>
    </row>
    <row r="885" spans="4:8" x14ac:dyDescent="0.2">
      <c r="D885" s="6"/>
      <c r="H885" s="6">
        <v>42450.520532407405</v>
      </c>
    </row>
    <row r="886" spans="4:8" x14ac:dyDescent="0.2">
      <c r="D886" s="6"/>
      <c r="H886" s="6">
        <v>42450.520532407405</v>
      </c>
    </row>
    <row r="887" spans="4:8" x14ac:dyDescent="0.2">
      <c r="D887" s="6"/>
      <c r="H887" s="6">
        <v>42450.520532407405</v>
      </c>
    </row>
    <row r="888" spans="4:8" x14ac:dyDescent="0.2">
      <c r="D888" s="6"/>
      <c r="H888" s="6">
        <v>42450.520532407405</v>
      </c>
    </row>
    <row r="889" spans="4:8" x14ac:dyDescent="0.2">
      <c r="D889" s="6"/>
      <c r="H889" s="6">
        <v>42450.520543981482</v>
      </c>
    </row>
    <row r="890" spans="4:8" x14ac:dyDescent="0.2">
      <c r="D890" s="6"/>
      <c r="H890" s="6">
        <v>42450.520543981482</v>
      </c>
    </row>
    <row r="891" spans="4:8" x14ac:dyDescent="0.2">
      <c r="D891" s="6"/>
      <c r="H891" s="6">
        <v>42450.520543981482</v>
      </c>
    </row>
    <row r="892" spans="4:8" x14ac:dyDescent="0.2">
      <c r="D892" s="6"/>
      <c r="H892" s="6">
        <v>42450.520543981482</v>
      </c>
    </row>
    <row r="893" spans="4:8" x14ac:dyDescent="0.2">
      <c r="D893" s="6"/>
      <c r="H893" s="6">
        <v>42450.520543981482</v>
      </c>
    </row>
    <row r="894" spans="4:8" x14ac:dyDescent="0.2">
      <c r="D894" s="6"/>
      <c r="H894" s="6">
        <v>42450.520543981482</v>
      </c>
    </row>
    <row r="895" spans="4:8" x14ac:dyDescent="0.2">
      <c r="D895" s="6"/>
      <c r="H895" s="6">
        <v>42450.520543981482</v>
      </c>
    </row>
    <row r="896" spans="4:8" x14ac:dyDescent="0.2">
      <c r="D896" s="6"/>
      <c r="H896" s="6">
        <v>42450.520543981482</v>
      </c>
    </row>
    <row r="897" spans="4:8" x14ac:dyDescent="0.2">
      <c r="D897" s="6"/>
      <c r="H897" s="6">
        <v>42450.520543981482</v>
      </c>
    </row>
    <row r="898" spans="4:8" x14ac:dyDescent="0.2">
      <c r="D898" s="6"/>
      <c r="H898" s="6">
        <v>42450.520543981482</v>
      </c>
    </row>
    <row r="899" spans="4:8" x14ac:dyDescent="0.2">
      <c r="D899" s="6"/>
      <c r="H899" s="6">
        <v>42450.520543981482</v>
      </c>
    </row>
    <row r="900" spans="4:8" x14ac:dyDescent="0.2">
      <c r="D900" s="6"/>
      <c r="H900" s="6">
        <v>42450.520555555559</v>
      </c>
    </row>
    <row r="901" spans="4:8" x14ac:dyDescent="0.2">
      <c r="D901" s="6"/>
      <c r="H901" s="6">
        <v>42450.520555555559</v>
      </c>
    </row>
    <row r="902" spans="4:8" x14ac:dyDescent="0.2">
      <c r="D902" s="6"/>
      <c r="H902" s="6">
        <v>42450.520555555559</v>
      </c>
    </row>
    <row r="903" spans="4:8" x14ac:dyDescent="0.2">
      <c r="D903" s="6"/>
      <c r="H903" s="6">
        <v>42450.520555555559</v>
      </c>
    </row>
    <row r="904" spans="4:8" x14ac:dyDescent="0.2">
      <c r="D904" s="6"/>
      <c r="H904" s="6">
        <v>42450.520555555559</v>
      </c>
    </row>
    <row r="905" spans="4:8" x14ac:dyDescent="0.2">
      <c r="D905" s="6"/>
      <c r="H905" s="6">
        <v>42450.520555555559</v>
      </c>
    </row>
    <row r="906" spans="4:8" x14ac:dyDescent="0.2">
      <c r="D906" s="6"/>
      <c r="H906" s="6">
        <v>42450.520555555559</v>
      </c>
    </row>
    <row r="907" spans="4:8" x14ac:dyDescent="0.2">
      <c r="D907" s="6"/>
      <c r="H907" s="6">
        <v>42450.520555555559</v>
      </c>
    </row>
    <row r="908" spans="4:8" x14ac:dyDescent="0.2">
      <c r="D908" s="6"/>
      <c r="H908" s="6">
        <v>42450.520555555559</v>
      </c>
    </row>
    <row r="909" spans="4:8" x14ac:dyDescent="0.2">
      <c r="D909" s="6"/>
      <c r="H909" s="6">
        <v>42450.520567129628</v>
      </c>
    </row>
    <row r="910" spans="4:8" x14ac:dyDescent="0.2">
      <c r="D910" s="6"/>
      <c r="H910" s="6">
        <v>42450.520567129628</v>
      </c>
    </row>
    <row r="911" spans="4:8" x14ac:dyDescent="0.2">
      <c r="D911" s="6"/>
      <c r="H911" s="6">
        <v>42450.520567129628</v>
      </c>
    </row>
    <row r="912" spans="4:8" x14ac:dyDescent="0.2">
      <c r="D912" s="6"/>
      <c r="H912" s="6">
        <v>42450.520567129628</v>
      </c>
    </row>
    <row r="913" spans="4:8" x14ac:dyDescent="0.2">
      <c r="D913" s="6"/>
      <c r="H913" s="6">
        <v>42450.520567129628</v>
      </c>
    </row>
    <row r="914" spans="4:8" x14ac:dyDescent="0.2">
      <c r="D914" s="6"/>
      <c r="H914" s="6">
        <v>42450.520567129628</v>
      </c>
    </row>
    <row r="915" spans="4:8" x14ac:dyDescent="0.2">
      <c r="D915" s="6"/>
      <c r="H915" s="6">
        <v>42450.520567129628</v>
      </c>
    </row>
    <row r="916" spans="4:8" x14ac:dyDescent="0.2">
      <c r="D916" s="6"/>
      <c r="H916" s="6">
        <v>42450.520601851851</v>
      </c>
    </row>
    <row r="917" spans="4:8" x14ac:dyDescent="0.2">
      <c r="D917" s="6"/>
      <c r="H917" s="6">
        <v>42450.520601851851</v>
      </c>
    </row>
    <row r="918" spans="4:8" x14ac:dyDescent="0.2">
      <c r="D918" s="6"/>
      <c r="H918" s="6">
        <v>42450.520601851851</v>
      </c>
    </row>
    <row r="919" spans="4:8" x14ac:dyDescent="0.2">
      <c r="D919" s="6"/>
      <c r="H919" s="6">
        <v>42450.520601851851</v>
      </c>
    </row>
    <row r="920" spans="4:8" x14ac:dyDescent="0.2">
      <c r="D920" s="6"/>
      <c r="H920" s="6">
        <v>42450.520613425928</v>
      </c>
    </row>
    <row r="921" spans="4:8" x14ac:dyDescent="0.2">
      <c r="D921" s="6"/>
      <c r="H921" s="6">
        <v>42450.520613425928</v>
      </c>
    </row>
    <row r="922" spans="4:8" x14ac:dyDescent="0.2">
      <c r="D922" s="6"/>
      <c r="H922" s="6">
        <v>42450.520624999997</v>
      </c>
    </row>
    <row r="923" spans="4:8" x14ac:dyDescent="0.2">
      <c r="D923" s="6"/>
      <c r="H923" s="6">
        <v>42450.520624999997</v>
      </c>
    </row>
    <row r="924" spans="4:8" x14ac:dyDescent="0.2">
      <c r="D924" s="6"/>
      <c r="H924" s="6">
        <v>42450.520624999997</v>
      </c>
    </row>
    <row r="925" spans="4:8" x14ac:dyDescent="0.2">
      <c r="D925" s="6"/>
      <c r="H925" s="6">
        <v>42450.520636574074</v>
      </c>
    </row>
    <row r="926" spans="4:8" x14ac:dyDescent="0.2">
      <c r="D926" s="6"/>
      <c r="H926" s="6">
        <v>42450.520636574074</v>
      </c>
    </row>
    <row r="927" spans="4:8" x14ac:dyDescent="0.2">
      <c r="D927" s="6"/>
      <c r="H927" s="6">
        <v>42450.520636574074</v>
      </c>
    </row>
    <row r="928" spans="4:8" x14ac:dyDescent="0.2">
      <c r="D928" s="6"/>
      <c r="H928" s="6">
        <v>42450.520636574074</v>
      </c>
    </row>
    <row r="929" spans="4:8" x14ac:dyDescent="0.2">
      <c r="D929" s="6"/>
      <c r="H929" s="6">
        <v>42450.520648148151</v>
      </c>
    </row>
    <row r="930" spans="4:8" x14ac:dyDescent="0.2">
      <c r="D930" s="6"/>
      <c r="H930" s="6">
        <v>42450.520648148151</v>
      </c>
    </row>
    <row r="931" spans="4:8" x14ac:dyDescent="0.2">
      <c r="D931" s="6"/>
      <c r="H931" s="6">
        <v>42450.520648148151</v>
      </c>
    </row>
    <row r="932" spans="4:8" x14ac:dyDescent="0.2">
      <c r="D932" s="6"/>
      <c r="H932" s="6">
        <v>42450.52065972222</v>
      </c>
    </row>
    <row r="933" spans="4:8" x14ac:dyDescent="0.2">
      <c r="D933" s="6"/>
      <c r="H933" s="6">
        <v>42450.52065972222</v>
      </c>
    </row>
    <row r="934" spans="4:8" x14ac:dyDescent="0.2">
      <c r="D934" s="6"/>
      <c r="H934" s="6">
        <v>42450.52065972222</v>
      </c>
    </row>
    <row r="935" spans="4:8" x14ac:dyDescent="0.2">
      <c r="D935" s="6"/>
      <c r="H935" s="6">
        <v>42450.52065972222</v>
      </c>
    </row>
    <row r="936" spans="4:8" x14ac:dyDescent="0.2">
      <c r="D936" s="6"/>
      <c r="H936" s="6">
        <v>42450.520671296297</v>
      </c>
    </row>
    <row r="937" spans="4:8" x14ac:dyDescent="0.2">
      <c r="D937" s="6"/>
      <c r="H937" s="6">
        <v>42450.520671296297</v>
      </c>
    </row>
    <row r="938" spans="4:8" x14ac:dyDescent="0.2">
      <c r="D938" s="6"/>
      <c r="H938" s="6">
        <v>42450.520671296297</v>
      </c>
    </row>
    <row r="939" spans="4:8" x14ac:dyDescent="0.2">
      <c r="D939" s="6"/>
      <c r="H939" s="6">
        <v>42450.520671296297</v>
      </c>
    </row>
    <row r="940" spans="4:8" x14ac:dyDescent="0.2">
      <c r="D940" s="6"/>
      <c r="H940" s="6">
        <v>42450.520671296297</v>
      </c>
    </row>
    <row r="941" spans="4:8" x14ac:dyDescent="0.2">
      <c r="D941" s="6"/>
      <c r="H941" s="6">
        <v>42450.520682870374</v>
      </c>
    </row>
    <row r="942" spans="4:8" x14ac:dyDescent="0.2">
      <c r="D942" s="6"/>
      <c r="H942" s="6">
        <v>42450.520682870374</v>
      </c>
    </row>
    <row r="943" spans="4:8" x14ac:dyDescent="0.2">
      <c r="D943" s="6"/>
      <c r="H943" s="6">
        <v>42450.520682870374</v>
      </c>
    </row>
    <row r="944" spans="4:8" x14ac:dyDescent="0.2">
      <c r="D944" s="6"/>
      <c r="H944" s="6">
        <v>42450.520682870374</v>
      </c>
    </row>
    <row r="945" spans="4:8" x14ac:dyDescent="0.2">
      <c r="D945" s="6"/>
      <c r="H945" s="6">
        <v>42450.520682870374</v>
      </c>
    </row>
    <row r="946" spans="4:8" x14ac:dyDescent="0.2">
      <c r="D946" s="6"/>
      <c r="H946" s="6">
        <v>42450.520694444444</v>
      </c>
    </row>
    <row r="947" spans="4:8" x14ac:dyDescent="0.2">
      <c r="D947" s="6"/>
      <c r="H947" s="6">
        <v>42450.520694444444</v>
      </c>
    </row>
    <row r="948" spans="4:8" x14ac:dyDescent="0.2">
      <c r="D948" s="6"/>
      <c r="H948" s="6">
        <v>42450.520694444444</v>
      </c>
    </row>
    <row r="949" spans="4:8" x14ac:dyDescent="0.2">
      <c r="D949" s="6"/>
      <c r="H949" s="6">
        <v>42450.520694444444</v>
      </c>
    </row>
    <row r="950" spans="4:8" x14ac:dyDescent="0.2">
      <c r="D950" s="6"/>
      <c r="H950" s="6">
        <v>42450.520694444444</v>
      </c>
    </row>
    <row r="951" spans="4:8" x14ac:dyDescent="0.2">
      <c r="D951" s="6"/>
      <c r="H951" s="6">
        <v>42450.520694444444</v>
      </c>
    </row>
    <row r="952" spans="4:8" x14ac:dyDescent="0.2">
      <c r="D952" s="6"/>
      <c r="H952" s="6">
        <v>42450.520694444444</v>
      </c>
    </row>
    <row r="953" spans="4:8" x14ac:dyDescent="0.2">
      <c r="D953" s="6"/>
      <c r="H953" s="6">
        <v>42450.52070601852</v>
      </c>
    </row>
    <row r="954" spans="4:8" x14ac:dyDescent="0.2">
      <c r="D954" s="6"/>
      <c r="H954" s="6">
        <v>42450.52070601852</v>
      </c>
    </row>
    <row r="955" spans="4:8" x14ac:dyDescent="0.2">
      <c r="D955" s="6"/>
      <c r="H955" s="6">
        <v>42450.52070601852</v>
      </c>
    </row>
    <row r="956" spans="4:8" x14ac:dyDescent="0.2">
      <c r="D956" s="6"/>
      <c r="H956" s="6">
        <v>42450.52070601852</v>
      </c>
    </row>
    <row r="957" spans="4:8" x14ac:dyDescent="0.2">
      <c r="D957" s="6"/>
      <c r="H957" s="6">
        <v>42450.52071759259</v>
      </c>
    </row>
    <row r="958" spans="4:8" x14ac:dyDescent="0.2">
      <c r="D958" s="6"/>
      <c r="H958" s="6">
        <v>42450.52071759259</v>
      </c>
    </row>
    <row r="959" spans="4:8" x14ac:dyDescent="0.2">
      <c r="D959" s="6"/>
      <c r="H959" s="6">
        <v>42450.52071759259</v>
      </c>
    </row>
    <row r="960" spans="4:8" x14ac:dyDescent="0.2">
      <c r="D960" s="6"/>
      <c r="H960" s="6">
        <v>42450.52071759259</v>
      </c>
    </row>
    <row r="961" spans="4:8" x14ac:dyDescent="0.2">
      <c r="D961" s="6"/>
      <c r="H961" s="6">
        <v>42450.52071759259</v>
      </c>
    </row>
    <row r="962" spans="4:8" x14ac:dyDescent="0.2">
      <c r="D962" s="6"/>
      <c r="H962" s="6">
        <v>42450.520729166667</v>
      </c>
    </row>
    <row r="963" spans="4:8" x14ac:dyDescent="0.2">
      <c r="D963" s="6"/>
      <c r="H963" s="6">
        <v>42450.520729166667</v>
      </c>
    </row>
    <row r="964" spans="4:8" x14ac:dyDescent="0.2">
      <c r="D964" s="6"/>
      <c r="H964" s="6">
        <v>42450.520729166667</v>
      </c>
    </row>
    <row r="965" spans="4:8" x14ac:dyDescent="0.2">
      <c r="D965" s="6"/>
      <c r="H965" s="6">
        <v>42450.520729166667</v>
      </c>
    </row>
    <row r="966" spans="4:8" x14ac:dyDescent="0.2">
      <c r="D966" s="6"/>
      <c r="H966" s="6">
        <v>42450.520729166667</v>
      </c>
    </row>
    <row r="967" spans="4:8" x14ac:dyDescent="0.2">
      <c r="D967" s="6"/>
      <c r="H967" s="6">
        <v>42450.520740740743</v>
      </c>
    </row>
    <row r="968" spans="4:8" x14ac:dyDescent="0.2">
      <c r="D968" s="6"/>
      <c r="H968" s="6">
        <v>42450.520740740743</v>
      </c>
    </row>
    <row r="969" spans="4:8" x14ac:dyDescent="0.2">
      <c r="D969" s="6"/>
      <c r="H969" s="6">
        <v>42450.520740740743</v>
      </c>
    </row>
    <row r="970" spans="4:8" x14ac:dyDescent="0.2">
      <c r="D970" s="6"/>
      <c r="H970" s="6">
        <v>42450.520740740743</v>
      </c>
    </row>
    <row r="971" spans="4:8" x14ac:dyDescent="0.2">
      <c r="D971" s="6"/>
      <c r="H971" s="6">
        <v>42450.520752314813</v>
      </c>
    </row>
    <row r="972" spans="4:8" x14ac:dyDescent="0.2">
      <c r="D972" s="6"/>
      <c r="H972" s="6">
        <v>42450.520752314813</v>
      </c>
    </row>
    <row r="973" spans="4:8" x14ac:dyDescent="0.2">
      <c r="D973" s="6"/>
      <c r="H973" s="6">
        <v>42450.520752314813</v>
      </c>
    </row>
    <row r="974" spans="4:8" x14ac:dyDescent="0.2">
      <c r="D974" s="6"/>
      <c r="H974" s="6">
        <v>42450.520752314813</v>
      </c>
    </row>
    <row r="975" spans="4:8" x14ac:dyDescent="0.2">
      <c r="D975" s="6"/>
      <c r="H975" s="6">
        <v>42450.520752314813</v>
      </c>
    </row>
    <row r="976" spans="4:8" x14ac:dyDescent="0.2">
      <c r="D976" s="6"/>
      <c r="H976" s="6">
        <v>42450.520752314813</v>
      </c>
    </row>
    <row r="977" spans="4:8" x14ac:dyDescent="0.2">
      <c r="D977" s="6"/>
      <c r="H977" s="6">
        <v>42450.52076388889</v>
      </c>
    </row>
    <row r="978" spans="4:8" x14ac:dyDescent="0.2">
      <c r="D978" s="6"/>
      <c r="H978" s="6">
        <v>42450.520810185182</v>
      </c>
    </row>
    <row r="979" spans="4:8" x14ac:dyDescent="0.2">
      <c r="D979" s="6"/>
      <c r="H979" s="6">
        <v>42450.520833333336</v>
      </c>
    </row>
    <row r="980" spans="4:8" x14ac:dyDescent="0.2">
      <c r="D980" s="6"/>
      <c r="H980" s="6">
        <v>42450.520833333336</v>
      </c>
    </row>
    <row r="981" spans="4:8" x14ac:dyDescent="0.2">
      <c r="D981" s="6"/>
      <c r="H981" s="6">
        <v>42450.520833333336</v>
      </c>
    </row>
    <row r="982" spans="4:8" x14ac:dyDescent="0.2">
      <c r="D982" s="6"/>
      <c r="H982" s="6">
        <v>42450.520833333336</v>
      </c>
    </row>
    <row r="983" spans="4:8" x14ac:dyDescent="0.2">
      <c r="D983" s="6"/>
      <c r="H983" s="6">
        <v>42450.520833333336</v>
      </c>
    </row>
    <row r="984" spans="4:8" x14ac:dyDescent="0.2">
      <c r="D984" s="6"/>
      <c r="H984" s="6">
        <v>42450.520844907405</v>
      </c>
    </row>
    <row r="985" spans="4:8" x14ac:dyDescent="0.2">
      <c r="D985" s="6"/>
      <c r="H985" s="6">
        <v>42450.520844907405</v>
      </c>
    </row>
    <row r="986" spans="4:8" x14ac:dyDescent="0.2">
      <c r="D986" s="6"/>
      <c r="H986" s="6">
        <v>42450.520844907405</v>
      </c>
    </row>
    <row r="987" spans="4:8" x14ac:dyDescent="0.2">
      <c r="D987" s="6"/>
      <c r="H987" s="6">
        <v>42450.520868055559</v>
      </c>
    </row>
    <row r="988" spans="4:8" x14ac:dyDescent="0.2">
      <c r="D988" s="6"/>
      <c r="H988" s="6">
        <v>42450.520868055559</v>
      </c>
    </row>
    <row r="989" spans="4:8" x14ac:dyDescent="0.2">
      <c r="D989" s="6"/>
      <c r="H989" s="6">
        <v>42450.520868055559</v>
      </c>
    </row>
    <row r="990" spans="4:8" x14ac:dyDescent="0.2">
      <c r="D990" s="6"/>
      <c r="H990" s="6">
        <v>42450.520868055559</v>
      </c>
    </row>
    <row r="991" spans="4:8" x14ac:dyDescent="0.2">
      <c r="D991" s="6"/>
      <c r="H991" s="6">
        <v>42450.520868055559</v>
      </c>
    </row>
    <row r="992" spans="4:8" x14ac:dyDescent="0.2">
      <c r="D992" s="6"/>
      <c r="H992" s="6">
        <v>42450.520868055559</v>
      </c>
    </row>
    <row r="993" spans="4:8" x14ac:dyDescent="0.2">
      <c r="D993" s="6"/>
      <c r="H993" s="6">
        <v>42450.520868055559</v>
      </c>
    </row>
    <row r="994" spans="4:8" x14ac:dyDescent="0.2">
      <c r="D994" s="6"/>
      <c r="H994" s="6">
        <v>42450.520868055559</v>
      </c>
    </row>
    <row r="995" spans="4:8" x14ac:dyDescent="0.2">
      <c r="D995" s="6"/>
      <c r="H995" s="6">
        <v>42450.520960648151</v>
      </c>
    </row>
    <row r="996" spans="4:8" x14ac:dyDescent="0.2">
      <c r="D996" s="6"/>
      <c r="H996" s="6">
        <v>42450.520972222221</v>
      </c>
    </row>
    <row r="997" spans="4:8" x14ac:dyDescent="0.2">
      <c r="D997" s="6"/>
      <c r="H997" s="6">
        <v>42450.52107638889</v>
      </c>
    </row>
    <row r="998" spans="4:8" x14ac:dyDescent="0.2">
      <c r="D998" s="6"/>
      <c r="H998" s="6">
        <v>42450.52107638889</v>
      </c>
    </row>
    <row r="999" spans="4:8" x14ac:dyDescent="0.2">
      <c r="D999" s="6"/>
      <c r="H999" s="6">
        <v>42450.521192129629</v>
      </c>
    </row>
    <row r="1000" spans="4:8" x14ac:dyDescent="0.2">
      <c r="D1000" s="6"/>
      <c r="H1000" s="6">
        <v>42450.521215277775</v>
      </c>
    </row>
    <row r="1001" spans="4:8" x14ac:dyDescent="0.2">
      <c r="D1001" s="6"/>
      <c r="H1001" s="6">
        <v>42450.521226851852</v>
      </c>
    </row>
    <row r="1002" spans="4:8" x14ac:dyDescent="0.2">
      <c r="D1002" s="6"/>
      <c r="H1002" s="6">
        <v>42450.521226851852</v>
      </c>
    </row>
    <row r="1003" spans="4:8" x14ac:dyDescent="0.2">
      <c r="D1003" s="6"/>
      <c r="H1003" s="6">
        <v>42450.521238425928</v>
      </c>
    </row>
    <row r="1004" spans="4:8" x14ac:dyDescent="0.2">
      <c r="D1004" s="6"/>
      <c r="H1004" s="6">
        <v>42450.521238425928</v>
      </c>
    </row>
    <row r="1005" spans="4:8" x14ac:dyDescent="0.2">
      <c r="D1005" s="6"/>
      <c r="H1005" s="6">
        <v>42450.521238425928</v>
      </c>
    </row>
    <row r="1006" spans="4:8" x14ac:dyDescent="0.2">
      <c r="D1006" s="6"/>
      <c r="H1006" s="6">
        <v>42450.521238425928</v>
      </c>
    </row>
    <row r="1007" spans="4:8" x14ac:dyDescent="0.2">
      <c r="D1007" s="6"/>
      <c r="H1007" s="6">
        <v>42450.521249999998</v>
      </c>
    </row>
    <row r="1008" spans="4:8" x14ac:dyDescent="0.2">
      <c r="D1008" s="6"/>
      <c r="H1008" s="6">
        <v>42450.521249999998</v>
      </c>
    </row>
    <row r="1009" spans="4:8" x14ac:dyDescent="0.2">
      <c r="D1009" s="6"/>
      <c r="H1009" s="6">
        <v>42450.521249999998</v>
      </c>
    </row>
    <row r="1010" spans="4:8" x14ac:dyDescent="0.2">
      <c r="D1010" s="6"/>
      <c r="H1010" s="6">
        <v>42450.521249999998</v>
      </c>
    </row>
    <row r="1011" spans="4:8" x14ac:dyDescent="0.2">
      <c r="D1011" s="6"/>
      <c r="H1011" s="6">
        <v>42450.521261574075</v>
      </c>
    </row>
    <row r="1012" spans="4:8" x14ac:dyDescent="0.2">
      <c r="D1012" s="6"/>
      <c r="H1012" s="6">
        <v>42450.521261574075</v>
      </c>
    </row>
    <row r="1013" spans="4:8" x14ac:dyDescent="0.2">
      <c r="D1013" s="6"/>
      <c r="H1013" s="6">
        <v>42450.521273148152</v>
      </c>
    </row>
    <row r="1014" spans="4:8" x14ac:dyDescent="0.2">
      <c r="D1014" s="6"/>
      <c r="H1014" s="6">
        <v>42489.438032407408</v>
      </c>
    </row>
    <row r="1015" spans="4:8" x14ac:dyDescent="0.2">
      <c r="D1015" s="6"/>
      <c r="H1015" s="6">
        <v>42489.438055555554</v>
      </c>
    </row>
    <row r="1016" spans="4:8" x14ac:dyDescent="0.2">
      <c r="D1016" s="6"/>
      <c r="H1016" s="6">
        <v>42487.46947916667</v>
      </c>
    </row>
    <row r="1017" spans="4:8" x14ac:dyDescent="0.2">
      <c r="D1017" s="6"/>
      <c r="H1017" s="6">
        <v>42460.431273148148</v>
      </c>
    </row>
    <row r="1018" spans="4:8" x14ac:dyDescent="0.2">
      <c r="D1018" s="6"/>
      <c r="H1018" s="6">
        <v>42460.431273148148</v>
      </c>
    </row>
    <row r="1019" spans="4:8" x14ac:dyDescent="0.2">
      <c r="D1019" s="6"/>
      <c r="H1019" s="6">
        <v>42403.592847222222</v>
      </c>
    </row>
    <row r="1020" spans="4:8" x14ac:dyDescent="0.2">
      <c r="D1020" s="6"/>
      <c r="H1020" s="6">
        <v>42460.431273148148</v>
      </c>
    </row>
    <row r="1021" spans="4:8" x14ac:dyDescent="0.2">
      <c r="D1021" s="6"/>
      <c r="H1021" s="6">
        <v>42460.431273148148</v>
      </c>
    </row>
    <row r="1022" spans="4:8" x14ac:dyDescent="0.2">
      <c r="D1022" s="6"/>
      <c r="H1022" s="6">
        <v>42460.431273148148</v>
      </c>
    </row>
    <row r="1023" spans="4:8" x14ac:dyDescent="0.2">
      <c r="D1023" s="6"/>
      <c r="H1023" s="6">
        <v>42460.431273148148</v>
      </c>
    </row>
    <row r="1024" spans="4:8" x14ac:dyDescent="0.2">
      <c r="D1024" s="6"/>
      <c r="H1024" s="6">
        <v>42460.431273148148</v>
      </c>
    </row>
    <row r="1025" spans="4:8" x14ac:dyDescent="0.2">
      <c r="D1025" s="6"/>
      <c r="H1025" s="6">
        <v>42460.431273148148</v>
      </c>
    </row>
    <row r="1026" spans="4:8" x14ac:dyDescent="0.2">
      <c r="D1026" s="6"/>
      <c r="H1026" s="6">
        <v>42461.738171296296</v>
      </c>
    </row>
    <row r="1027" spans="4:8" x14ac:dyDescent="0.2">
      <c r="D1027" s="6"/>
      <c r="H1027" s="6">
        <v>42460.431296296294</v>
      </c>
    </row>
    <row r="1028" spans="4:8" x14ac:dyDescent="0.2">
      <c r="D1028" s="6"/>
      <c r="H1028" s="6">
        <v>42460.431296296294</v>
      </c>
    </row>
    <row r="1029" spans="4:8" x14ac:dyDescent="0.2">
      <c r="D1029" s="6"/>
      <c r="H1029" s="6">
        <v>42460.431261574071</v>
      </c>
    </row>
    <row r="1030" spans="4:8" x14ac:dyDescent="0.2">
      <c r="D1030" s="6"/>
      <c r="H1030" s="6">
        <v>42460.431261574071</v>
      </c>
    </row>
    <row r="1031" spans="4:8" x14ac:dyDescent="0.2">
      <c r="D1031" s="6"/>
      <c r="H1031" s="6">
        <v>42461.679849537039</v>
      </c>
    </row>
    <row r="1032" spans="4:8" x14ac:dyDescent="0.2">
      <c r="D1032" s="6"/>
      <c r="H1032" s="6">
        <v>42460.431261574071</v>
      </c>
    </row>
    <row r="1033" spans="4:8" x14ac:dyDescent="0.2">
      <c r="D1033" s="6"/>
      <c r="H1033" s="6">
        <v>42460.431307870371</v>
      </c>
    </row>
    <row r="1034" spans="4:8" x14ac:dyDescent="0.2">
      <c r="D1034" s="6"/>
      <c r="H1034" s="6">
        <v>42460.431307870371</v>
      </c>
    </row>
    <row r="1035" spans="4:8" x14ac:dyDescent="0.2">
      <c r="D1035" s="6"/>
      <c r="H1035" s="6">
        <v>42460.431307870371</v>
      </c>
    </row>
    <row r="1036" spans="4:8" x14ac:dyDescent="0.2">
      <c r="D1036" s="6"/>
      <c r="H1036" s="6">
        <v>42460.431307870371</v>
      </c>
    </row>
    <row r="1037" spans="4:8" x14ac:dyDescent="0.2">
      <c r="D1037" s="6"/>
      <c r="H1037" s="6">
        <v>42460.431307870371</v>
      </c>
    </row>
    <row r="1038" spans="4:8" x14ac:dyDescent="0.2">
      <c r="D1038" s="6"/>
      <c r="H1038" s="6">
        <v>42460.431307870371</v>
      </c>
    </row>
    <row r="1039" spans="4:8" x14ac:dyDescent="0.2">
      <c r="D1039" s="6"/>
      <c r="H1039" s="6">
        <v>42460.431307870371</v>
      </c>
    </row>
    <row r="1040" spans="4:8" x14ac:dyDescent="0.2">
      <c r="D1040" s="6"/>
      <c r="H1040" s="6">
        <v>42460.431307870371</v>
      </c>
    </row>
    <row r="1041" spans="4:8" x14ac:dyDescent="0.2">
      <c r="D1041" s="6"/>
      <c r="H1041" s="6">
        <v>42460.431307870371</v>
      </c>
    </row>
    <row r="1042" spans="4:8" x14ac:dyDescent="0.2">
      <c r="D1042" s="6"/>
      <c r="H1042" s="6">
        <v>42460.431307870371</v>
      </c>
    </row>
    <row r="1043" spans="4:8" x14ac:dyDescent="0.2">
      <c r="D1043" s="6"/>
      <c r="H1043" s="6">
        <v>42460.431307870371</v>
      </c>
    </row>
    <row r="1044" spans="4:8" x14ac:dyDescent="0.2">
      <c r="D1044" s="6"/>
      <c r="H1044" s="6">
        <v>42405.769756944443</v>
      </c>
    </row>
    <row r="1045" spans="4:8" x14ac:dyDescent="0.2">
      <c r="D1045" s="6"/>
      <c r="H1045" s="6">
        <v>42460.431296296294</v>
      </c>
    </row>
    <row r="1046" spans="4:8" x14ac:dyDescent="0.2">
      <c r="D1046" s="6"/>
      <c r="H1046" s="6">
        <v>42405.769756944443</v>
      </c>
    </row>
    <row r="1047" spans="4:8" x14ac:dyDescent="0.2">
      <c r="D1047" s="6"/>
      <c r="H1047" s="6">
        <v>42460.431296296294</v>
      </c>
    </row>
    <row r="1048" spans="4:8" x14ac:dyDescent="0.2">
      <c r="D1048" s="6"/>
      <c r="H1048" s="6">
        <v>42460.436701388891</v>
      </c>
    </row>
    <row r="1049" spans="4:8" x14ac:dyDescent="0.2">
      <c r="D1049" s="6"/>
      <c r="H1049" s="6">
        <v>42460.431296296294</v>
      </c>
    </row>
    <row r="1050" spans="4:8" x14ac:dyDescent="0.2">
      <c r="D1050" s="6"/>
      <c r="H1050" s="6">
        <v>42460.436886574076</v>
      </c>
    </row>
    <row r="1051" spans="4:8" x14ac:dyDescent="0.2">
      <c r="D1051" s="6"/>
      <c r="H1051" s="6">
        <v>42405.769259259258</v>
      </c>
    </row>
    <row r="1052" spans="4:8" x14ac:dyDescent="0.2">
      <c r="D1052" s="6"/>
      <c r="H1052" s="6">
        <v>42405.766504629632</v>
      </c>
    </row>
    <row r="1053" spans="4:8" x14ac:dyDescent="0.2">
      <c r="D1053" s="6"/>
      <c r="H1053" s="6">
        <v>42405.766504629632</v>
      </c>
    </row>
    <row r="1054" spans="4:8" x14ac:dyDescent="0.2">
      <c r="D1054" s="6"/>
      <c r="H1054" s="6">
        <v>42405.761250000003</v>
      </c>
    </row>
    <row r="1055" spans="4:8" x14ac:dyDescent="0.2">
      <c r="D1055" s="6"/>
      <c r="H1055" s="6">
        <v>42405.761250000003</v>
      </c>
    </row>
    <row r="1056" spans="4:8" x14ac:dyDescent="0.2">
      <c r="D1056" s="6"/>
      <c r="H1056" s="6">
        <v>42405.761250000003</v>
      </c>
    </row>
    <row r="1057" spans="4:8" x14ac:dyDescent="0.2">
      <c r="D1057" s="6"/>
      <c r="H1057" s="6">
        <v>42405.761250000003</v>
      </c>
    </row>
    <row r="1058" spans="4:8" x14ac:dyDescent="0.2">
      <c r="D1058" s="6"/>
      <c r="H1058" s="6">
        <v>42405.766504629632</v>
      </c>
    </row>
    <row r="1059" spans="4:8" x14ac:dyDescent="0.2">
      <c r="D1059" s="6"/>
      <c r="H1059" s="6">
        <v>42405.766504629632</v>
      </c>
    </row>
    <row r="1060" spans="4:8" x14ac:dyDescent="0.2">
      <c r="D1060" s="6"/>
      <c r="H1060" s="6">
        <v>42405.761250000003</v>
      </c>
    </row>
    <row r="1061" spans="4:8" x14ac:dyDescent="0.2">
      <c r="D1061" s="6"/>
      <c r="H1061" s="6">
        <v>42460.431319444448</v>
      </c>
    </row>
    <row r="1062" spans="4:8" x14ac:dyDescent="0.2">
      <c r="D1062" s="6"/>
      <c r="H1062" s="6">
        <v>42460.431319444448</v>
      </c>
    </row>
    <row r="1063" spans="4:8" x14ac:dyDescent="0.2">
      <c r="D1063" s="6"/>
      <c r="H1063" s="6">
        <v>42460.431319444448</v>
      </c>
    </row>
    <row r="1064" spans="4:8" x14ac:dyDescent="0.2">
      <c r="D1064" s="6"/>
      <c r="H1064" s="6">
        <v>42460.431319444448</v>
      </c>
    </row>
    <row r="1065" spans="4:8" x14ac:dyDescent="0.2">
      <c r="D1065" s="6"/>
      <c r="H1065" s="6">
        <v>42460.431319444448</v>
      </c>
    </row>
    <row r="1066" spans="4:8" x14ac:dyDescent="0.2">
      <c r="D1066" s="6"/>
      <c r="H1066" s="6">
        <v>42460.431307870371</v>
      </c>
    </row>
    <row r="1067" spans="4:8" x14ac:dyDescent="0.2">
      <c r="D1067" s="6"/>
      <c r="H1067" s="6">
        <v>42460.431319444448</v>
      </c>
    </row>
    <row r="1068" spans="4:8" x14ac:dyDescent="0.2">
      <c r="D1068" s="6"/>
      <c r="H1068" s="6">
        <v>42460.431319444448</v>
      </c>
    </row>
    <row r="1069" spans="4:8" x14ac:dyDescent="0.2">
      <c r="D1069" s="6"/>
      <c r="H1069" s="6">
        <v>42460.431319444448</v>
      </c>
    </row>
    <row r="1070" spans="4:8" x14ac:dyDescent="0.2">
      <c r="D1070" s="6"/>
      <c r="H1070" s="6">
        <v>42461.396805555552</v>
      </c>
    </row>
    <row r="1071" spans="4:8" x14ac:dyDescent="0.2">
      <c r="D1071" s="6"/>
      <c r="H1071" s="6">
        <v>42461.395601851851</v>
      </c>
    </row>
    <row r="1072" spans="4:8" x14ac:dyDescent="0.2">
      <c r="D1072" s="6"/>
      <c r="H1072" s="6">
        <v>42461.395578703705</v>
      </c>
    </row>
    <row r="1073" spans="4:8" x14ac:dyDescent="0.2">
      <c r="D1073" s="6"/>
      <c r="H1073" s="6">
        <v>42461.408194444448</v>
      </c>
    </row>
    <row r="1074" spans="4:8" x14ac:dyDescent="0.2">
      <c r="D1074" s="6"/>
      <c r="H1074" s="6">
        <v>42461.408668981479</v>
      </c>
    </row>
    <row r="1075" spans="4:8" x14ac:dyDescent="0.2">
      <c r="D1075" s="6"/>
      <c r="H1075" s="6">
        <v>42461.592974537038</v>
      </c>
    </row>
    <row r="1076" spans="4:8" x14ac:dyDescent="0.2">
      <c r="D1076" s="6"/>
      <c r="H1076" s="6">
        <v>42402.780810185184</v>
      </c>
    </row>
    <row r="1077" spans="4:8" x14ac:dyDescent="0.2">
      <c r="D1077" s="6"/>
      <c r="H1077" s="6">
        <v>42402.778587962966</v>
      </c>
    </row>
    <row r="1078" spans="4:8" x14ac:dyDescent="0.2">
      <c r="D1078" s="6"/>
      <c r="H1078" s="6">
        <v>42403.744513888887</v>
      </c>
    </row>
    <row r="1079" spans="4:8" x14ac:dyDescent="0.2">
      <c r="D1079" s="6"/>
      <c r="H1079" s="6">
        <v>42459.452569444446</v>
      </c>
    </row>
    <row r="1080" spans="4:8" x14ac:dyDescent="0.2">
      <c r="D1080" s="6"/>
      <c r="H1080" s="6">
        <v>42403.76667824074</v>
      </c>
    </row>
    <row r="1081" spans="4:8" x14ac:dyDescent="0.2">
      <c r="D1081" s="6"/>
      <c r="H1081" s="6">
        <v>42459.451527777775</v>
      </c>
    </row>
    <row r="1082" spans="4:8" x14ac:dyDescent="0.2">
      <c r="D1082" s="6"/>
      <c r="H1082" s="6">
        <v>42459.451527777775</v>
      </c>
    </row>
    <row r="1083" spans="4:8" x14ac:dyDescent="0.2">
      <c r="D1083" s="6"/>
      <c r="H1083" s="6">
        <v>42459.451527777775</v>
      </c>
    </row>
    <row r="1084" spans="4:8" x14ac:dyDescent="0.2">
      <c r="D1084" s="6"/>
      <c r="H1084" s="6">
        <v>42459.451539351852</v>
      </c>
    </row>
    <row r="1085" spans="4:8" x14ac:dyDescent="0.2">
      <c r="D1085" s="6"/>
      <c r="H1085" s="6">
        <v>42459.451539351852</v>
      </c>
    </row>
    <row r="1086" spans="4:8" x14ac:dyDescent="0.2">
      <c r="D1086" s="6"/>
      <c r="H1086" s="6">
        <v>42459.451539351852</v>
      </c>
    </row>
    <row r="1087" spans="4:8" x14ac:dyDescent="0.2">
      <c r="D1087" s="6"/>
      <c r="H1087" s="6">
        <v>42459.451539351852</v>
      </c>
    </row>
    <row r="1088" spans="4:8" x14ac:dyDescent="0.2">
      <c r="D1088" s="6"/>
      <c r="H1088" s="6">
        <v>42459.451539351852</v>
      </c>
    </row>
    <row r="1089" spans="4:8" x14ac:dyDescent="0.2">
      <c r="D1089" s="6"/>
      <c r="H1089" s="6">
        <v>42459.451539351852</v>
      </c>
    </row>
    <row r="1090" spans="4:8" x14ac:dyDescent="0.2">
      <c r="D1090" s="6"/>
      <c r="H1090" s="6">
        <v>42459.451539351852</v>
      </c>
    </row>
    <row r="1091" spans="4:8" x14ac:dyDescent="0.2">
      <c r="D1091" s="6"/>
      <c r="H1091" s="6">
        <v>42459.451539351852</v>
      </c>
    </row>
    <row r="1092" spans="4:8" x14ac:dyDescent="0.2">
      <c r="D1092" s="6"/>
      <c r="H1092" s="6">
        <v>42459.451539351852</v>
      </c>
    </row>
    <row r="1093" spans="4:8" x14ac:dyDescent="0.2">
      <c r="D1093" s="6"/>
      <c r="H1093" s="6">
        <v>42402.574386574073</v>
      </c>
    </row>
    <row r="1094" spans="4:8" x14ac:dyDescent="0.2">
      <c r="D1094" s="6"/>
      <c r="H1094" s="6">
        <v>42402.574490740742</v>
      </c>
    </row>
    <row r="1095" spans="4:8" x14ac:dyDescent="0.2">
      <c r="D1095" s="6"/>
      <c r="H1095" s="6">
        <v>42403.530798611115</v>
      </c>
    </row>
    <row r="1096" spans="4:8" x14ac:dyDescent="0.2">
      <c r="D1096" s="6"/>
      <c r="H1096" s="6">
        <v>42403.709768518522</v>
      </c>
    </row>
    <row r="1097" spans="4:8" x14ac:dyDescent="0.2">
      <c r="D1097" s="6"/>
      <c r="H1097" s="6">
        <v>42403.531493055554</v>
      </c>
    </row>
    <row r="1098" spans="4:8" x14ac:dyDescent="0.2">
      <c r="D1098" s="6"/>
      <c r="H1098" s="6">
        <v>42403.710069444445</v>
      </c>
    </row>
    <row r="1099" spans="4:8" x14ac:dyDescent="0.2">
      <c r="D1099" s="6"/>
      <c r="H1099" s="6">
        <v>42403.548194444447</v>
      </c>
    </row>
    <row r="1100" spans="4:8" x14ac:dyDescent="0.2">
      <c r="D1100" s="6"/>
      <c r="H1100" s="6">
        <v>42408.635497685187</v>
      </c>
    </row>
    <row r="1101" spans="4:8" x14ac:dyDescent="0.2">
      <c r="D1101" s="6"/>
      <c r="H1101" s="6">
        <v>42402.574618055558</v>
      </c>
    </row>
    <row r="1102" spans="4:8" x14ac:dyDescent="0.2">
      <c r="D1102" s="6"/>
      <c r="H1102" s="6">
        <v>42403.710393518515</v>
      </c>
    </row>
    <row r="1103" spans="4:8" x14ac:dyDescent="0.2">
      <c r="D1103" s="6"/>
      <c r="H1103" s="6">
        <v>42403.710706018515</v>
      </c>
    </row>
    <row r="1104" spans="4:8" x14ac:dyDescent="0.2">
      <c r="D1104" s="6"/>
      <c r="H1104" s="6">
        <v>42403.563275462962</v>
      </c>
    </row>
    <row r="1105" spans="4:8" x14ac:dyDescent="0.2">
      <c r="D1105" s="6"/>
      <c r="H1105" s="6">
        <v>42402.679062499999</v>
      </c>
    </row>
    <row r="1106" spans="4:8" x14ac:dyDescent="0.2">
      <c r="D1106" s="6"/>
      <c r="H1106" s="6">
        <v>42402.574386574073</v>
      </c>
    </row>
    <row r="1107" spans="4:8" x14ac:dyDescent="0.2">
      <c r="D1107" s="6"/>
      <c r="H1107" s="6">
        <v>42402.574490740742</v>
      </c>
    </row>
    <row r="1108" spans="4:8" x14ac:dyDescent="0.2">
      <c r="D1108" s="6"/>
      <c r="H1108" s="6">
        <v>42403.744513888887</v>
      </c>
    </row>
    <row r="1109" spans="4:8" x14ac:dyDescent="0.2">
      <c r="D1109" s="6"/>
      <c r="H1109" s="6">
        <v>42402.780810185184</v>
      </c>
    </row>
    <row r="1110" spans="4:8" x14ac:dyDescent="0.2">
      <c r="D1110" s="6"/>
      <c r="H1110" s="6">
        <v>42403.744513888887</v>
      </c>
    </row>
    <row r="1111" spans="4:8" x14ac:dyDescent="0.2">
      <c r="D1111" s="6"/>
      <c r="H1111" s="6">
        <v>42402.77547453704</v>
      </c>
    </row>
    <row r="1112" spans="4:8" x14ac:dyDescent="0.2">
      <c r="D1112" s="6"/>
      <c r="H1112" s="6">
        <v>42402.574618055558</v>
      </c>
    </row>
    <row r="1113" spans="4:8" x14ac:dyDescent="0.2">
      <c r="D1113" s="6"/>
      <c r="H1113" s="6">
        <v>42402.43377314815</v>
      </c>
    </row>
    <row r="1114" spans="4:8" x14ac:dyDescent="0.2">
      <c r="D1114" s="6"/>
      <c r="H1114" s="6">
        <v>42397.577708333331</v>
      </c>
    </row>
    <row r="1115" spans="4:8" x14ac:dyDescent="0.2">
      <c r="D1115" s="6"/>
      <c r="H1115" s="6">
        <v>42391.795520833337</v>
      </c>
    </row>
    <row r="1116" spans="4:8" x14ac:dyDescent="0.2">
      <c r="D1116" s="6"/>
      <c r="H1116" s="6">
        <v>42460.427499999998</v>
      </c>
    </row>
    <row r="1117" spans="4:8" x14ac:dyDescent="0.2">
      <c r="D1117" s="6"/>
      <c r="H1117" s="6">
        <v>42460.427534722221</v>
      </c>
    </row>
    <row r="1118" spans="4:8" x14ac:dyDescent="0.2">
      <c r="D1118" s="6"/>
      <c r="H1118" s="6">
        <v>42460.390092592592</v>
      </c>
    </row>
    <row r="1119" spans="4:8" x14ac:dyDescent="0.2">
      <c r="D1119" s="6"/>
      <c r="H1119" s="6">
        <v>42460.390092592592</v>
      </c>
    </row>
    <row r="1120" spans="4:8" x14ac:dyDescent="0.2">
      <c r="D1120" s="6"/>
      <c r="H1120" s="6">
        <v>42460.390092592592</v>
      </c>
    </row>
    <row r="1121" spans="4:8" x14ac:dyDescent="0.2">
      <c r="D1121" s="6"/>
      <c r="H1121" s="6">
        <v>42460.390092592592</v>
      </c>
    </row>
    <row r="1122" spans="4:8" x14ac:dyDescent="0.2">
      <c r="D1122" s="6"/>
      <c r="H1122" s="6">
        <v>42460.390092592592</v>
      </c>
    </row>
    <row r="1123" spans="4:8" x14ac:dyDescent="0.2">
      <c r="D1123" s="6"/>
      <c r="H1123" s="6">
        <v>42460.390092592592</v>
      </c>
    </row>
    <row r="1124" spans="4:8" x14ac:dyDescent="0.2">
      <c r="D1124" s="6"/>
      <c r="H1124" s="6">
        <v>42460.390092592592</v>
      </c>
    </row>
    <row r="1125" spans="4:8" x14ac:dyDescent="0.2">
      <c r="D1125" s="6"/>
      <c r="H1125" s="6">
        <v>42460.390092592592</v>
      </c>
    </row>
    <row r="1126" spans="4:8" x14ac:dyDescent="0.2">
      <c r="D1126" s="6"/>
      <c r="H1126" s="6">
        <v>42461.396539351852</v>
      </c>
    </row>
    <row r="1127" spans="4:8" x14ac:dyDescent="0.2">
      <c r="D1127" s="6"/>
      <c r="H1127" s="6">
        <v>42459.731481481482</v>
      </c>
    </row>
    <row r="1128" spans="4:8" x14ac:dyDescent="0.2">
      <c r="D1128" s="6"/>
      <c r="H1128" s="6">
        <v>42401.819525462961</v>
      </c>
    </row>
    <row r="1129" spans="4:8" x14ac:dyDescent="0.2">
      <c r="D1129" s="6"/>
      <c r="H1129" s="6">
        <v>42391.469247685185</v>
      </c>
    </row>
    <row r="1130" spans="4:8" x14ac:dyDescent="0.2">
      <c r="D1130" s="6"/>
      <c r="H1130" s="6">
        <v>42401.86078703704</v>
      </c>
    </row>
    <row r="1131" spans="4:8" x14ac:dyDescent="0.2">
      <c r="D1131" s="6"/>
      <c r="H1131" s="6">
        <v>42391.468402777777</v>
      </c>
    </row>
    <row r="1132" spans="4:8" x14ac:dyDescent="0.2">
      <c r="D1132" s="6"/>
      <c r="H1132" s="6">
        <v>42391.467673611114</v>
      </c>
    </row>
    <row r="1133" spans="4:8" x14ac:dyDescent="0.2">
      <c r="D1133" s="6"/>
      <c r="H1133" s="6">
        <v>42278.589826388888</v>
      </c>
    </row>
    <row r="1134" spans="4:8" x14ac:dyDescent="0.2">
      <c r="D1134" s="6"/>
      <c r="H1134" s="6">
        <v>42278.590324074074</v>
      </c>
    </row>
    <row r="1135" spans="4:8" x14ac:dyDescent="0.2">
      <c r="D1135" s="6"/>
      <c r="H1135" s="6">
        <v>42262.501180555555</v>
      </c>
    </row>
    <row r="1136" spans="4:8" x14ac:dyDescent="0.2">
      <c r="D1136" s="6"/>
      <c r="H1136" s="6">
        <v>42278.590324074074</v>
      </c>
    </row>
    <row r="1137" spans="4:8" x14ac:dyDescent="0.2">
      <c r="D1137" s="6"/>
      <c r="H1137" s="6">
        <v>42278.589872685188</v>
      </c>
    </row>
    <row r="1138" spans="4:8" x14ac:dyDescent="0.2">
      <c r="D1138" s="6"/>
      <c r="H1138" s="6">
        <v>42278.590046296296</v>
      </c>
    </row>
    <row r="1139" spans="4:8" x14ac:dyDescent="0.2">
      <c r="D1139" s="6"/>
      <c r="H1139" s="6">
        <v>42278.589872685188</v>
      </c>
    </row>
    <row r="1140" spans="4:8" x14ac:dyDescent="0.2">
      <c r="D1140" s="6"/>
      <c r="H1140" s="6">
        <v>42262.523761574077</v>
      </c>
    </row>
    <row r="1141" spans="4:8" x14ac:dyDescent="0.2">
      <c r="D1141" s="6"/>
      <c r="H1141" s="6">
        <v>42261.436840277776</v>
      </c>
    </row>
    <row r="1142" spans="4:8" x14ac:dyDescent="0.2">
      <c r="D1142" s="6"/>
      <c r="H1142" s="6">
        <v>42264.724814814814</v>
      </c>
    </row>
    <row r="1143" spans="4:8" x14ac:dyDescent="0.2">
      <c r="D1143" s="6"/>
      <c r="H1143" s="6">
        <v>42264.719965277778</v>
      </c>
    </row>
    <row r="1144" spans="4:8" x14ac:dyDescent="0.2">
      <c r="D1144" s="6"/>
      <c r="H1144" s="6">
        <v>42255.510729166665</v>
      </c>
    </row>
    <row r="1145" spans="4:8" x14ac:dyDescent="0.2">
      <c r="D1145" s="6"/>
      <c r="H1145" s="6">
        <v>42264.729050925926</v>
      </c>
    </row>
    <row r="1146" spans="4:8" x14ac:dyDescent="0.2">
      <c r="D1146" s="6"/>
      <c r="H1146" s="6">
        <v>42264.726469907408</v>
      </c>
    </row>
    <row r="1147" spans="4:8" x14ac:dyDescent="0.2">
      <c r="D1147" s="6"/>
      <c r="H1147" s="6">
        <v>42264.7265625</v>
      </c>
    </row>
    <row r="1148" spans="4:8" x14ac:dyDescent="0.2">
      <c r="D1148" s="6"/>
      <c r="H1148" s="6">
        <v>42264.726979166669</v>
      </c>
    </row>
    <row r="1149" spans="4:8" x14ac:dyDescent="0.2">
      <c r="D1149" s="6"/>
      <c r="H1149" s="6">
        <v>42264.727118055554</v>
      </c>
    </row>
    <row r="1150" spans="4:8" x14ac:dyDescent="0.2">
      <c r="D1150" s="6"/>
      <c r="H1150" s="6">
        <v>42262.523761574077</v>
      </c>
    </row>
    <row r="1151" spans="4:8" x14ac:dyDescent="0.2">
      <c r="D1151" s="6"/>
      <c r="H1151" s="6">
        <v>42261.523599537039</v>
      </c>
    </row>
    <row r="1152" spans="4:8" x14ac:dyDescent="0.2">
      <c r="D1152" s="6"/>
      <c r="H1152" s="6">
        <v>42262.501168981478</v>
      </c>
    </row>
    <row r="1153" spans="4:8" x14ac:dyDescent="0.2">
      <c r="D1153" s="6"/>
      <c r="H1153" s="6">
        <v>42404.713807870372</v>
      </c>
    </row>
    <row r="1154" spans="4:8" x14ac:dyDescent="0.2">
      <c r="D1154" s="6"/>
      <c r="H1154" s="6">
        <v>42310.773182870369</v>
      </c>
    </row>
    <row r="1155" spans="4:8" x14ac:dyDescent="0.2">
      <c r="D1155" s="6"/>
      <c r="H1155" s="6">
        <v>42398.480347222219</v>
      </c>
    </row>
    <row r="1156" spans="4:8" x14ac:dyDescent="0.2">
      <c r="D1156" s="6"/>
      <c r="H1156" s="6">
        <v>42398.478125000001</v>
      </c>
    </row>
    <row r="1157" spans="4:8" x14ac:dyDescent="0.2">
      <c r="D1157" s="6"/>
      <c r="H1157" s="6">
        <v>42398.478125000001</v>
      </c>
    </row>
    <row r="1158" spans="4:8" x14ac:dyDescent="0.2">
      <c r="D1158" s="6"/>
      <c r="H1158" s="6">
        <v>42388.763935185183</v>
      </c>
    </row>
    <row r="1159" spans="4:8" x14ac:dyDescent="0.2">
      <c r="D1159" s="6"/>
      <c r="H1159" s="6">
        <v>42388.764062499999</v>
      </c>
    </row>
    <row r="1160" spans="4:8" x14ac:dyDescent="0.2">
      <c r="D1160" s="6"/>
      <c r="H1160" s="6">
        <v>42388.694722222222</v>
      </c>
    </row>
    <row r="1161" spans="4:8" x14ac:dyDescent="0.2">
      <c r="D1161" s="6"/>
      <c r="H1161" s="6">
        <v>42388.638796296298</v>
      </c>
    </row>
    <row r="1162" spans="4:8" x14ac:dyDescent="0.2">
      <c r="D1162" s="6"/>
      <c r="H1162" s="6">
        <v>42388.64130787037</v>
      </c>
    </row>
    <row r="1163" spans="4:8" x14ac:dyDescent="0.2">
      <c r="D1163" s="6"/>
      <c r="H1163" s="6">
        <v>42388.504560185182</v>
      </c>
    </row>
    <row r="1164" spans="4:8" x14ac:dyDescent="0.2">
      <c r="D1164" s="6"/>
      <c r="H1164" s="6">
        <v>42388.493900462963</v>
      </c>
    </row>
    <row r="1165" spans="4:8" x14ac:dyDescent="0.2">
      <c r="D1165" s="6"/>
      <c r="H1165" s="6">
        <v>42388.639861111114</v>
      </c>
    </row>
    <row r="1166" spans="4:8" x14ac:dyDescent="0.2">
      <c r="D1166" s="6"/>
      <c r="H1166" s="6">
        <v>42388.504664351851</v>
      </c>
    </row>
    <row r="1167" spans="4:8" x14ac:dyDescent="0.2">
      <c r="D1167" s="6"/>
      <c r="H1167" s="6">
        <v>42388.504953703705</v>
      </c>
    </row>
    <row r="1168" spans="4:8" x14ac:dyDescent="0.2">
      <c r="D1168" s="6"/>
      <c r="H1168" s="6">
        <v>42388.504942129628</v>
      </c>
    </row>
    <row r="1169" spans="4:8" x14ac:dyDescent="0.2">
      <c r="D1169" s="6"/>
      <c r="H1169" s="6">
        <v>42251.568877314814</v>
      </c>
    </row>
    <row r="1170" spans="4:8" x14ac:dyDescent="0.2">
      <c r="D1170" s="6"/>
      <c r="H1170" s="6">
        <v>42488.644062500003</v>
      </c>
    </row>
    <row r="1171" spans="4:8" x14ac:dyDescent="0.2">
      <c r="D1171" s="6"/>
      <c r="H1171" s="6">
        <v>42453.771180555559</v>
      </c>
    </row>
    <row r="1172" spans="4:8" x14ac:dyDescent="0.2">
      <c r="D1172" s="6"/>
      <c r="H1172" s="6">
        <v>42453.771192129629</v>
      </c>
    </row>
    <row r="1173" spans="4:8" x14ac:dyDescent="0.2">
      <c r="D1173" s="6"/>
      <c r="H1173" s="6">
        <v>42453.771192129629</v>
      </c>
    </row>
    <row r="1174" spans="4:8" x14ac:dyDescent="0.2">
      <c r="D1174" s="6"/>
      <c r="H1174" s="6">
        <v>42453.771192129629</v>
      </c>
    </row>
    <row r="1175" spans="4:8" x14ac:dyDescent="0.2">
      <c r="D1175" s="6"/>
      <c r="H1175" s="6">
        <v>42453.771932870368</v>
      </c>
    </row>
    <row r="1176" spans="4:8" x14ac:dyDescent="0.2">
      <c r="D1176" s="6"/>
      <c r="H1176" s="6">
        <v>42453.771932870368</v>
      </c>
    </row>
    <row r="1177" spans="4:8" x14ac:dyDescent="0.2">
      <c r="D1177" s="6"/>
      <c r="H1177" s="6">
        <v>42453.771192129629</v>
      </c>
    </row>
    <row r="1178" spans="4:8" x14ac:dyDescent="0.2">
      <c r="D1178" s="6"/>
      <c r="H1178" s="6">
        <v>42453.771192129629</v>
      </c>
    </row>
    <row r="1179" spans="4:8" x14ac:dyDescent="0.2">
      <c r="D1179" s="6"/>
      <c r="H1179" s="6">
        <v>42383.547002314815</v>
      </c>
    </row>
    <row r="1180" spans="4:8" x14ac:dyDescent="0.2">
      <c r="D1180" s="6"/>
      <c r="H1180" s="6">
        <v>42453.766793981478</v>
      </c>
    </row>
    <row r="1181" spans="4:8" x14ac:dyDescent="0.2">
      <c r="D1181" s="6"/>
      <c r="H1181" s="6">
        <v>42445.434236111112</v>
      </c>
    </row>
    <row r="1182" spans="4:8" x14ac:dyDescent="0.2">
      <c r="D1182" s="6"/>
      <c r="H1182" s="6">
        <v>42390.72960648148</v>
      </c>
    </row>
    <row r="1183" spans="4:8" x14ac:dyDescent="0.2">
      <c r="D1183" s="6"/>
      <c r="H1183" s="6">
        <v>42390.729016203702</v>
      </c>
    </row>
    <row r="1184" spans="4:8" x14ac:dyDescent="0.2">
      <c r="D1184" s="6"/>
      <c r="H1184" s="6">
        <v>42390.733877314815</v>
      </c>
    </row>
    <row r="1185" spans="4:8" x14ac:dyDescent="0.2">
      <c r="D1185" s="6"/>
      <c r="H1185" s="6">
        <v>42390.73</v>
      </c>
    </row>
    <row r="1186" spans="4:8" x14ac:dyDescent="0.2">
      <c r="D1186" s="6"/>
      <c r="H1186" s="6">
        <v>42390.73</v>
      </c>
    </row>
    <row r="1187" spans="4:8" x14ac:dyDescent="0.2">
      <c r="D1187" s="6"/>
      <c r="H1187" s="6">
        <v>42390.729849537034</v>
      </c>
    </row>
    <row r="1188" spans="4:8" x14ac:dyDescent="0.2">
      <c r="D1188" s="6"/>
      <c r="H1188" s="6">
        <v>42390.730196759258</v>
      </c>
    </row>
    <row r="1189" spans="4:8" x14ac:dyDescent="0.2">
      <c r="D1189" s="6"/>
      <c r="H1189" s="6">
        <v>42390.730879629627</v>
      </c>
    </row>
    <row r="1190" spans="4:8" x14ac:dyDescent="0.2">
      <c r="D1190" s="6"/>
      <c r="H1190" s="6">
        <v>42464.383043981485</v>
      </c>
    </row>
    <row r="1191" spans="4:8" x14ac:dyDescent="0.2">
      <c r="D1191" s="6"/>
      <c r="H1191" s="6">
        <v>42262.480821759258</v>
      </c>
    </row>
    <row r="1192" spans="4:8" x14ac:dyDescent="0.2">
      <c r="D1192" s="6"/>
      <c r="H1192" s="6">
        <v>42261.522280092591</v>
      </c>
    </row>
    <row r="1193" spans="4:8" x14ac:dyDescent="0.2">
      <c r="D1193" s="6"/>
      <c r="H1193" s="6">
        <v>42409.673425925925</v>
      </c>
    </row>
    <row r="1194" spans="4:8" x14ac:dyDescent="0.2">
      <c r="D1194" s="6"/>
      <c r="H1194" s="6">
        <v>42264.390393518515</v>
      </c>
    </row>
    <row r="1195" spans="4:8" x14ac:dyDescent="0.2">
      <c r="D1195" s="6"/>
      <c r="H1195" s="6">
        <v>42263.410937499997</v>
      </c>
    </row>
    <row r="1196" spans="4:8" x14ac:dyDescent="0.2">
      <c r="D1196" s="6"/>
      <c r="H1196" s="6">
        <v>42353.734039351853</v>
      </c>
    </row>
    <row r="1197" spans="4:8" x14ac:dyDescent="0.2">
      <c r="D1197" s="6"/>
      <c r="H1197" s="6">
        <v>42376.692939814813</v>
      </c>
    </row>
    <row r="1198" spans="4:8" x14ac:dyDescent="0.2">
      <c r="D1198" s="6"/>
      <c r="H1198" s="6">
        <v>42404.464432870373</v>
      </c>
    </row>
    <row r="1199" spans="4:8" x14ac:dyDescent="0.2">
      <c r="D1199" s="6"/>
      <c r="H1199" s="6">
        <v>42409.581342592595</v>
      </c>
    </row>
    <row r="1200" spans="4:8" x14ac:dyDescent="0.2">
      <c r="D1200" s="6"/>
      <c r="H1200" s="6">
        <v>42465.391250000001</v>
      </c>
    </row>
    <row r="1201" spans="4:8" x14ac:dyDescent="0.2">
      <c r="D1201" s="6"/>
      <c r="H1201" s="6">
        <v>42389.679872685185</v>
      </c>
    </row>
    <row r="1202" spans="4:8" x14ac:dyDescent="0.2">
      <c r="D1202" s="6"/>
      <c r="H1202" s="6">
        <v>42394.632175925923</v>
      </c>
    </row>
    <row r="1203" spans="4:8" x14ac:dyDescent="0.2">
      <c r="D1203" s="6"/>
      <c r="H1203" s="6">
        <v>42389.467534722222</v>
      </c>
    </row>
    <row r="1204" spans="4:8" x14ac:dyDescent="0.2">
      <c r="D1204" s="6"/>
      <c r="H1204" s="6">
        <v>42388.80228009259</v>
      </c>
    </row>
    <row r="1205" spans="4:8" x14ac:dyDescent="0.2">
      <c r="D1205" s="6"/>
      <c r="H1205" s="6">
        <v>42398.682638888888</v>
      </c>
    </row>
    <row r="1206" spans="4:8" x14ac:dyDescent="0.2">
      <c r="D1206" s="6"/>
      <c r="H1206" s="6">
        <v>42408.659409722219</v>
      </c>
    </row>
    <row r="1207" spans="4:8" x14ac:dyDescent="0.2">
      <c r="D1207" s="6"/>
      <c r="H1207" s="6">
        <v>42461.771666666667</v>
      </c>
    </row>
    <row r="1208" spans="4:8" x14ac:dyDescent="0.2">
      <c r="D1208" s="6"/>
      <c r="H1208" s="6">
        <v>41151.482858796298</v>
      </c>
    </row>
    <row r="1209" spans="4:8" x14ac:dyDescent="0.2">
      <c r="D1209" s="6"/>
      <c r="H1209" s="6">
        <v>42464.415312500001</v>
      </c>
    </row>
    <row r="1210" spans="4:8" x14ac:dyDescent="0.2">
      <c r="D1210" s="6"/>
      <c r="H1210" s="6">
        <v>42258.581875000003</v>
      </c>
    </row>
    <row r="1211" spans="4:8" x14ac:dyDescent="0.2">
      <c r="D1211" s="6"/>
      <c r="H1211" s="6">
        <v>42419.452199074076</v>
      </c>
    </row>
    <row r="1212" spans="4:8" x14ac:dyDescent="0.2">
      <c r="D1212" s="6"/>
      <c r="H1212" s="6">
        <v>42417.675717592596</v>
      </c>
    </row>
    <row r="1213" spans="4:8" x14ac:dyDescent="0.2">
      <c r="D1213" s="6"/>
      <c r="H1213" s="6">
        <v>42431.856099537035</v>
      </c>
    </row>
    <row r="1214" spans="4:8" x14ac:dyDescent="0.2">
      <c r="D1214" s="6"/>
      <c r="H1214" s="6">
        <v>42431.78502314815</v>
      </c>
    </row>
    <row r="1215" spans="4:8" x14ac:dyDescent="0.2">
      <c r="D1215" s="6"/>
      <c r="H1215" s="6">
        <v>42243.614988425928</v>
      </c>
    </row>
    <row r="1216" spans="4:8" x14ac:dyDescent="0.2">
      <c r="D1216" s="6"/>
      <c r="H1216" s="6">
        <v>42243.614293981482</v>
      </c>
    </row>
    <row r="1217" spans="4:8" x14ac:dyDescent="0.2">
      <c r="D1217" s="6"/>
      <c r="H1217" s="6">
        <v>42241.694039351853</v>
      </c>
    </row>
    <row r="1218" spans="4:8" x14ac:dyDescent="0.2">
      <c r="D1218" s="6"/>
      <c r="H1218" s="6">
        <v>42243.612361111111</v>
      </c>
    </row>
    <row r="1219" spans="4:8" x14ac:dyDescent="0.2">
      <c r="D1219" s="6"/>
      <c r="H1219" s="6">
        <v>42241.685659722221</v>
      </c>
    </row>
    <row r="1220" spans="4:8" x14ac:dyDescent="0.2">
      <c r="D1220" s="6"/>
      <c r="H1220" s="6">
        <v>42241.694386574076</v>
      </c>
    </row>
    <row r="1221" spans="4:8" x14ac:dyDescent="0.2">
      <c r="D1221" s="6"/>
      <c r="H1221" s="6">
        <v>42241.487939814811</v>
      </c>
    </row>
    <row r="1222" spans="4:8" x14ac:dyDescent="0.2">
      <c r="D1222" s="6"/>
      <c r="H1222" s="6">
        <v>42241.698182870372</v>
      </c>
    </row>
    <row r="1223" spans="4:8" x14ac:dyDescent="0.2">
      <c r="D1223" s="6"/>
      <c r="H1223" s="6">
        <v>42241.491944444446</v>
      </c>
    </row>
    <row r="1224" spans="4:8" x14ac:dyDescent="0.2">
      <c r="D1224" s="6"/>
      <c r="H1224" s="6">
        <v>42241.697511574072</v>
      </c>
    </row>
    <row r="1225" spans="4:8" x14ac:dyDescent="0.2">
      <c r="D1225" s="6"/>
      <c r="H1225" s="6">
        <v>42241.701805555553</v>
      </c>
    </row>
    <row r="1226" spans="4:8" x14ac:dyDescent="0.2">
      <c r="D1226" s="6"/>
      <c r="H1226" s="6">
        <v>42241.695717592593</v>
      </c>
    </row>
    <row r="1227" spans="4:8" x14ac:dyDescent="0.2">
      <c r="D1227" s="6"/>
      <c r="H1227" s="6">
        <v>42241.736608796295</v>
      </c>
    </row>
    <row r="1228" spans="4:8" x14ac:dyDescent="0.2">
      <c r="D1228" s="6"/>
      <c r="H1228" s="6">
        <v>42242.436423611114</v>
      </c>
    </row>
    <row r="1229" spans="4:8" x14ac:dyDescent="0.2">
      <c r="D1229" s="6"/>
      <c r="H1229" s="6">
        <v>42241.695717592593</v>
      </c>
    </row>
    <row r="1230" spans="4:8" x14ac:dyDescent="0.2">
      <c r="D1230" s="6"/>
      <c r="H1230" s="6">
        <v>42410.499305555553</v>
      </c>
    </row>
    <row r="1231" spans="4:8" x14ac:dyDescent="0.2">
      <c r="D1231" s="6"/>
      <c r="H1231" s="6">
        <v>42411.475763888891</v>
      </c>
    </row>
    <row r="1232" spans="4:8" x14ac:dyDescent="0.2">
      <c r="D1232" s="6"/>
      <c r="H1232" s="6">
        <v>42278.595150462963</v>
      </c>
    </row>
    <row r="1233" spans="4:8" x14ac:dyDescent="0.2">
      <c r="D1233" s="6"/>
      <c r="H1233" s="6">
        <v>42278.595150462963</v>
      </c>
    </row>
    <row r="1234" spans="4:8" x14ac:dyDescent="0.2">
      <c r="D1234" s="6"/>
      <c r="H1234" s="6">
        <v>42278.595150462963</v>
      </c>
    </row>
    <row r="1235" spans="4:8" x14ac:dyDescent="0.2">
      <c r="D1235" s="6"/>
      <c r="H1235" s="6">
        <v>42278.595150462963</v>
      </c>
    </row>
    <row r="1236" spans="4:8" x14ac:dyDescent="0.2">
      <c r="D1236" s="6"/>
      <c r="H1236" s="6">
        <v>42278.595150462963</v>
      </c>
    </row>
    <row r="1237" spans="4:8" x14ac:dyDescent="0.2">
      <c r="D1237" s="6"/>
      <c r="H1237" s="6">
        <v>42278.59516203704</v>
      </c>
    </row>
    <row r="1238" spans="4:8" x14ac:dyDescent="0.2">
      <c r="D1238" s="6"/>
      <c r="H1238" s="6">
        <v>42325.791018518517</v>
      </c>
    </row>
    <row r="1239" spans="4:8" x14ac:dyDescent="0.2">
      <c r="D1239" s="6"/>
      <c r="H1239" s="6">
        <v>41880.420567129629</v>
      </c>
    </row>
    <row r="1240" spans="4:8" x14ac:dyDescent="0.2">
      <c r="D1240" s="6"/>
      <c r="H1240" s="6">
        <v>42452.671284722222</v>
      </c>
    </row>
    <row r="1241" spans="4:8" x14ac:dyDescent="0.2">
      <c r="D1241" s="6"/>
      <c r="H1241" s="6">
        <v>42384.618935185186</v>
      </c>
    </row>
    <row r="1242" spans="4:8" x14ac:dyDescent="0.2">
      <c r="D1242" s="6"/>
      <c r="H1242" s="6">
        <v>42068.835844907408</v>
      </c>
    </row>
    <row r="1243" spans="4:8" x14ac:dyDescent="0.2">
      <c r="D1243" s="6"/>
      <c r="H1243" s="6">
        <v>42272.657557870371</v>
      </c>
    </row>
    <row r="1244" spans="4:8" x14ac:dyDescent="0.2">
      <c r="D1244" s="6"/>
      <c r="H1244" s="6">
        <v>40913.469537037039</v>
      </c>
    </row>
    <row r="1245" spans="4:8" x14ac:dyDescent="0.2">
      <c r="D1245" s="6"/>
      <c r="H1245" s="6">
        <v>42088.474189814813</v>
      </c>
    </row>
    <row r="1246" spans="4:8" x14ac:dyDescent="0.2">
      <c r="D1246" s="6"/>
      <c r="H1246" s="6">
        <v>42326.479178240741</v>
      </c>
    </row>
    <row r="1247" spans="4:8" x14ac:dyDescent="0.2">
      <c r="D1247" s="6"/>
      <c r="H1247" s="6">
        <v>42066.744386574072</v>
      </c>
    </row>
    <row r="1248" spans="4:8" x14ac:dyDescent="0.2">
      <c r="D1248" s="6"/>
      <c r="H1248" s="6">
        <v>42066.74423611111</v>
      </c>
    </row>
    <row r="1249" spans="4:8" x14ac:dyDescent="0.2">
      <c r="D1249" s="6"/>
      <c r="H1249" s="6">
        <v>40913.469537037039</v>
      </c>
    </row>
    <row r="1250" spans="4:8" x14ac:dyDescent="0.2">
      <c r="D1250" s="6"/>
      <c r="H1250" s="6">
        <v>40913.469537037039</v>
      </c>
    </row>
    <row r="1251" spans="4:8" x14ac:dyDescent="0.2">
      <c r="D1251" s="6"/>
      <c r="H1251" s="6">
        <v>42307.780613425923</v>
      </c>
    </row>
    <row r="1252" spans="4:8" x14ac:dyDescent="0.2">
      <c r="D1252" s="6"/>
      <c r="H1252" s="6">
        <v>42404.615219907406</v>
      </c>
    </row>
    <row r="1253" spans="4:8" x14ac:dyDescent="0.2">
      <c r="D1253" s="6"/>
      <c r="H1253" s="6">
        <v>42404.764236111114</v>
      </c>
    </row>
    <row r="1254" spans="4:8" x14ac:dyDescent="0.2">
      <c r="D1254" s="6"/>
      <c r="H1254" s="6">
        <v>42410.713125000002</v>
      </c>
    </row>
    <row r="1255" spans="4:8" x14ac:dyDescent="0.2">
      <c r="D1255" s="6"/>
      <c r="H1255" s="6">
        <v>42269.458599537036</v>
      </c>
    </row>
    <row r="1256" spans="4:8" x14ac:dyDescent="0.2">
      <c r="D1256" s="6"/>
      <c r="H1256" s="6">
        <v>42319.438483796293</v>
      </c>
    </row>
    <row r="1257" spans="4:8" x14ac:dyDescent="0.2">
      <c r="D1257" s="6"/>
      <c r="H1257" s="6">
        <v>42319.429224537038</v>
      </c>
    </row>
    <row r="1258" spans="4:8" x14ac:dyDescent="0.2">
      <c r="D1258" s="6"/>
      <c r="H1258" s="6">
        <v>42269.459513888891</v>
      </c>
    </row>
    <row r="1259" spans="4:8" x14ac:dyDescent="0.2">
      <c r="D1259" s="6"/>
      <c r="H1259" s="6">
        <v>42269.457951388889</v>
      </c>
    </row>
    <row r="1260" spans="4:8" x14ac:dyDescent="0.2">
      <c r="D1260" s="6"/>
      <c r="H1260" s="6">
        <v>42319.431608796294</v>
      </c>
    </row>
    <row r="1261" spans="4:8" x14ac:dyDescent="0.2">
      <c r="D1261" s="6"/>
      <c r="H1261" s="6">
        <v>42269.459016203706</v>
      </c>
    </row>
    <row r="1262" spans="4:8" x14ac:dyDescent="0.2">
      <c r="D1262" s="6"/>
      <c r="H1262" s="6">
        <v>42374.728819444441</v>
      </c>
    </row>
    <row r="1263" spans="4:8" x14ac:dyDescent="0.2">
      <c r="D1263" s="6"/>
      <c r="H1263" s="6">
        <v>42244.406782407408</v>
      </c>
    </row>
    <row r="1264" spans="4:8" x14ac:dyDescent="0.2">
      <c r="D1264" s="6"/>
      <c r="H1264" s="6">
        <v>42244.406365740739</v>
      </c>
    </row>
    <row r="1265" spans="4:8" x14ac:dyDescent="0.2">
      <c r="D1265" s="6"/>
      <c r="H1265" s="6">
        <v>42244.406365740739</v>
      </c>
    </row>
    <row r="1266" spans="4:8" x14ac:dyDescent="0.2">
      <c r="D1266" s="6"/>
      <c r="H1266" s="6">
        <v>42275.673854166664</v>
      </c>
    </row>
    <row r="1267" spans="4:8" x14ac:dyDescent="0.2">
      <c r="D1267" s="6"/>
      <c r="H1267" s="6">
        <v>42275.672083333331</v>
      </c>
    </row>
    <row r="1268" spans="4:8" x14ac:dyDescent="0.2">
      <c r="D1268" s="6"/>
      <c r="H1268" s="6">
        <v>42241.416643518518</v>
      </c>
    </row>
    <row r="1269" spans="4:8" x14ac:dyDescent="0.2">
      <c r="D1269" s="6"/>
      <c r="H1269" s="6">
        <v>42241.416620370372</v>
      </c>
    </row>
    <row r="1270" spans="4:8" x14ac:dyDescent="0.2">
      <c r="D1270" s="6"/>
      <c r="H1270" s="6">
        <v>42319.445902777778</v>
      </c>
    </row>
    <row r="1271" spans="4:8" x14ac:dyDescent="0.2">
      <c r="D1271" s="6"/>
      <c r="H1271" s="6">
        <v>42262.755787037036</v>
      </c>
    </row>
    <row r="1272" spans="4:8" x14ac:dyDescent="0.2">
      <c r="D1272" s="6"/>
      <c r="H1272" s="6">
        <v>42262.473182870373</v>
      </c>
    </row>
    <row r="1273" spans="4:8" x14ac:dyDescent="0.2">
      <c r="D1273" s="6"/>
      <c r="H1273" s="6">
        <v>42262.770462962966</v>
      </c>
    </row>
    <row r="1274" spans="4:8" x14ac:dyDescent="0.2">
      <c r="D1274" s="6"/>
      <c r="H1274" s="6">
        <v>42263.426076388889</v>
      </c>
    </row>
    <row r="1275" spans="4:8" x14ac:dyDescent="0.2">
      <c r="D1275" s="6"/>
      <c r="H1275" s="6">
        <v>42263.422395833331</v>
      </c>
    </row>
    <row r="1276" spans="4:8" x14ac:dyDescent="0.2">
      <c r="D1276" s="6"/>
      <c r="H1276" s="6">
        <v>42265.704976851855</v>
      </c>
    </row>
    <row r="1277" spans="4:8" x14ac:dyDescent="0.2">
      <c r="D1277" s="6"/>
      <c r="H1277" s="6">
        <v>42256.397581018522</v>
      </c>
    </row>
    <row r="1278" spans="4:8" x14ac:dyDescent="0.2">
      <c r="D1278" s="6"/>
      <c r="H1278" s="6">
        <v>42300.393912037034</v>
      </c>
    </row>
    <row r="1279" spans="4:8" x14ac:dyDescent="0.2">
      <c r="D1279" s="6"/>
      <c r="H1279" s="6">
        <v>42277.520046296297</v>
      </c>
    </row>
    <row r="1280" spans="4:8" x14ac:dyDescent="0.2">
      <c r="D1280" s="6"/>
      <c r="H1280" s="6">
        <v>42018.756666666668</v>
      </c>
    </row>
    <row r="1281" spans="4:8" x14ac:dyDescent="0.2">
      <c r="D1281" s="6"/>
      <c r="H1281" s="6">
        <v>42227.610231481478</v>
      </c>
    </row>
    <row r="1282" spans="4:8" x14ac:dyDescent="0.2">
      <c r="D1282" s="6"/>
      <c r="H1282" s="6">
        <v>42227.594340277778</v>
      </c>
    </row>
    <row r="1283" spans="4:8" x14ac:dyDescent="0.2">
      <c r="D1283" s="6"/>
      <c r="H1283" s="6">
        <v>42018.756666666668</v>
      </c>
    </row>
    <row r="1284" spans="4:8" x14ac:dyDescent="0.2">
      <c r="D1284" s="6"/>
      <c r="H1284" s="6">
        <v>42018.756666666668</v>
      </c>
    </row>
    <row r="1285" spans="4:8" x14ac:dyDescent="0.2">
      <c r="D1285" s="6"/>
      <c r="H1285" s="6">
        <v>42018.756666666668</v>
      </c>
    </row>
    <row r="1286" spans="4:8" x14ac:dyDescent="0.2">
      <c r="D1286" s="6"/>
      <c r="H1286" s="6">
        <v>42018.756666666668</v>
      </c>
    </row>
    <row r="1287" spans="4:8" x14ac:dyDescent="0.2">
      <c r="D1287" s="6"/>
      <c r="H1287" s="6">
        <v>42018.756666666668</v>
      </c>
    </row>
    <row r="1288" spans="4:8" x14ac:dyDescent="0.2">
      <c r="D1288" s="6"/>
      <c r="H1288" s="6">
        <v>42018.754537037035</v>
      </c>
    </row>
    <row r="1289" spans="4:8" x14ac:dyDescent="0.2">
      <c r="D1289" s="6"/>
      <c r="H1289" s="6">
        <v>42024.551678240743</v>
      </c>
    </row>
    <row r="1290" spans="4:8" x14ac:dyDescent="0.2">
      <c r="D1290" s="6"/>
      <c r="H1290" s="6">
        <v>42018.754537037035</v>
      </c>
    </row>
    <row r="1291" spans="4:8" x14ac:dyDescent="0.2">
      <c r="D1291" s="6"/>
      <c r="H1291" s="6">
        <v>42018.754537037035</v>
      </c>
    </row>
    <row r="1292" spans="4:8" x14ac:dyDescent="0.2">
      <c r="D1292" s="6"/>
      <c r="H1292" s="6">
        <v>42018.754537037035</v>
      </c>
    </row>
    <row r="1293" spans="4:8" x14ac:dyDescent="0.2">
      <c r="D1293" s="6"/>
      <c r="H1293" s="6">
        <v>42018.754548611112</v>
      </c>
    </row>
    <row r="1294" spans="4:8" x14ac:dyDescent="0.2">
      <c r="D1294" s="6"/>
      <c r="H1294" s="6">
        <v>42018.754548611112</v>
      </c>
    </row>
    <row r="1295" spans="4:8" x14ac:dyDescent="0.2">
      <c r="D1295" s="6"/>
      <c r="H1295" s="6">
        <v>42018.754548611112</v>
      </c>
    </row>
    <row r="1296" spans="4:8" x14ac:dyDescent="0.2">
      <c r="D1296" s="6"/>
      <c r="H1296" s="6">
        <v>42018.754548611112</v>
      </c>
    </row>
    <row r="1297" spans="4:8" x14ac:dyDescent="0.2">
      <c r="D1297" s="6"/>
      <c r="H1297" s="6">
        <v>42018.754548611112</v>
      </c>
    </row>
    <row r="1298" spans="4:8" x14ac:dyDescent="0.2">
      <c r="D1298" s="6"/>
      <c r="H1298" s="6">
        <v>42018.754548611112</v>
      </c>
    </row>
    <row r="1299" spans="4:8" x14ac:dyDescent="0.2">
      <c r="D1299" s="6"/>
      <c r="H1299" s="6">
        <v>42018.754548611112</v>
      </c>
    </row>
    <row r="1300" spans="4:8" x14ac:dyDescent="0.2">
      <c r="D1300" s="6"/>
      <c r="H1300" s="6">
        <v>42018.754548611112</v>
      </c>
    </row>
    <row r="1301" spans="4:8" x14ac:dyDescent="0.2">
      <c r="D1301" s="6"/>
      <c r="H1301" s="6">
        <v>42018.754548611112</v>
      </c>
    </row>
    <row r="1302" spans="4:8" x14ac:dyDescent="0.2">
      <c r="D1302" s="6"/>
      <c r="H1302" s="6">
        <v>42018.754548611112</v>
      </c>
    </row>
    <row r="1303" spans="4:8" x14ac:dyDescent="0.2">
      <c r="D1303" s="6"/>
      <c r="H1303" s="6">
        <v>42018.754548611112</v>
      </c>
    </row>
    <row r="1304" spans="4:8" x14ac:dyDescent="0.2">
      <c r="D1304" s="6"/>
      <c r="H1304" s="6">
        <v>42018.754548611112</v>
      </c>
    </row>
    <row r="1305" spans="4:8" x14ac:dyDescent="0.2">
      <c r="D1305" s="6"/>
      <c r="H1305" s="6">
        <v>42018.754560185182</v>
      </c>
    </row>
    <row r="1306" spans="4:8" x14ac:dyDescent="0.2">
      <c r="D1306" s="6"/>
      <c r="H1306" s="6">
        <v>42018.754560185182</v>
      </c>
    </row>
    <row r="1307" spans="4:8" x14ac:dyDescent="0.2">
      <c r="D1307" s="6"/>
      <c r="H1307" s="6">
        <v>42018.754560185182</v>
      </c>
    </row>
    <row r="1308" spans="4:8" x14ac:dyDescent="0.2">
      <c r="D1308" s="6"/>
      <c r="H1308" s="6">
        <v>42018.754560185182</v>
      </c>
    </row>
    <row r="1309" spans="4:8" x14ac:dyDescent="0.2">
      <c r="D1309" s="6"/>
      <c r="H1309" s="6">
        <v>42018.756712962961</v>
      </c>
    </row>
    <row r="1310" spans="4:8" x14ac:dyDescent="0.2">
      <c r="D1310" s="6"/>
      <c r="H1310" s="6">
        <v>42018.756712962961</v>
      </c>
    </row>
    <row r="1311" spans="4:8" x14ac:dyDescent="0.2">
      <c r="D1311" s="6"/>
      <c r="H1311" s="6">
        <v>42018.756712962961</v>
      </c>
    </row>
    <row r="1312" spans="4:8" x14ac:dyDescent="0.2">
      <c r="D1312" s="6"/>
      <c r="H1312" s="6">
        <v>42018.756712962961</v>
      </c>
    </row>
    <row r="1313" spans="1:8" x14ac:dyDescent="0.2">
      <c r="D1313" s="6"/>
      <c r="H1313" s="6">
        <v>42018.756712962961</v>
      </c>
    </row>
    <row r="1314" spans="1:8" x14ac:dyDescent="0.2">
      <c r="D1314" s="6"/>
      <c r="H1314" s="6">
        <v>42018.756712962961</v>
      </c>
    </row>
    <row r="1315" spans="1:8" x14ac:dyDescent="0.2">
      <c r="D1315" s="6"/>
      <c r="H1315" s="6">
        <v>42018.754618055558</v>
      </c>
    </row>
    <row r="1316" spans="1:8" x14ac:dyDescent="0.2">
      <c r="A1316" s="19"/>
      <c r="D1316" s="6"/>
      <c r="H1316" s="6">
        <v>42024.549710648149</v>
      </c>
    </row>
    <row r="1317" spans="1:8" x14ac:dyDescent="0.2">
      <c r="D1317" s="6"/>
      <c r="H1317" s="6">
        <v>42018.754618055558</v>
      </c>
    </row>
    <row r="1318" spans="1:8" x14ac:dyDescent="0.2">
      <c r="D1318" s="6"/>
      <c r="H1318" s="6">
        <v>42018.754618055558</v>
      </c>
    </row>
    <row r="1319" spans="1:8" x14ac:dyDescent="0.2">
      <c r="D1319" s="6"/>
      <c r="H1319" s="6">
        <v>42018.754618055558</v>
      </c>
    </row>
    <row r="1320" spans="1:8" x14ac:dyDescent="0.2">
      <c r="D1320" s="6"/>
      <c r="H1320" s="6">
        <v>42018.754618055558</v>
      </c>
    </row>
    <row r="1321" spans="1:8" x14ac:dyDescent="0.2">
      <c r="D1321" s="6"/>
      <c r="H1321" s="6">
        <v>42018.754618055558</v>
      </c>
    </row>
    <row r="1322" spans="1:8" x14ac:dyDescent="0.2">
      <c r="D1322" s="6"/>
      <c r="H1322" s="6">
        <v>42018.754618055558</v>
      </c>
    </row>
    <row r="1323" spans="1:8" x14ac:dyDescent="0.2">
      <c r="D1323" s="6"/>
      <c r="H1323" s="6">
        <v>42018.754618055558</v>
      </c>
    </row>
    <row r="1324" spans="1:8" x14ac:dyDescent="0.2">
      <c r="D1324" s="6"/>
      <c r="H1324" s="6">
        <v>42018.754618055558</v>
      </c>
    </row>
    <row r="1325" spans="1:8" x14ac:dyDescent="0.2">
      <c r="D1325" s="6"/>
      <c r="H1325" s="6">
        <v>42018.754618055558</v>
      </c>
    </row>
    <row r="1326" spans="1:8" x14ac:dyDescent="0.2">
      <c r="D1326" s="6"/>
      <c r="H1326" s="6">
        <v>42018.754629629628</v>
      </c>
    </row>
    <row r="1327" spans="1:8" x14ac:dyDescent="0.2">
      <c r="D1327" s="6"/>
      <c r="H1327" s="6">
        <v>42018.754629629628</v>
      </c>
    </row>
    <row r="1328" spans="1:8" x14ac:dyDescent="0.2">
      <c r="D1328" s="6"/>
      <c r="H1328" s="6">
        <v>42018.754629629628</v>
      </c>
    </row>
    <row r="1329" spans="4:8" x14ac:dyDescent="0.2">
      <c r="D1329" s="6"/>
      <c r="H1329" s="6">
        <v>42018.754629629628</v>
      </c>
    </row>
    <row r="1330" spans="4:8" x14ac:dyDescent="0.2">
      <c r="D1330" s="6"/>
      <c r="H1330" s="6">
        <v>42018.754629629628</v>
      </c>
    </row>
    <row r="1331" spans="4:8" x14ac:dyDescent="0.2">
      <c r="D1331" s="6"/>
      <c r="H1331" s="6">
        <v>42018.754629629628</v>
      </c>
    </row>
    <row r="1332" spans="4:8" x14ac:dyDescent="0.2">
      <c r="D1332" s="6"/>
      <c r="H1332" s="6">
        <v>42018.754629629628</v>
      </c>
    </row>
    <row r="1333" spans="4:8" x14ac:dyDescent="0.2">
      <c r="D1333" s="6"/>
      <c r="H1333" s="6">
        <v>42018.754629629628</v>
      </c>
    </row>
    <row r="1334" spans="4:8" x14ac:dyDescent="0.2">
      <c r="D1334" s="6"/>
      <c r="H1334" s="6">
        <v>42018.754629629628</v>
      </c>
    </row>
    <row r="1335" spans="4:8" x14ac:dyDescent="0.2">
      <c r="D1335" s="6"/>
      <c r="H1335" s="6">
        <v>42018.754629629628</v>
      </c>
    </row>
    <row r="1336" spans="4:8" x14ac:dyDescent="0.2">
      <c r="D1336" s="6"/>
      <c r="H1336" s="6">
        <v>42018.75681712963</v>
      </c>
    </row>
    <row r="1337" spans="4:8" x14ac:dyDescent="0.2">
      <c r="D1337" s="6"/>
      <c r="H1337" s="6">
        <v>42018.75681712963</v>
      </c>
    </row>
    <row r="1338" spans="4:8" x14ac:dyDescent="0.2">
      <c r="D1338" s="6"/>
      <c r="H1338" s="6">
        <v>42018.75681712963</v>
      </c>
    </row>
    <row r="1339" spans="4:8" x14ac:dyDescent="0.2">
      <c r="D1339" s="6"/>
      <c r="H1339" s="6">
        <v>42018.75681712963</v>
      </c>
    </row>
    <row r="1340" spans="4:8" x14ac:dyDescent="0.2">
      <c r="D1340" s="6"/>
      <c r="H1340" s="6">
        <v>42018.75681712963</v>
      </c>
    </row>
    <row r="1341" spans="4:8" x14ac:dyDescent="0.2">
      <c r="D1341" s="6"/>
      <c r="H1341" s="6">
        <v>42018.75681712963</v>
      </c>
    </row>
    <row r="1342" spans="4:8" x14ac:dyDescent="0.2">
      <c r="D1342" s="6"/>
      <c r="H1342" s="6">
        <v>42018.754687499997</v>
      </c>
    </row>
    <row r="1343" spans="4:8" x14ac:dyDescent="0.2">
      <c r="D1343" s="6"/>
      <c r="H1343" s="6">
        <v>42024.547731481478</v>
      </c>
    </row>
    <row r="1344" spans="4:8" x14ac:dyDescent="0.2">
      <c r="D1344" s="6"/>
      <c r="H1344" s="6">
        <v>42018.754687499997</v>
      </c>
    </row>
    <row r="1345" spans="4:8" x14ac:dyDescent="0.2">
      <c r="D1345" s="6"/>
      <c r="H1345" s="6">
        <v>42018.754687499997</v>
      </c>
    </row>
    <row r="1346" spans="4:8" x14ac:dyDescent="0.2">
      <c r="D1346" s="6"/>
      <c r="H1346" s="6">
        <v>42018.754687499997</v>
      </c>
    </row>
    <row r="1347" spans="4:8" x14ac:dyDescent="0.2">
      <c r="D1347" s="6"/>
      <c r="H1347" s="6">
        <v>42018.754687499997</v>
      </c>
    </row>
    <row r="1348" spans="4:8" x14ac:dyDescent="0.2">
      <c r="D1348" s="6"/>
      <c r="H1348" s="6">
        <v>42018.754687499997</v>
      </c>
    </row>
    <row r="1349" spans="4:8" x14ac:dyDescent="0.2">
      <c r="D1349" s="6"/>
      <c r="H1349" s="6">
        <v>42018.754699074074</v>
      </c>
    </row>
    <row r="1350" spans="4:8" x14ac:dyDescent="0.2">
      <c r="D1350" s="6"/>
      <c r="H1350" s="6">
        <v>42018.754699074074</v>
      </c>
    </row>
    <row r="1351" spans="4:8" x14ac:dyDescent="0.2">
      <c r="D1351" s="6"/>
      <c r="H1351" s="6">
        <v>42018.754699074074</v>
      </c>
    </row>
    <row r="1352" spans="4:8" x14ac:dyDescent="0.2">
      <c r="D1352" s="6"/>
      <c r="H1352" s="6">
        <v>42018.754699074074</v>
      </c>
    </row>
    <row r="1353" spans="4:8" x14ac:dyDescent="0.2">
      <c r="D1353" s="6"/>
      <c r="H1353" s="6">
        <v>42018.754699074074</v>
      </c>
    </row>
    <row r="1354" spans="4:8" x14ac:dyDescent="0.2">
      <c r="D1354" s="6"/>
      <c r="H1354" s="6">
        <v>42018.754699074074</v>
      </c>
    </row>
    <row r="1355" spans="4:8" x14ac:dyDescent="0.2">
      <c r="D1355" s="6"/>
      <c r="H1355" s="6">
        <v>42018.754699074074</v>
      </c>
    </row>
    <row r="1356" spans="4:8" x14ac:dyDescent="0.2">
      <c r="D1356" s="6"/>
      <c r="H1356" s="6">
        <v>42018.754699074074</v>
      </c>
    </row>
    <row r="1357" spans="4:8" x14ac:dyDescent="0.2">
      <c r="D1357" s="6"/>
      <c r="H1357" s="6">
        <v>42018.754699074074</v>
      </c>
    </row>
    <row r="1358" spans="4:8" x14ac:dyDescent="0.2">
      <c r="D1358" s="6"/>
      <c r="H1358" s="6">
        <v>42018.754699074074</v>
      </c>
    </row>
    <row r="1359" spans="4:8" x14ac:dyDescent="0.2">
      <c r="D1359" s="6"/>
      <c r="H1359" s="6">
        <v>42018.754710648151</v>
      </c>
    </row>
    <row r="1360" spans="4:8" x14ac:dyDescent="0.2">
      <c r="D1360" s="6"/>
      <c r="H1360" s="6">
        <v>42018.754710648151</v>
      </c>
    </row>
    <row r="1361" spans="4:8" x14ac:dyDescent="0.2">
      <c r="D1361" s="6"/>
      <c r="H1361" s="6">
        <v>42018.754710648151</v>
      </c>
    </row>
    <row r="1362" spans="4:8" x14ac:dyDescent="0.2">
      <c r="D1362" s="6"/>
      <c r="H1362" s="6">
        <v>42018.754710648151</v>
      </c>
    </row>
    <row r="1363" spans="4:8" x14ac:dyDescent="0.2">
      <c r="D1363" s="6"/>
      <c r="H1363" s="6">
        <v>42018.756874999999</v>
      </c>
    </row>
    <row r="1364" spans="4:8" x14ac:dyDescent="0.2">
      <c r="D1364" s="6"/>
      <c r="H1364" s="6">
        <v>42018.756874999999</v>
      </c>
    </row>
    <row r="1365" spans="4:8" x14ac:dyDescent="0.2">
      <c r="D1365" s="6"/>
      <c r="H1365" s="6">
        <v>42018.756874999999</v>
      </c>
    </row>
    <row r="1366" spans="4:8" x14ac:dyDescent="0.2">
      <c r="D1366" s="6"/>
      <c r="H1366" s="6">
        <v>42018.756874999999</v>
      </c>
    </row>
    <row r="1367" spans="4:8" x14ac:dyDescent="0.2">
      <c r="D1367" s="6"/>
      <c r="H1367" s="6">
        <v>42018.756874999999</v>
      </c>
    </row>
    <row r="1368" spans="4:8" x14ac:dyDescent="0.2">
      <c r="D1368" s="6"/>
      <c r="H1368" s="6">
        <v>42018.756874999999</v>
      </c>
    </row>
    <row r="1369" spans="4:8" x14ac:dyDescent="0.2">
      <c r="D1369" s="6"/>
      <c r="H1369" s="6">
        <v>42025.478472222225</v>
      </c>
    </row>
    <row r="1370" spans="4:8" x14ac:dyDescent="0.2">
      <c r="D1370" s="6"/>
      <c r="H1370" s="6">
        <v>42024.550381944442</v>
      </c>
    </row>
    <row r="1371" spans="4:8" x14ac:dyDescent="0.2">
      <c r="D1371" s="6"/>
      <c r="H1371" s="6">
        <v>42025.478483796294</v>
      </c>
    </row>
    <row r="1372" spans="4:8" x14ac:dyDescent="0.2">
      <c r="D1372" s="6"/>
      <c r="H1372" s="6">
        <v>42025.478483796294</v>
      </c>
    </row>
    <row r="1373" spans="4:8" x14ac:dyDescent="0.2">
      <c r="D1373" s="6"/>
      <c r="H1373" s="6">
        <v>42025.478483796294</v>
      </c>
    </row>
    <row r="1374" spans="4:8" x14ac:dyDescent="0.2">
      <c r="D1374" s="6"/>
      <c r="H1374" s="6">
        <v>42025.478483796294</v>
      </c>
    </row>
    <row r="1375" spans="4:8" x14ac:dyDescent="0.2">
      <c r="D1375" s="6"/>
      <c r="H1375" s="6">
        <v>42025.478483796294</v>
      </c>
    </row>
    <row r="1376" spans="4:8" x14ac:dyDescent="0.2">
      <c r="D1376" s="6"/>
      <c r="H1376" s="6">
        <v>42025.478483796294</v>
      </c>
    </row>
    <row r="1377" spans="4:8" x14ac:dyDescent="0.2">
      <c r="D1377" s="6"/>
      <c r="H1377" s="6">
        <v>42025.478483796294</v>
      </c>
    </row>
    <row r="1378" spans="4:8" x14ac:dyDescent="0.2">
      <c r="D1378" s="6"/>
      <c r="H1378" s="6">
        <v>42025.478483796294</v>
      </c>
    </row>
    <row r="1379" spans="4:8" x14ac:dyDescent="0.2">
      <c r="D1379" s="6"/>
      <c r="H1379" s="6">
        <v>42025.478483796294</v>
      </c>
    </row>
    <row r="1380" spans="4:8" x14ac:dyDescent="0.2">
      <c r="D1380" s="6"/>
      <c r="H1380" s="6">
        <v>42025.478483796294</v>
      </c>
    </row>
    <row r="1381" spans="4:8" x14ac:dyDescent="0.2">
      <c r="D1381" s="6"/>
      <c r="H1381" s="6">
        <v>42025.478483796294</v>
      </c>
    </row>
    <row r="1382" spans="4:8" x14ac:dyDescent="0.2">
      <c r="D1382" s="6"/>
      <c r="H1382" s="6">
        <v>42025.478483796294</v>
      </c>
    </row>
    <row r="1383" spans="4:8" x14ac:dyDescent="0.2">
      <c r="D1383" s="6"/>
      <c r="H1383" s="6">
        <v>42025.478495370371</v>
      </c>
    </row>
    <row r="1384" spans="4:8" x14ac:dyDescent="0.2">
      <c r="D1384" s="6"/>
      <c r="H1384" s="6">
        <v>42025.478495370371</v>
      </c>
    </row>
    <row r="1385" spans="4:8" x14ac:dyDescent="0.2">
      <c r="D1385" s="6"/>
      <c r="H1385" s="6">
        <v>42025.478495370371</v>
      </c>
    </row>
    <row r="1386" spans="4:8" x14ac:dyDescent="0.2">
      <c r="D1386" s="6"/>
      <c r="H1386" s="6">
        <v>42025.478495370371</v>
      </c>
    </row>
    <row r="1387" spans="4:8" x14ac:dyDescent="0.2">
      <c r="D1387" s="6"/>
      <c r="H1387" s="6">
        <v>42025.478495370371</v>
      </c>
    </row>
    <row r="1388" spans="4:8" x14ac:dyDescent="0.2">
      <c r="D1388" s="6"/>
      <c r="H1388" s="6">
        <v>42025.478495370371</v>
      </c>
    </row>
    <row r="1389" spans="4:8" x14ac:dyDescent="0.2">
      <c r="D1389" s="6"/>
      <c r="H1389" s="6">
        <v>42025.478506944448</v>
      </c>
    </row>
    <row r="1390" spans="4:8" x14ac:dyDescent="0.2">
      <c r="D1390" s="6"/>
      <c r="H1390" s="6">
        <v>42025.478506944448</v>
      </c>
    </row>
    <row r="1391" spans="4:8" x14ac:dyDescent="0.2">
      <c r="D1391" s="6"/>
      <c r="H1391" s="6">
        <v>42025.478506944448</v>
      </c>
    </row>
    <row r="1392" spans="4:8" x14ac:dyDescent="0.2">
      <c r="D1392" s="6"/>
      <c r="H1392" s="6">
        <v>42025.478506944448</v>
      </c>
    </row>
    <row r="1393" spans="4:8" x14ac:dyDescent="0.2">
      <c r="D1393" s="6"/>
      <c r="H1393" s="6">
        <v>42025.478506944448</v>
      </c>
    </row>
    <row r="1394" spans="4:8" x14ac:dyDescent="0.2">
      <c r="D1394" s="6"/>
      <c r="H1394" s="6">
        <v>42025.478506944448</v>
      </c>
    </row>
    <row r="1395" spans="4:8" x14ac:dyDescent="0.2">
      <c r="D1395" s="6"/>
      <c r="H1395" s="6">
        <v>42025.478506944448</v>
      </c>
    </row>
    <row r="1396" spans="4:8" x14ac:dyDescent="0.2">
      <c r="D1396" s="6"/>
      <c r="H1396" s="6">
        <v>42123.417025462964</v>
      </c>
    </row>
    <row r="1397" spans="4:8" x14ac:dyDescent="0.2">
      <c r="D1397" s="6"/>
      <c r="H1397" s="6">
        <v>42024.550844907404</v>
      </c>
    </row>
    <row r="1398" spans="4:8" x14ac:dyDescent="0.2">
      <c r="D1398" s="6"/>
      <c r="H1398" s="6">
        <v>42018.754756944443</v>
      </c>
    </row>
    <row r="1399" spans="4:8" x14ac:dyDescent="0.2">
      <c r="D1399" s="6"/>
      <c r="H1399" s="6">
        <v>42018.754756944443</v>
      </c>
    </row>
    <row r="1400" spans="4:8" x14ac:dyDescent="0.2">
      <c r="D1400" s="6"/>
      <c r="H1400" s="6">
        <v>42018.754756944443</v>
      </c>
    </row>
    <row r="1401" spans="4:8" x14ac:dyDescent="0.2">
      <c r="D1401" s="6"/>
      <c r="H1401" s="6">
        <v>42018.754756944443</v>
      </c>
    </row>
    <row r="1402" spans="4:8" x14ac:dyDescent="0.2">
      <c r="D1402" s="6"/>
      <c r="H1402" s="6">
        <v>42018.754756944443</v>
      </c>
    </row>
    <row r="1403" spans="4:8" x14ac:dyDescent="0.2">
      <c r="D1403" s="6"/>
      <c r="H1403" s="6">
        <v>42018.754756944443</v>
      </c>
    </row>
    <row r="1404" spans="4:8" x14ac:dyDescent="0.2">
      <c r="D1404" s="6"/>
      <c r="H1404" s="6">
        <v>42018.754756944443</v>
      </c>
    </row>
    <row r="1405" spans="4:8" x14ac:dyDescent="0.2">
      <c r="D1405" s="6"/>
      <c r="H1405" s="6">
        <v>42018.754756944443</v>
      </c>
    </row>
    <row r="1406" spans="4:8" x14ac:dyDescent="0.2">
      <c r="D1406" s="6"/>
      <c r="H1406" s="6">
        <v>42018.754756944443</v>
      </c>
    </row>
    <row r="1407" spans="4:8" x14ac:dyDescent="0.2">
      <c r="D1407" s="6"/>
      <c r="H1407" s="6">
        <v>42018.754756944443</v>
      </c>
    </row>
    <row r="1408" spans="4:8" x14ac:dyDescent="0.2">
      <c r="D1408" s="6"/>
      <c r="H1408" s="6">
        <v>42018.754756944443</v>
      </c>
    </row>
    <row r="1409" spans="4:8" x14ac:dyDescent="0.2">
      <c r="D1409" s="6"/>
      <c r="H1409" s="6">
        <v>42208.461145833331</v>
      </c>
    </row>
    <row r="1410" spans="4:8" x14ac:dyDescent="0.2">
      <c r="D1410" s="6"/>
      <c r="H1410" s="6">
        <v>42209.622511574074</v>
      </c>
    </row>
    <row r="1411" spans="4:8" x14ac:dyDescent="0.2">
      <c r="D1411" s="6"/>
      <c r="H1411" s="6">
        <v>42180.72457175926</v>
      </c>
    </row>
    <row r="1412" spans="4:8" x14ac:dyDescent="0.2">
      <c r="D1412" s="6"/>
      <c r="H1412" s="6">
        <v>42018.75476851852</v>
      </c>
    </row>
    <row r="1413" spans="4:8" x14ac:dyDescent="0.2">
      <c r="D1413" s="6"/>
      <c r="H1413" s="6">
        <v>42018.75476851852</v>
      </c>
    </row>
    <row r="1414" spans="4:8" x14ac:dyDescent="0.2">
      <c r="D1414" s="6"/>
      <c r="H1414" s="6">
        <v>42018.75476851852</v>
      </c>
    </row>
    <row r="1415" spans="4:8" x14ac:dyDescent="0.2">
      <c r="D1415" s="6"/>
      <c r="H1415" s="6">
        <v>42018.75476851852</v>
      </c>
    </row>
    <row r="1416" spans="4:8" x14ac:dyDescent="0.2">
      <c r="D1416" s="6"/>
      <c r="H1416" s="6">
        <v>42018.75476851852</v>
      </c>
    </row>
    <row r="1417" spans="4:8" x14ac:dyDescent="0.2">
      <c r="D1417" s="6"/>
      <c r="H1417" s="6">
        <v>42179.622557870367</v>
      </c>
    </row>
    <row r="1418" spans="4:8" x14ac:dyDescent="0.2">
      <c r="D1418" s="6"/>
      <c r="H1418" s="6">
        <v>42179.633657407408</v>
      </c>
    </row>
    <row r="1419" spans="4:8" x14ac:dyDescent="0.2">
      <c r="D1419" s="6"/>
      <c r="H1419" s="6">
        <v>42188.44394675926</v>
      </c>
    </row>
    <row r="1420" spans="4:8" x14ac:dyDescent="0.2">
      <c r="D1420" s="6"/>
      <c r="H1420" s="6">
        <v>42018.75476851852</v>
      </c>
    </row>
    <row r="1421" spans="4:8" x14ac:dyDescent="0.2">
      <c r="D1421" s="6"/>
      <c r="H1421" s="6">
        <v>42018.75476851852</v>
      </c>
    </row>
    <row r="1422" spans="4:8" x14ac:dyDescent="0.2">
      <c r="D1422" s="6"/>
      <c r="H1422" s="6">
        <v>42179.621747685182</v>
      </c>
    </row>
    <row r="1423" spans="4:8" x14ac:dyDescent="0.2">
      <c r="D1423" s="6"/>
      <c r="H1423" s="6">
        <v>42018.75476851852</v>
      </c>
    </row>
    <row r="1424" spans="4:8" x14ac:dyDescent="0.2">
      <c r="D1424" s="6"/>
      <c r="H1424" s="6">
        <v>42068.505520833336</v>
      </c>
    </row>
    <row r="1425" spans="4:8" x14ac:dyDescent="0.2">
      <c r="D1425" s="6"/>
      <c r="H1425" s="6">
        <v>42089.447604166664</v>
      </c>
    </row>
    <row r="1426" spans="4:8" x14ac:dyDescent="0.2">
      <c r="D1426" s="6"/>
      <c r="H1426" s="6">
        <v>42068.522696759261</v>
      </c>
    </row>
    <row r="1427" spans="4:8" x14ac:dyDescent="0.2">
      <c r="D1427" s="6"/>
      <c r="H1427" s="6">
        <v>42018.757071759261</v>
      </c>
    </row>
    <row r="1428" spans="4:8" x14ac:dyDescent="0.2">
      <c r="D1428" s="6"/>
      <c r="H1428" s="6">
        <v>42248.451770833337</v>
      </c>
    </row>
    <row r="1429" spans="4:8" x14ac:dyDescent="0.2">
      <c r="D1429" s="6"/>
      <c r="H1429" s="6">
        <v>42250.443518518521</v>
      </c>
    </row>
    <row r="1430" spans="4:8" x14ac:dyDescent="0.2">
      <c r="D1430" s="6"/>
      <c r="H1430" s="6">
        <v>42018.757071759261</v>
      </c>
    </row>
    <row r="1431" spans="4:8" x14ac:dyDescent="0.2">
      <c r="D1431" s="6"/>
      <c r="H1431" s="6">
        <v>42018.757071759261</v>
      </c>
    </row>
    <row r="1432" spans="4:8" x14ac:dyDescent="0.2">
      <c r="D1432" s="6"/>
      <c r="H1432" s="6">
        <v>42018.757071759261</v>
      </c>
    </row>
    <row r="1433" spans="4:8" x14ac:dyDescent="0.2">
      <c r="D1433" s="6"/>
      <c r="H1433" s="6">
        <v>42018.757071759261</v>
      </c>
    </row>
    <row r="1434" spans="4:8" x14ac:dyDescent="0.2">
      <c r="D1434" s="6"/>
      <c r="H1434" s="6">
        <v>42018.757071759261</v>
      </c>
    </row>
    <row r="1435" spans="4:8" x14ac:dyDescent="0.2">
      <c r="D1435" s="6"/>
      <c r="H1435" s="6">
        <v>42123.423518518517</v>
      </c>
    </row>
    <row r="1436" spans="4:8" x14ac:dyDescent="0.2">
      <c r="D1436" s="6"/>
      <c r="H1436" s="6">
        <v>42025.467870370368</v>
      </c>
    </row>
    <row r="1437" spans="4:8" x14ac:dyDescent="0.2">
      <c r="D1437" s="6"/>
      <c r="H1437" s="6">
        <v>42025.467870370368</v>
      </c>
    </row>
    <row r="1438" spans="4:8" x14ac:dyDescent="0.2">
      <c r="D1438" s="6"/>
      <c r="H1438" s="6">
        <v>42025.467870370368</v>
      </c>
    </row>
    <row r="1439" spans="4:8" x14ac:dyDescent="0.2">
      <c r="D1439" s="6"/>
      <c r="H1439" s="6">
        <v>42025.467870370368</v>
      </c>
    </row>
    <row r="1440" spans="4:8" x14ac:dyDescent="0.2">
      <c r="D1440" s="6"/>
      <c r="H1440" s="6">
        <v>42025.467870370368</v>
      </c>
    </row>
    <row r="1441" spans="4:8" x14ac:dyDescent="0.2">
      <c r="D1441" s="6"/>
      <c r="H1441" s="6">
        <v>42025.467881944445</v>
      </c>
    </row>
    <row r="1442" spans="4:8" x14ac:dyDescent="0.2">
      <c r="D1442" s="6"/>
      <c r="H1442" s="6">
        <v>42025.467881944445</v>
      </c>
    </row>
    <row r="1443" spans="4:8" x14ac:dyDescent="0.2">
      <c r="D1443" s="6"/>
      <c r="H1443" s="6">
        <v>42025.467881944445</v>
      </c>
    </row>
    <row r="1444" spans="4:8" x14ac:dyDescent="0.2">
      <c r="D1444" s="6"/>
      <c r="H1444" s="6">
        <v>42025.467881944445</v>
      </c>
    </row>
    <row r="1445" spans="4:8" x14ac:dyDescent="0.2">
      <c r="D1445" s="6"/>
      <c r="H1445" s="6">
        <v>42025.467881944445</v>
      </c>
    </row>
    <row r="1446" spans="4:8" x14ac:dyDescent="0.2">
      <c r="D1446" s="6"/>
      <c r="H1446" s="6">
        <v>42025.467881944445</v>
      </c>
    </row>
    <row r="1447" spans="4:8" x14ac:dyDescent="0.2">
      <c r="D1447" s="6"/>
      <c r="H1447" s="6">
        <v>42285.597083333334</v>
      </c>
    </row>
    <row r="1448" spans="4:8" x14ac:dyDescent="0.2">
      <c r="D1448" s="6"/>
      <c r="H1448" s="6">
        <v>42289.594097222223</v>
      </c>
    </row>
    <row r="1449" spans="4:8" x14ac:dyDescent="0.2">
      <c r="D1449" s="6"/>
      <c r="H1449" s="6">
        <v>42290.455648148149</v>
      </c>
    </row>
    <row r="1450" spans="4:8" x14ac:dyDescent="0.2">
      <c r="D1450" s="6"/>
      <c r="H1450" s="6">
        <v>42025.467881944445</v>
      </c>
    </row>
    <row r="1451" spans="4:8" x14ac:dyDescent="0.2">
      <c r="D1451" s="6"/>
      <c r="H1451" s="6">
        <v>42025.467881944445</v>
      </c>
    </row>
    <row r="1452" spans="4:8" x14ac:dyDescent="0.2">
      <c r="D1452" s="6"/>
      <c r="H1452" s="6">
        <v>42025.467881944445</v>
      </c>
    </row>
    <row r="1453" spans="4:8" x14ac:dyDescent="0.2">
      <c r="D1453" s="6"/>
      <c r="H1453" s="6">
        <v>42025.467893518522</v>
      </c>
    </row>
    <row r="1454" spans="4:8" x14ac:dyDescent="0.2">
      <c r="D1454" s="6"/>
      <c r="H1454" s="6">
        <v>42025.467893518522</v>
      </c>
    </row>
    <row r="1455" spans="4:8" x14ac:dyDescent="0.2">
      <c r="D1455" s="6"/>
      <c r="H1455" s="6">
        <v>42025.467893518522</v>
      </c>
    </row>
    <row r="1456" spans="4:8" x14ac:dyDescent="0.2">
      <c r="D1456" s="6"/>
      <c r="H1456" s="6">
        <v>42025.467893518522</v>
      </c>
    </row>
    <row r="1457" spans="4:8" x14ac:dyDescent="0.2">
      <c r="D1457" s="6"/>
      <c r="H1457" s="6">
        <v>42025.467893518522</v>
      </c>
    </row>
    <row r="1458" spans="4:8" x14ac:dyDescent="0.2">
      <c r="D1458" s="6"/>
      <c r="H1458" s="6">
        <v>42297.397858796299</v>
      </c>
    </row>
    <row r="1459" spans="4:8" x14ac:dyDescent="0.2">
      <c r="D1459" s="6"/>
      <c r="H1459" s="6">
        <v>42297.397858796299</v>
      </c>
    </row>
    <row r="1460" spans="4:8" x14ac:dyDescent="0.2">
      <c r="D1460" s="6"/>
      <c r="H1460" s="6">
        <v>42297.397858796299</v>
      </c>
    </row>
    <row r="1461" spans="4:8" x14ac:dyDescent="0.2">
      <c r="D1461" s="6"/>
      <c r="H1461" s="6">
        <v>42025.467893518522</v>
      </c>
    </row>
    <row r="1462" spans="4:8" x14ac:dyDescent="0.2">
      <c r="D1462" s="6"/>
      <c r="H1462" s="6">
        <v>42025.467893518522</v>
      </c>
    </row>
    <row r="1463" spans="4:8" x14ac:dyDescent="0.2">
      <c r="D1463" s="6"/>
      <c r="H1463" s="6">
        <v>42025.467893518522</v>
      </c>
    </row>
    <row r="1464" spans="4:8" x14ac:dyDescent="0.2">
      <c r="D1464" s="6"/>
      <c r="H1464" s="6">
        <v>42025.467893518522</v>
      </c>
    </row>
    <row r="1465" spans="4:8" x14ac:dyDescent="0.2">
      <c r="D1465" s="6"/>
      <c r="H1465" s="6">
        <v>42025.467893518522</v>
      </c>
    </row>
    <row r="1466" spans="4:8" x14ac:dyDescent="0.2">
      <c r="D1466" s="6"/>
      <c r="H1466" s="6">
        <v>42025.467893518522</v>
      </c>
    </row>
    <row r="1467" spans="4:8" x14ac:dyDescent="0.2">
      <c r="D1467" s="6"/>
      <c r="H1467" s="6">
        <v>42025.468148148146</v>
      </c>
    </row>
    <row r="1468" spans="4:8" x14ac:dyDescent="0.2">
      <c r="D1468" s="6"/>
      <c r="H1468" s="6">
        <v>42024.538553240738</v>
      </c>
    </row>
    <row r="1469" spans="4:8" x14ac:dyDescent="0.2">
      <c r="D1469" s="6"/>
      <c r="H1469" s="6">
        <v>42025.468148148146</v>
      </c>
    </row>
    <row r="1470" spans="4:8" x14ac:dyDescent="0.2">
      <c r="D1470" s="6"/>
      <c r="H1470" s="6">
        <v>42025.468148148146</v>
      </c>
    </row>
    <row r="1471" spans="4:8" x14ac:dyDescent="0.2">
      <c r="D1471" s="6"/>
      <c r="H1471" s="6">
        <v>42025.468148148146</v>
      </c>
    </row>
    <row r="1472" spans="4:8" x14ac:dyDescent="0.2">
      <c r="D1472" s="6"/>
      <c r="H1472" s="6">
        <v>42025.468148148146</v>
      </c>
    </row>
    <row r="1473" spans="4:8" x14ac:dyDescent="0.2">
      <c r="D1473" s="6"/>
      <c r="H1473" s="6">
        <v>42025.468148148146</v>
      </c>
    </row>
    <row r="1474" spans="4:8" x14ac:dyDescent="0.2">
      <c r="D1474" s="6"/>
      <c r="H1474" s="6">
        <v>42025.468148148146</v>
      </c>
    </row>
    <row r="1475" spans="4:8" x14ac:dyDescent="0.2">
      <c r="D1475" s="6"/>
      <c r="H1475" s="6">
        <v>42025.468148148146</v>
      </c>
    </row>
    <row r="1476" spans="4:8" x14ac:dyDescent="0.2">
      <c r="D1476" s="6"/>
      <c r="H1476" s="6">
        <v>42025.468148148146</v>
      </c>
    </row>
    <row r="1477" spans="4:8" x14ac:dyDescent="0.2">
      <c r="D1477" s="6"/>
      <c r="H1477" s="6">
        <v>42025.468159722222</v>
      </c>
    </row>
    <row r="1478" spans="4:8" x14ac:dyDescent="0.2">
      <c r="D1478" s="6"/>
      <c r="H1478" s="6">
        <v>42025.468159722222</v>
      </c>
    </row>
    <row r="1479" spans="4:8" x14ac:dyDescent="0.2">
      <c r="D1479" s="6"/>
      <c r="H1479" s="6">
        <v>42025.468159722222</v>
      </c>
    </row>
    <row r="1480" spans="4:8" x14ac:dyDescent="0.2">
      <c r="D1480" s="6"/>
      <c r="H1480" s="6">
        <v>42025.468159722222</v>
      </c>
    </row>
    <row r="1481" spans="4:8" x14ac:dyDescent="0.2">
      <c r="D1481" s="6"/>
      <c r="H1481" s="6">
        <v>42025.468159722222</v>
      </c>
    </row>
    <row r="1482" spans="4:8" x14ac:dyDescent="0.2">
      <c r="D1482" s="6"/>
      <c r="H1482" s="6">
        <v>42025.468171296299</v>
      </c>
    </row>
    <row r="1483" spans="4:8" x14ac:dyDescent="0.2">
      <c r="D1483" s="6"/>
      <c r="H1483" s="6">
        <v>42025.468171296299</v>
      </c>
    </row>
    <row r="1484" spans="4:8" x14ac:dyDescent="0.2">
      <c r="D1484" s="6"/>
      <c r="H1484" s="6">
        <v>42025.468171296299</v>
      </c>
    </row>
    <row r="1485" spans="4:8" x14ac:dyDescent="0.2">
      <c r="D1485" s="6"/>
      <c r="H1485" s="6">
        <v>42025.468171296299</v>
      </c>
    </row>
    <row r="1486" spans="4:8" x14ac:dyDescent="0.2">
      <c r="D1486" s="6"/>
      <c r="H1486" s="6">
        <v>42025.468171296299</v>
      </c>
    </row>
    <row r="1487" spans="4:8" x14ac:dyDescent="0.2">
      <c r="D1487" s="6"/>
      <c r="H1487" s="6">
        <v>42025.468171296299</v>
      </c>
    </row>
    <row r="1488" spans="4:8" x14ac:dyDescent="0.2">
      <c r="D1488" s="6"/>
      <c r="H1488" s="6">
        <v>42076.536863425928</v>
      </c>
    </row>
    <row r="1489" spans="4:8" x14ac:dyDescent="0.2">
      <c r="D1489" s="6"/>
      <c r="H1489" s="6">
        <v>42076.551666666666</v>
      </c>
    </row>
    <row r="1490" spans="4:8" x14ac:dyDescent="0.2">
      <c r="D1490" s="6"/>
      <c r="H1490" s="6">
        <v>42081.524768518517</v>
      </c>
    </row>
    <row r="1491" spans="4:8" x14ac:dyDescent="0.2">
      <c r="D1491" s="6"/>
      <c r="H1491" s="6">
        <v>42081.52484953704</v>
      </c>
    </row>
    <row r="1492" spans="4:8" x14ac:dyDescent="0.2">
      <c r="D1492" s="6"/>
      <c r="H1492" s="6">
        <v>42025.468182870369</v>
      </c>
    </row>
    <row r="1493" spans="4:8" x14ac:dyDescent="0.2">
      <c r="D1493" s="6"/>
      <c r="H1493" s="6">
        <v>42025.468182870369</v>
      </c>
    </row>
    <row r="1494" spans="4:8" x14ac:dyDescent="0.2">
      <c r="D1494" s="6"/>
      <c r="H1494" s="6">
        <v>42025.468182870369</v>
      </c>
    </row>
    <row r="1495" spans="4:8" x14ac:dyDescent="0.2">
      <c r="D1495" s="6"/>
      <c r="H1495" s="6">
        <v>42025.468182870369</v>
      </c>
    </row>
    <row r="1496" spans="4:8" x14ac:dyDescent="0.2">
      <c r="D1496" s="6"/>
      <c r="H1496" s="6">
        <v>42025.468182870369</v>
      </c>
    </row>
    <row r="1497" spans="4:8" x14ac:dyDescent="0.2">
      <c r="D1497" s="6"/>
      <c r="H1497" s="6">
        <v>42025.468182870369</v>
      </c>
    </row>
    <row r="1498" spans="4:8" x14ac:dyDescent="0.2">
      <c r="D1498" s="6"/>
      <c r="H1498" s="6">
        <v>42123.421203703707</v>
      </c>
    </row>
    <row r="1499" spans="4:8" x14ac:dyDescent="0.2">
      <c r="D1499" s="6"/>
      <c r="H1499" s="6">
        <v>42018.754826388889</v>
      </c>
    </row>
    <row r="1500" spans="4:8" x14ac:dyDescent="0.2">
      <c r="D1500" s="6"/>
      <c r="H1500" s="6">
        <v>42018.754826388889</v>
      </c>
    </row>
    <row r="1501" spans="4:8" x14ac:dyDescent="0.2">
      <c r="D1501" s="6"/>
      <c r="H1501" s="6">
        <v>42018.754826388889</v>
      </c>
    </row>
    <row r="1502" spans="4:8" x14ac:dyDescent="0.2">
      <c r="D1502" s="6"/>
      <c r="H1502" s="6">
        <v>42018.754826388889</v>
      </c>
    </row>
    <row r="1503" spans="4:8" x14ac:dyDescent="0.2">
      <c r="D1503" s="6"/>
      <c r="H1503" s="6">
        <v>42018.754826388889</v>
      </c>
    </row>
    <row r="1504" spans="4:8" x14ac:dyDescent="0.2">
      <c r="D1504" s="6"/>
      <c r="H1504" s="6">
        <v>42018.754826388889</v>
      </c>
    </row>
    <row r="1505" spans="4:8" x14ac:dyDescent="0.2">
      <c r="D1505" s="6"/>
      <c r="H1505" s="6">
        <v>42018.754826388889</v>
      </c>
    </row>
    <row r="1506" spans="4:8" x14ac:dyDescent="0.2">
      <c r="D1506" s="6"/>
      <c r="H1506" s="6">
        <v>42018.754826388889</v>
      </c>
    </row>
    <row r="1507" spans="4:8" x14ac:dyDescent="0.2">
      <c r="D1507" s="6"/>
      <c r="H1507" s="6">
        <v>42018.754826388889</v>
      </c>
    </row>
    <row r="1508" spans="4:8" x14ac:dyDescent="0.2">
      <c r="D1508" s="6"/>
      <c r="H1508" s="6">
        <v>42018.754826388889</v>
      </c>
    </row>
    <row r="1509" spans="4:8" x14ac:dyDescent="0.2">
      <c r="D1509" s="6"/>
      <c r="H1509" s="6">
        <v>42018.754826388889</v>
      </c>
    </row>
    <row r="1510" spans="4:8" x14ac:dyDescent="0.2">
      <c r="D1510" s="6"/>
      <c r="H1510" s="6">
        <v>42018.754826388889</v>
      </c>
    </row>
    <row r="1511" spans="4:8" x14ac:dyDescent="0.2">
      <c r="D1511" s="6"/>
      <c r="H1511" s="6">
        <v>42018.754826388889</v>
      </c>
    </row>
    <row r="1512" spans="4:8" x14ac:dyDescent="0.2">
      <c r="D1512" s="6"/>
      <c r="H1512" s="6">
        <v>42018.754837962966</v>
      </c>
    </row>
    <row r="1513" spans="4:8" x14ac:dyDescent="0.2">
      <c r="D1513" s="6"/>
      <c r="H1513" s="6">
        <v>42018.754837962966</v>
      </c>
    </row>
    <row r="1514" spans="4:8" x14ac:dyDescent="0.2">
      <c r="D1514" s="6"/>
      <c r="H1514" s="6">
        <v>42018.754837962966</v>
      </c>
    </row>
    <row r="1515" spans="4:8" x14ac:dyDescent="0.2">
      <c r="D1515" s="6"/>
      <c r="H1515" s="6">
        <v>42018.754837962966</v>
      </c>
    </row>
    <row r="1516" spans="4:8" x14ac:dyDescent="0.2">
      <c r="D1516" s="6"/>
      <c r="H1516" s="6">
        <v>42018.754837962966</v>
      </c>
    </row>
    <row r="1517" spans="4:8" x14ac:dyDescent="0.2">
      <c r="D1517" s="6"/>
      <c r="H1517" s="6">
        <v>42018.754837962966</v>
      </c>
    </row>
    <row r="1518" spans="4:8" x14ac:dyDescent="0.2">
      <c r="D1518" s="6"/>
      <c r="H1518" s="6">
        <v>42018.75712962963</v>
      </c>
    </row>
    <row r="1519" spans="4:8" x14ac:dyDescent="0.2">
      <c r="D1519" s="6"/>
      <c r="H1519" s="6">
        <v>42018.75712962963</v>
      </c>
    </row>
    <row r="1520" spans="4:8" x14ac:dyDescent="0.2">
      <c r="D1520" s="6"/>
      <c r="H1520" s="6">
        <v>42018.75712962963</v>
      </c>
    </row>
    <row r="1521" spans="4:8" x14ac:dyDescent="0.2">
      <c r="D1521" s="6"/>
      <c r="H1521" s="6">
        <v>42018.75712962963</v>
      </c>
    </row>
    <row r="1522" spans="4:8" x14ac:dyDescent="0.2">
      <c r="D1522" s="6"/>
      <c r="H1522" s="6">
        <v>42018.75712962963</v>
      </c>
    </row>
    <row r="1523" spans="4:8" x14ac:dyDescent="0.2">
      <c r="D1523" s="6"/>
      <c r="H1523" s="6">
        <v>42018.75712962963</v>
      </c>
    </row>
    <row r="1524" spans="4:8" x14ac:dyDescent="0.2">
      <c r="D1524" s="6"/>
      <c r="H1524" s="6">
        <v>42123.425208333334</v>
      </c>
    </row>
    <row r="1525" spans="4:8" x14ac:dyDescent="0.2">
      <c r="D1525" s="6"/>
      <c r="H1525" s="6">
        <v>42018.754907407405</v>
      </c>
    </row>
    <row r="1526" spans="4:8" x14ac:dyDescent="0.2">
      <c r="D1526" s="6"/>
      <c r="H1526" s="6">
        <v>42018.754907407405</v>
      </c>
    </row>
    <row r="1527" spans="4:8" x14ac:dyDescent="0.2">
      <c r="D1527" s="6"/>
      <c r="H1527" s="6">
        <v>42018.754907407405</v>
      </c>
    </row>
    <row r="1528" spans="4:8" x14ac:dyDescent="0.2">
      <c r="D1528" s="6"/>
      <c r="H1528" s="6">
        <v>42018.754907407405</v>
      </c>
    </row>
    <row r="1529" spans="4:8" x14ac:dyDescent="0.2">
      <c r="D1529" s="6"/>
      <c r="H1529" s="6">
        <v>42018.754907407405</v>
      </c>
    </row>
    <row r="1530" spans="4:8" x14ac:dyDescent="0.2">
      <c r="D1530" s="6"/>
      <c r="H1530" s="6">
        <v>42018.754907407405</v>
      </c>
    </row>
    <row r="1531" spans="4:8" x14ac:dyDescent="0.2">
      <c r="D1531" s="6"/>
      <c r="H1531" s="6">
        <v>42018.754907407405</v>
      </c>
    </row>
    <row r="1532" spans="4:8" x14ac:dyDescent="0.2">
      <c r="D1532" s="6"/>
      <c r="H1532" s="6">
        <v>42018.754907407405</v>
      </c>
    </row>
    <row r="1533" spans="4:8" x14ac:dyDescent="0.2">
      <c r="D1533" s="6"/>
      <c r="H1533" s="6">
        <v>42018.754907407405</v>
      </c>
    </row>
    <row r="1534" spans="4:8" x14ac:dyDescent="0.2">
      <c r="D1534" s="6"/>
      <c r="H1534" s="6">
        <v>42018.754907407405</v>
      </c>
    </row>
    <row r="1535" spans="4:8" x14ac:dyDescent="0.2">
      <c r="D1535" s="6"/>
      <c r="H1535" s="6">
        <v>42024.774282407408</v>
      </c>
    </row>
    <row r="1536" spans="4:8" x14ac:dyDescent="0.2">
      <c r="D1536" s="6"/>
      <c r="H1536" s="6">
        <v>42018.754907407405</v>
      </c>
    </row>
    <row r="1537" spans="4:8" x14ac:dyDescent="0.2">
      <c r="D1537" s="6"/>
      <c r="H1537" s="6">
        <v>42018.754907407405</v>
      </c>
    </row>
    <row r="1538" spans="4:8" x14ac:dyDescent="0.2">
      <c r="D1538" s="6"/>
      <c r="H1538" s="6">
        <v>42018.754907407405</v>
      </c>
    </row>
    <row r="1539" spans="4:8" x14ac:dyDescent="0.2">
      <c r="D1539" s="6"/>
      <c r="H1539" s="6">
        <v>42018.754918981482</v>
      </c>
    </row>
    <row r="1540" spans="4:8" x14ac:dyDescent="0.2">
      <c r="D1540" s="6"/>
      <c r="H1540" s="6">
        <v>42018.754918981482</v>
      </c>
    </row>
    <row r="1541" spans="4:8" x14ac:dyDescent="0.2">
      <c r="D1541" s="6"/>
      <c r="H1541" s="6">
        <v>42018.754918981482</v>
      </c>
    </row>
    <row r="1542" spans="4:8" x14ac:dyDescent="0.2">
      <c r="D1542" s="6"/>
      <c r="H1542" s="6">
        <v>42179.629374999997</v>
      </c>
    </row>
    <row r="1543" spans="4:8" x14ac:dyDescent="0.2">
      <c r="D1543" s="6"/>
      <c r="H1543" s="6">
        <v>42018.754918981482</v>
      </c>
    </row>
    <row r="1544" spans="4:8" x14ac:dyDescent="0.2">
      <c r="D1544" s="6"/>
      <c r="H1544" s="6">
        <v>42018.754918981482</v>
      </c>
    </row>
    <row r="1545" spans="4:8" x14ac:dyDescent="0.2">
      <c r="D1545" s="6"/>
      <c r="H1545" s="6">
        <v>42018.754918981482</v>
      </c>
    </row>
    <row r="1546" spans="4:8" x14ac:dyDescent="0.2">
      <c r="D1546" s="6"/>
      <c r="H1546" s="6">
        <v>42039.770578703705</v>
      </c>
    </row>
    <row r="1547" spans="4:8" x14ac:dyDescent="0.2">
      <c r="D1547" s="6"/>
      <c r="H1547" s="6">
        <v>42044.560844907406</v>
      </c>
    </row>
    <row r="1548" spans="4:8" x14ac:dyDescent="0.2">
      <c r="D1548" s="6"/>
      <c r="H1548" s="6">
        <v>42040.622696759259</v>
      </c>
    </row>
    <row r="1549" spans="4:8" x14ac:dyDescent="0.2">
      <c r="D1549" s="6"/>
      <c r="H1549" s="6">
        <v>42025.687534722223</v>
      </c>
    </row>
    <row r="1550" spans="4:8" x14ac:dyDescent="0.2">
      <c r="D1550" s="6"/>
      <c r="H1550" s="6">
        <v>42018.757187499999</v>
      </c>
    </row>
    <row r="1551" spans="4:8" x14ac:dyDescent="0.2">
      <c r="D1551" s="6"/>
      <c r="H1551" s="6">
        <v>42018.757187499999</v>
      </c>
    </row>
    <row r="1552" spans="4:8" x14ac:dyDescent="0.2">
      <c r="D1552" s="6"/>
      <c r="H1552" s="6">
        <v>42018.757187499999</v>
      </c>
    </row>
    <row r="1553" spans="4:8" x14ac:dyDescent="0.2">
      <c r="D1553" s="6"/>
      <c r="H1553" s="6">
        <v>42018.757187499999</v>
      </c>
    </row>
    <row r="1554" spans="4:8" x14ac:dyDescent="0.2">
      <c r="D1554" s="6"/>
      <c r="H1554" s="6">
        <v>42018.757187499999</v>
      </c>
    </row>
    <row r="1555" spans="4:8" x14ac:dyDescent="0.2">
      <c r="D1555" s="6"/>
      <c r="H1555" s="6">
        <v>42018.757187499999</v>
      </c>
    </row>
    <row r="1556" spans="4:8" x14ac:dyDescent="0.2">
      <c r="D1556" s="6"/>
      <c r="H1556" s="6">
        <v>42018.754965277774</v>
      </c>
    </row>
    <row r="1557" spans="4:8" x14ac:dyDescent="0.2">
      <c r="D1557" s="6"/>
      <c r="H1557" s="6">
        <v>42076.6406712963</v>
      </c>
    </row>
    <row r="1558" spans="4:8" x14ac:dyDescent="0.2">
      <c r="D1558" s="6"/>
      <c r="H1558" s="6">
        <v>42076.641979166663</v>
      </c>
    </row>
    <row r="1559" spans="4:8" x14ac:dyDescent="0.2">
      <c r="D1559" s="6"/>
      <c r="H1559" s="6">
        <v>42018.754965277774</v>
      </c>
    </row>
    <row r="1560" spans="4:8" x14ac:dyDescent="0.2">
      <c r="D1560" s="6"/>
      <c r="H1560" s="6">
        <v>42018.754965277774</v>
      </c>
    </row>
    <row r="1561" spans="4:8" x14ac:dyDescent="0.2">
      <c r="D1561" s="6"/>
      <c r="H1561" s="6">
        <v>42018.754965277774</v>
      </c>
    </row>
    <row r="1562" spans="4:8" x14ac:dyDescent="0.2">
      <c r="D1562" s="6"/>
      <c r="H1562" s="6">
        <v>42018.754965277774</v>
      </c>
    </row>
    <row r="1563" spans="4:8" x14ac:dyDescent="0.2">
      <c r="D1563" s="6"/>
      <c r="H1563" s="6">
        <v>42018.754965277774</v>
      </c>
    </row>
    <row r="1564" spans="4:8" x14ac:dyDescent="0.2">
      <c r="D1564" s="6"/>
      <c r="H1564" s="6">
        <v>42018.754965277774</v>
      </c>
    </row>
    <row r="1565" spans="4:8" x14ac:dyDescent="0.2">
      <c r="D1565" s="6"/>
      <c r="H1565" s="6">
        <v>42018.754965277774</v>
      </c>
    </row>
    <row r="1566" spans="4:8" x14ac:dyDescent="0.2">
      <c r="D1566" s="6"/>
      <c r="H1566" s="6">
        <v>42018.754965277774</v>
      </c>
    </row>
    <row r="1567" spans="4:8" x14ac:dyDescent="0.2">
      <c r="D1567" s="6"/>
      <c r="H1567" s="6">
        <v>42018.754965277774</v>
      </c>
    </row>
    <row r="1568" spans="4:8" x14ac:dyDescent="0.2">
      <c r="D1568" s="6"/>
      <c r="H1568" s="6">
        <v>42018.754965277774</v>
      </c>
    </row>
    <row r="1569" spans="4:8" x14ac:dyDescent="0.2">
      <c r="D1569" s="6"/>
      <c r="H1569" s="6">
        <v>42018.754965277774</v>
      </c>
    </row>
    <row r="1570" spans="4:8" x14ac:dyDescent="0.2">
      <c r="D1570" s="6"/>
      <c r="H1570" s="6">
        <v>42018.754976851851</v>
      </c>
    </row>
    <row r="1571" spans="4:8" x14ac:dyDescent="0.2">
      <c r="D1571" s="6"/>
      <c r="H1571" s="6">
        <v>42018.754976851851</v>
      </c>
    </row>
    <row r="1572" spans="4:8" x14ac:dyDescent="0.2">
      <c r="D1572" s="6"/>
      <c r="H1572" s="6">
        <v>42018.754976851851</v>
      </c>
    </row>
    <row r="1573" spans="4:8" x14ac:dyDescent="0.2">
      <c r="D1573" s="6"/>
      <c r="H1573" s="6">
        <v>42018.754976851851</v>
      </c>
    </row>
    <row r="1574" spans="4:8" x14ac:dyDescent="0.2">
      <c r="D1574" s="6"/>
      <c r="H1574" s="6">
        <v>42018.754976851851</v>
      </c>
    </row>
    <row r="1575" spans="4:8" x14ac:dyDescent="0.2">
      <c r="D1575" s="6"/>
      <c r="H1575" s="6">
        <v>42018.754976851851</v>
      </c>
    </row>
    <row r="1576" spans="4:8" x14ac:dyDescent="0.2">
      <c r="D1576" s="6"/>
      <c r="H1576" s="6">
        <v>42018.754976851851</v>
      </c>
    </row>
    <row r="1577" spans="4:8" x14ac:dyDescent="0.2">
      <c r="D1577" s="6"/>
      <c r="H1577" s="6">
        <v>42018.754976851851</v>
      </c>
    </row>
    <row r="1578" spans="4:8" x14ac:dyDescent="0.2">
      <c r="D1578" s="6"/>
      <c r="H1578" s="6">
        <v>42075.833449074074</v>
      </c>
    </row>
    <row r="1579" spans="4:8" x14ac:dyDescent="0.2">
      <c r="D1579" s="6"/>
      <c r="H1579" s="6">
        <v>42018.757245370369</v>
      </c>
    </row>
    <row r="1580" spans="4:8" x14ac:dyDescent="0.2">
      <c r="D1580" s="6"/>
      <c r="H1580" s="6">
        <v>42250.45045138889</v>
      </c>
    </row>
    <row r="1581" spans="4:8" x14ac:dyDescent="0.2">
      <c r="D1581" s="6"/>
      <c r="H1581" s="6">
        <v>42250.45034722222</v>
      </c>
    </row>
    <row r="1582" spans="4:8" x14ac:dyDescent="0.2">
      <c r="D1582" s="6"/>
      <c r="H1582" s="6">
        <v>42018.757245370369</v>
      </c>
    </row>
    <row r="1583" spans="4:8" x14ac:dyDescent="0.2">
      <c r="D1583" s="6"/>
      <c r="H1583" s="6">
        <v>42018.757245370369</v>
      </c>
    </row>
    <row r="1584" spans="4:8" x14ac:dyDescent="0.2">
      <c r="D1584" s="6"/>
      <c r="H1584" s="6">
        <v>42018.757245370369</v>
      </c>
    </row>
    <row r="1585" spans="4:8" x14ac:dyDescent="0.2">
      <c r="D1585" s="6"/>
      <c r="H1585" s="6">
        <v>42018.757245370369</v>
      </c>
    </row>
    <row r="1586" spans="4:8" x14ac:dyDescent="0.2">
      <c r="D1586" s="6"/>
      <c r="H1586" s="6">
        <v>42018.757245370369</v>
      </c>
    </row>
    <row r="1587" spans="4:8" x14ac:dyDescent="0.2">
      <c r="D1587" s="6"/>
      <c r="H1587" s="6">
        <v>42025.468564814815</v>
      </c>
    </row>
    <row r="1588" spans="4:8" x14ac:dyDescent="0.2">
      <c r="D1588" s="6"/>
      <c r="H1588" s="6">
        <v>42025.468576388892</v>
      </c>
    </row>
    <row r="1589" spans="4:8" x14ac:dyDescent="0.2">
      <c r="D1589" s="6"/>
      <c r="H1589" s="6">
        <v>42025.468576388892</v>
      </c>
    </row>
    <row r="1590" spans="4:8" x14ac:dyDescent="0.2">
      <c r="D1590" s="6"/>
      <c r="H1590" s="6">
        <v>42025.468576388892</v>
      </c>
    </row>
    <row r="1591" spans="4:8" x14ac:dyDescent="0.2">
      <c r="D1591" s="6"/>
      <c r="H1591" s="6">
        <v>42025.468576388892</v>
      </c>
    </row>
    <row r="1592" spans="4:8" x14ac:dyDescent="0.2">
      <c r="D1592" s="6"/>
      <c r="H1592" s="6">
        <v>42025.468576388892</v>
      </c>
    </row>
    <row r="1593" spans="4:8" x14ac:dyDescent="0.2">
      <c r="D1593" s="6"/>
      <c r="H1593" s="6">
        <v>42025.468576388892</v>
      </c>
    </row>
    <row r="1594" spans="4:8" x14ac:dyDescent="0.2">
      <c r="D1594" s="6"/>
      <c r="H1594" s="6">
        <v>42025.468576388892</v>
      </c>
    </row>
    <row r="1595" spans="4:8" x14ac:dyDescent="0.2">
      <c r="D1595" s="6"/>
      <c r="H1595" s="6">
        <v>42025.468576388892</v>
      </c>
    </row>
    <row r="1596" spans="4:8" x14ac:dyDescent="0.2">
      <c r="D1596" s="6"/>
      <c r="H1596" s="6">
        <v>42025.468576388892</v>
      </c>
    </row>
    <row r="1597" spans="4:8" x14ac:dyDescent="0.2">
      <c r="D1597" s="6"/>
      <c r="H1597" s="6">
        <v>42025.468576388892</v>
      </c>
    </row>
    <row r="1598" spans="4:8" x14ac:dyDescent="0.2">
      <c r="D1598" s="6"/>
      <c r="H1598" s="6">
        <v>42025.468576388892</v>
      </c>
    </row>
    <row r="1599" spans="4:8" x14ac:dyDescent="0.2">
      <c r="D1599" s="6"/>
      <c r="H1599" s="6">
        <v>42025.468576388892</v>
      </c>
    </row>
    <row r="1600" spans="4:8" x14ac:dyDescent="0.2">
      <c r="D1600" s="6"/>
      <c r="H1600" s="6">
        <v>42025.468576388892</v>
      </c>
    </row>
    <row r="1601" spans="4:8" x14ac:dyDescent="0.2">
      <c r="D1601" s="6"/>
      <c r="H1601" s="6">
        <v>42025.468587962961</v>
      </c>
    </row>
    <row r="1602" spans="4:8" x14ac:dyDescent="0.2">
      <c r="D1602" s="6"/>
      <c r="H1602" s="6">
        <v>42025.468587962961</v>
      </c>
    </row>
    <row r="1603" spans="4:8" x14ac:dyDescent="0.2">
      <c r="D1603" s="6"/>
      <c r="H1603" s="6">
        <v>42025.468587962961</v>
      </c>
    </row>
    <row r="1604" spans="4:8" x14ac:dyDescent="0.2">
      <c r="D1604" s="6"/>
      <c r="H1604" s="6">
        <v>42025.468587962961</v>
      </c>
    </row>
    <row r="1605" spans="4:8" x14ac:dyDescent="0.2">
      <c r="D1605" s="6"/>
      <c r="H1605" s="6">
        <v>42025.468587962961</v>
      </c>
    </row>
    <row r="1606" spans="4:8" x14ac:dyDescent="0.2">
      <c r="D1606" s="6"/>
      <c r="H1606" s="6">
        <v>42025.468587962961</v>
      </c>
    </row>
    <row r="1607" spans="4:8" x14ac:dyDescent="0.2">
      <c r="D1607" s="6"/>
      <c r="H1607" s="6">
        <v>42068.633206018516</v>
      </c>
    </row>
    <row r="1608" spans="4:8" x14ac:dyDescent="0.2">
      <c r="D1608" s="6"/>
      <c r="H1608" s="6">
        <v>42025.468599537038</v>
      </c>
    </row>
    <row r="1609" spans="4:8" x14ac:dyDescent="0.2">
      <c r="D1609" s="6"/>
      <c r="H1609" s="6">
        <v>42025.468599537038</v>
      </c>
    </row>
    <row r="1610" spans="4:8" x14ac:dyDescent="0.2">
      <c r="D1610" s="6"/>
      <c r="H1610" s="6">
        <v>42025.468599537038</v>
      </c>
    </row>
    <row r="1611" spans="4:8" x14ac:dyDescent="0.2">
      <c r="D1611" s="6"/>
      <c r="H1611" s="6">
        <v>42025.468599537038</v>
      </c>
    </row>
    <row r="1612" spans="4:8" x14ac:dyDescent="0.2">
      <c r="D1612" s="6"/>
      <c r="H1612" s="6">
        <v>42025.468599537038</v>
      </c>
    </row>
    <row r="1613" spans="4:8" x14ac:dyDescent="0.2">
      <c r="D1613" s="6"/>
      <c r="H1613" s="6">
        <v>42025.468599537038</v>
      </c>
    </row>
    <row r="1614" spans="4:8" x14ac:dyDescent="0.2">
      <c r="D1614" s="6"/>
      <c r="H1614" s="6">
        <v>42025.468877314815</v>
      </c>
    </row>
    <row r="1615" spans="4:8" x14ac:dyDescent="0.2">
      <c r="D1615" s="6"/>
      <c r="H1615" s="6">
        <v>42025.468877314815</v>
      </c>
    </row>
    <row r="1616" spans="4:8" x14ac:dyDescent="0.2">
      <c r="D1616" s="6"/>
      <c r="H1616" s="6">
        <v>42025.468877314815</v>
      </c>
    </row>
    <row r="1617" spans="4:8" x14ac:dyDescent="0.2">
      <c r="D1617" s="6"/>
      <c r="H1617" s="6">
        <v>42025.468888888892</v>
      </c>
    </row>
    <row r="1618" spans="4:8" x14ac:dyDescent="0.2">
      <c r="D1618" s="6"/>
      <c r="H1618" s="6">
        <v>42025.468888888892</v>
      </c>
    </row>
    <row r="1619" spans="4:8" x14ac:dyDescent="0.2">
      <c r="D1619" s="6"/>
      <c r="H1619" s="6">
        <v>42025.468888888892</v>
      </c>
    </row>
    <row r="1620" spans="4:8" x14ac:dyDescent="0.2">
      <c r="D1620" s="6"/>
      <c r="H1620" s="6">
        <v>42025.468888888892</v>
      </c>
    </row>
    <row r="1621" spans="4:8" x14ac:dyDescent="0.2">
      <c r="D1621" s="6"/>
      <c r="H1621" s="6">
        <v>42025.468888888892</v>
      </c>
    </row>
    <row r="1622" spans="4:8" x14ac:dyDescent="0.2">
      <c r="D1622" s="6"/>
      <c r="H1622" s="6">
        <v>42025.468888888892</v>
      </c>
    </row>
    <row r="1623" spans="4:8" x14ac:dyDescent="0.2">
      <c r="D1623" s="6"/>
      <c r="H1623" s="6">
        <v>42025.468888888892</v>
      </c>
    </row>
    <row r="1624" spans="4:8" x14ac:dyDescent="0.2">
      <c r="D1624" s="6"/>
      <c r="H1624" s="6">
        <v>42025.468888888892</v>
      </c>
    </row>
    <row r="1625" spans="4:8" x14ac:dyDescent="0.2">
      <c r="D1625" s="6"/>
      <c r="H1625" s="6">
        <v>42025.468888888892</v>
      </c>
    </row>
    <row r="1626" spans="4:8" x14ac:dyDescent="0.2">
      <c r="D1626" s="6"/>
      <c r="H1626" s="6">
        <v>42025.468888888892</v>
      </c>
    </row>
    <row r="1627" spans="4:8" x14ac:dyDescent="0.2">
      <c r="D1627" s="6"/>
      <c r="H1627" s="6">
        <v>42025.468888888892</v>
      </c>
    </row>
    <row r="1628" spans="4:8" x14ac:dyDescent="0.2">
      <c r="D1628" s="6"/>
      <c r="H1628" s="6">
        <v>42025.468900462962</v>
      </c>
    </row>
    <row r="1629" spans="4:8" x14ac:dyDescent="0.2">
      <c r="D1629" s="6"/>
      <c r="H1629" s="6">
        <v>42025.468900462962</v>
      </c>
    </row>
    <row r="1630" spans="4:8" x14ac:dyDescent="0.2">
      <c r="D1630" s="6"/>
      <c r="H1630" s="6">
        <v>42025.468900462962</v>
      </c>
    </row>
    <row r="1631" spans="4:8" x14ac:dyDescent="0.2">
      <c r="D1631" s="6"/>
      <c r="H1631" s="6">
        <v>42025.468900462962</v>
      </c>
    </row>
    <row r="1632" spans="4:8" x14ac:dyDescent="0.2">
      <c r="D1632" s="6"/>
      <c r="H1632" s="6">
        <v>42025.468900462962</v>
      </c>
    </row>
    <row r="1633" spans="1:8" x14ac:dyDescent="0.2">
      <c r="D1633" s="6"/>
      <c r="H1633" s="6">
        <v>42025.468900462962</v>
      </c>
    </row>
    <row r="1634" spans="1:8" x14ac:dyDescent="0.2">
      <c r="D1634" s="6"/>
      <c r="H1634" s="6">
        <v>42068.676087962966</v>
      </c>
    </row>
    <row r="1635" spans="1:8" x14ac:dyDescent="0.2">
      <c r="D1635" s="6"/>
      <c r="H1635" s="6">
        <v>42068.677546296298</v>
      </c>
    </row>
    <row r="1636" spans="1:8" x14ac:dyDescent="0.2">
      <c r="D1636" s="6"/>
      <c r="H1636" s="6">
        <v>42068.685648148145</v>
      </c>
    </row>
    <row r="1637" spans="1:8" x14ac:dyDescent="0.2">
      <c r="D1637" s="6"/>
      <c r="H1637" s="6">
        <v>42083.440150462964</v>
      </c>
    </row>
    <row r="1638" spans="1:8" x14ac:dyDescent="0.2">
      <c r="D1638" s="6"/>
      <c r="H1638" s="6">
        <v>42082.497824074075</v>
      </c>
    </row>
    <row r="1639" spans="1:8" x14ac:dyDescent="0.2">
      <c r="D1639" s="6"/>
      <c r="H1639" s="6">
        <v>42082.71465277778</v>
      </c>
    </row>
    <row r="1640" spans="1:8" x14ac:dyDescent="0.2">
      <c r="D1640" s="6"/>
      <c r="H1640" s="6">
        <v>42080.286273148151</v>
      </c>
    </row>
    <row r="1641" spans="1:8" x14ac:dyDescent="0.2">
      <c r="D1641" s="6"/>
      <c r="H1641" s="6">
        <v>42082.815405092595</v>
      </c>
    </row>
    <row r="1642" spans="1:8" x14ac:dyDescent="0.2">
      <c r="D1642" s="6"/>
      <c r="H1642" s="6">
        <v>42080.173831018517</v>
      </c>
    </row>
    <row r="1643" spans="1:8" x14ac:dyDescent="0.2">
      <c r="D1643" s="6"/>
      <c r="H1643" s="6">
        <v>42025.468912037039</v>
      </c>
    </row>
    <row r="1644" spans="1:8" x14ac:dyDescent="0.2">
      <c r="D1644" s="6"/>
      <c r="H1644" s="6">
        <v>42025.468912037039</v>
      </c>
    </row>
    <row r="1645" spans="1:8" x14ac:dyDescent="0.2">
      <c r="A1645" s="19"/>
      <c r="D1645" s="6"/>
      <c r="H1645" s="6">
        <v>42025.468912037039</v>
      </c>
    </row>
    <row r="1646" spans="1:8" x14ac:dyDescent="0.2">
      <c r="D1646" s="6"/>
      <c r="H1646" s="6">
        <v>42025.468912037039</v>
      </c>
    </row>
    <row r="1647" spans="1:8" x14ac:dyDescent="0.2">
      <c r="D1647" s="6"/>
      <c r="H1647" s="6">
        <v>42025.468912037039</v>
      </c>
    </row>
    <row r="1648" spans="1:8" x14ac:dyDescent="0.2">
      <c r="D1648" s="6"/>
      <c r="H1648" s="6">
        <v>42025.468912037039</v>
      </c>
    </row>
    <row r="1649" spans="4:8" x14ac:dyDescent="0.2">
      <c r="D1649" s="6"/>
      <c r="H1649" s="6">
        <v>42018.75509259259</v>
      </c>
    </row>
    <row r="1650" spans="4:8" x14ac:dyDescent="0.2">
      <c r="D1650" s="6"/>
      <c r="H1650" s="6">
        <v>42018.75509259259</v>
      </c>
    </row>
    <row r="1651" spans="4:8" x14ac:dyDescent="0.2">
      <c r="D1651" s="6"/>
      <c r="H1651" s="6">
        <v>42018.755104166667</v>
      </c>
    </row>
    <row r="1652" spans="4:8" x14ac:dyDescent="0.2">
      <c r="D1652" s="6"/>
      <c r="H1652" s="6">
        <v>42018.755104166667</v>
      </c>
    </row>
    <row r="1653" spans="4:8" x14ac:dyDescent="0.2">
      <c r="D1653" s="6"/>
      <c r="H1653" s="6">
        <v>42018.755104166667</v>
      </c>
    </row>
    <row r="1654" spans="4:8" x14ac:dyDescent="0.2">
      <c r="D1654" s="6"/>
      <c r="H1654" s="6">
        <v>42018.755104166667</v>
      </c>
    </row>
    <row r="1655" spans="4:8" x14ac:dyDescent="0.2">
      <c r="D1655" s="6"/>
      <c r="H1655" s="6">
        <v>42018.755104166667</v>
      </c>
    </row>
    <row r="1656" spans="4:8" x14ac:dyDescent="0.2">
      <c r="D1656" s="6"/>
      <c r="H1656" s="6">
        <v>42018.755104166667</v>
      </c>
    </row>
    <row r="1657" spans="4:8" x14ac:dyDescent="0.2">
      <c r="D1657" s="6"/>
      <c r="H1657" s="6">
        <v>42018.755104166667</v>
      </c>
    </row>
    <row r="1658" spans="4:8" x14ac:dyDescent="0.2">
      <c r="D1658" s="6"/>
      <c r="H1658" s="6">
        <v>42018.755104166667</v>
      </c>
    </row>
    <row r="1659" spans="4:8" x14ac:dyDescent="0.2">
      <c r="D1659" s="6"/>
      <c r="H1659" s="6">
        <v>42018.755104166667</v>
      </c>
    </row>
    <row r="1660" spans="4:8" x14ac:dyDescent="0.2">
      <c r="D1660" s="6"/>
      <c r="H1660" s="6">
        <v>42018.755104166667</v>
      </c>
    </row>
    <row r="1661" spans="4:8" x14ac:dyDescent="0.2">
      <c r="D1661" s="6"/>
      <c r="H1661" s="6">
        <v>42018.755104166667</v>
      </c>
    </row>
    <row r="1662" spans="4:8" x14ac:dyDescent="0.2">
      <c r="D1662" s="6"/>
      <c r="H1662" s="6">
        <v>42018.755104166667</v>
      </c>
    </row>
    <row r="1663" spans="4:8" x14ac:dyDescent="0.2">
      <c r="D1663" s="6"/>
      <c r="H1663" s="6">
        <v>42018.755115740743</v>
      </c>
    </row>
    <row r="1664" spans="4:8" x14ac:dyDescent="0.2">
      <c r="D1664" s="6"/>
      <c r="H1664" s="6">
        <v>42018.755115740743</v>
      </c>
    </row>
    <row r="1665" spans="1:8" x14ac:dyDescent="0.2">
      <c r="D1665" s="6"/>
      <c r="H1665" s="6">
        <v>42018.755115740743</v>
      </c>
    </row>
    <row r="1666" spans="1:8" x14ac:dyDescent="0.2">
      <c r="A1666" s="19"/>
      <c r="D1666" s="6"/>
      <c r="H1666" s="6">
        <v>42018.755115740743</v>
      </c>
    </row>
    <row r="1667" spans="1:8" x14ac:dyDescent="0.2">
      <c r="D1667" s="6"/>
      <c r="H1667" s="6">
        <v>42018.755115740743</v>
      </c>
    </row>
    <row r="1668" spans="1:8" x14ac:dyDescent="0.2">
      <c r="D1668" s="6"/>
      <c r="H1668" s="6">
        <v>42018.755115740743</v>
      </c>
    </row>
    <row r="1669" spans="1:8" x14ac:dyDescent="0.2">
      <c r="D1669" s="6"/>
      <c r="H1669" s="6">
        <v>42018.757291666669</v>
      </c>
    </row>
    <row r="1670" spans="1:8" x14ac:dyDescent="0.2">
      <c r="A1670" s="19"/>
      <c r="D1670" s="6"/>
      <c r="H1670" s="6">
        <v>42018.757291666669</v>
      </c>
    </row>
    <row r="1671" spans="1:8" x14ac:dyDescent="0.2">
      <c r="D1671" s="6"/>
      <c r="H1671" s="6">
        <v>42018.757291666669</v>
      </c>
    </row>
    <row r="1672" spans="1:8" x14ac:dyDescent="0.2">
      <c r="D1672" s="6"/>
      <c r="H1672" s="6">
        <v>42018.757291666669</v>
      </c>
    </row>
    <row r="1673" spans="1:8" x14ac:dyDescent="0.2">
      <c r="D1673" s="6"/>
      <c r="H1673" s="6">
        <v>42018.757291666669</v>
      </c>
    </row>
    <row r="1674" spans="1:8" x14ac:dyDescent="0.2">
      <c r="D1674" s="6"/>
      <c r="H1674" s="6">
        <v>42018.757291666669</v>
      </c>
    </row>
    <row r="1675" spans="1:8" x14ac:dyDescent="0.2">
      <c r="D1675" s="6"/>
      <c r="H1675" s="6">
        <v>42018.755173611113</v>
      </c>
    </row>
    <row r="1676" spans="1:8" x14ac:dyDescent="0.2">
      <c r="A1676" s="19"/>
      <c r="D1676" s="6"/>
      <c r="H1676" s="6">
        <v>42018.755173611113</v>
      </c>
    </row>
    <row r="1677" spans="1:8" x14ac:dyDescent="0.2">
      <c r="D1677" s="6"/>
      <c r="H1677" s="6">
        <v>42018.755173611113</v>
      </c>
    </row>
    <row r="1678" spans="1:8" x14ac:dyDescent="0.2">
      <c r="D1678" s="6"/>
      <c r="H1678" s="6">
        <v>42018.755173611113</v>
      </c>
    </row>
    <row r="1679" spans="1:8" x14ac:dyDescent="0.2">
      <c r="D1679" s="6"/>
      <c r="H1679" s="6">
        <v>42018.755173611113</v>
      </c>
    </row>
    <row r="1680" spans="1:8" x14ac:dyDescent="0.2">
      <c r="D1680" s="6"/>
      <c r="H1680" s="6">
        <v>42018.755173611113</v>
      </c>
    </row>
    <row r="1681" spans="4:8" x14ac:dyDescent="0.2">
      <c r="D1681" s="6"/>
      <c r="H1681" s="6">
        <v>42018.755185185182</v>
      </c>
    </row>
    <row r="1682" spans="4:8" x14ac:dyDescent="0.2">
      <c r="D1682" s="6"/>
      <c r="H1682" s="6">
        <v>42018.755185185182</v>
      </c>
    </row>
    <row r="1683" spans="4:8" x14ac:dyDescent="0.2">
      <c r="D1683" s="6"/>
      <c r="H1683" s="6">
        <v>42018.755185185182</v>
      </c>
    </row>
    <row r="1684" spans="4:8" x14ac:dyDescent="0.2">
      <c r="D1684" s="6"/>
      <c r="H1684" s="6">
        <v>42018.755185185182</v>
      </c>
    </row>
    <row r="1685" spans="4:8" x14ac:dyDescent="0.2">
      <c r="D1685" s="6"/>
      <c r="H1685" s="6">
        <v>42018.755185185182</v>
      </c>
    </row>
    <row r="1686" spans="4:8" x14ac:dyDescent="0.2">
      <c r="D1686" s="6"/>
      <c r="H1686" s="6">
        <v>42018.755185185182</v>
      </c>
    </row>
    <row r="1687" spans="4:8" x14ac:dyDescent="0.2">
      <c r="D1687" s="6"/>
      <c r="H1687" s="6">
        <v>42018.755185185182</v>
      </c>
    </row>
    <row r="1688" spans="4:8" x14ac:dyDescent="0.2">
      <c r="D1688" s="6"/>
      <c r="H1688" s="6">
        <v>42018.755185185182</v>
      </c>
    </row>
    <row r="1689" spans="4:8" x14ac:dyDescent="0.2">
      <c r="D1689" s="6"/>
      <c r="H1689" s="6">
        <v>42018.755185185182</v>
      </c>
    </row>
    <row r="1690" spans="4:8" x14ac:dyDescent="0.2">
      <c r="D1690" s="6"/>
      <c r="H1690" s="6">
        <v>42018.755185185182</v>
      </c>
    </row>
    <row r="1691" spans="4:8" x14ac:dyDescent="0.2">
      <c r="D1691" s="6"/>
      <c r="H1691" s="6">
        <v>42018.755185185182</v>
      </c>
    </row>
    <row r="1692" spans="4:8" x14ac:dyDescent="0.2">
      <c r="D1692" s="6"/>
      <c r="H1692" s="6">
        <v>42018.755185185182</v>
      </c>
    </row>
    <row r="1693" spans="4:8" x14ac:dyDescent="0.2">
      <c r="D1693" s="6"/>
      <c r="H1693" s="6">
        <v>42018.755185185182</v>
      </c>
    </row>
    <row r="1694" spans="4:8" x14ac:dyDescent="0.2">
      <c r="D1694" s="6"/>
      <c r="H1694" s="6">
        <v>42018.755196759259</v>
      </c>
    </row>
    <row r="1695" spans="4:8" x14ac:dyDescent="0.2">
      <c r="D1695" s="6"/>
      <c r="H1695" s="6">
        <v>42018.757349537038</v>
      </c>
    </row>
    <row r="1696" spans="4:8" x14ac:dyDescent="0.2">
      <c r="D1696" s="6"/>
      <c r="H1696" s="6">
        <v>42018.757349537038</v>
      </c>
    </row>
    <row r="1697" spans="4:8" x14ac:dyDescent="0.2">
      <c r="D1697" s="6"/>
      <c r="H1697" s="6">
        <v>42018.757349537038</v>
      </c>
    </row>
    <row r="1698" spans="4:8" x14ac:dyDescent="0.2">
      <c r="D1698" s="6"/>
      <c r="H1698" s="6">
        <v>42018.757349537038</v>
      </c>
    </row>
    <row r="1699" spans="4:8" x14ac:dyDescent="0.2">
      <c r="D1699" s="6"/>
      <c r="H1699" s="6">
        <v>42018.757349537038</v>
      </c>
    </row>
    <row r="1700" spans="4:8" x14ac:dyDescent="0.2">
      <c r="D1700" s="6"/>
      <c r="H1700" s="6">
        <v>42018.757349537038</v>
      </c>
    </row>
    <row r="1701" spans="4:8" x14ac:dyDescent="0.2">
      <c r="D1701" s="6"/>
      <c r="H1701" s="6">
        <v>42025.469143518516</v>
      </c>
    </row>
    <row r="1702" spans="4:8" x14ac:dyDescent="0.2">
      <c r="D1702" s="6"/>
      <c r="H1702" s="6">
        <v>42025.469143518516</v>
      </c>
    </row>
    <row r="1703" spans="4:8" x14ac:dyDescent="0.2">
      <c r="D1703" s="6"/>
      <c r="H1703" s="6">
        <v>42025.469143518516</v>
      </c>
    </row>
    <row r="1704" spans="4:8" x14ac:dyDescent="0.2">
      <c r="D1704" s="6"/>
      <c r="H1704" s="6">
        <v>42025.469155092593</v>
      </c>
    </row>
    <row r="1705" spans="4:8" x14ac:dyDescent="0.2">
      <c r="D1705" s="6"/>
      <c r="H1705" s="6">
        <v>42025.469155092593</v>
      </c>
    </row>
    <row r="1706" spans="4:8" x14ac:dyDescent="0.2">
      <c r="D1706" s="6"/>
      <c r="H1706" s="6">
        <v>42025.469155092593</v>
      </c>
    </row>
    <row r="1707" spans="4:8" x14ac:dyDescent="0.2">
      <c r="D1707" s="6"/>
      <c r="H1707" s="6">
        <v>42025.469155092593</v>
      </c>
    </row>
    <row r="1708" spans="4:8" x14ac:dyDescent="0.2">
      <c r="D1708" s="6"/>
      <c r="H1708" s="6">
        <v>42025.469155092593</v>
      </c>
    </row>
    <row r="1709" spans="4:8" x14ac:dyDescent="0.2">
      <c r="D1709" s="6"/>
      <c r="H1709" s="6">
        <v>42025.469155092593</v>
      </c>
    </row>
    <row r="1710" spans="4:8" x14ac:dyDescent="0.2">
      <c r="D1710" s="6"/>
      <c r="H1710" s="6">
        <v>42025.469155092593</v>
      </c>
    </row>
    <row r="1711" spans="4:8" x14ac:dyDescent="0.2">
      <c r="D1711" s="6"/>
      <c r="H1711" s="6">
        <v>42025.469155092593</v>
      </c>
    </row>
    <row r="1712" spans="4:8" x14ac:dyDescent="0.2">
      <c r="D1712" s="6"/>
      <c r="H1712" s="6">
        <v>42025.469155092593</v>
      </c>
    </row>
    <row r="1713" spans="4:8" x14ac:dyDescent="0.2">
      <c r="D1713" s="6"/>
      <c r="H1713" s="6">
        <v>42025.469155092593</v>
      </c>
    </row>
    <row r="1714" spans="4:8" x14ac:dyDescent="0.2">
      <c r="D1714" s="6"/>
      <c r="H1714" s="6">
        <v>42025.469155092593</v>
      </c>
    </row>
    <row r="1715" spans="4:8" x14ac:dyDescent="0.2">
      <c r="D1715" s="6"/>
      <c r="H1715" s="6">
        <v>42025.469166666669</v>
      </c>
    </row>
    <row r="1716" spans="4:8" x14ac:dyDescent="0.2">
      <c r="D1716" s="6"/>
      <c r="H1716" s="6">
        <v>42025.469166666669</v>
      </c>
    </row>
    <row r="1717" spans="4:8" x14ac:dyDescent="0.2">
      <c r="D1717" s="6"/>
      <c r="H1717" s="6">
        <v>42025.469166666669</v>
      </c>
    </row>
    <row r="1718" spans="4:8" x14ac:dyDescent="0.2">
      <c r="D1718" s="6"/>
      <c r="H1718" s="6">
        <v>42025.469166666669</v>
      </c>
    </row>
    <row r="1719" spans="4:8" x14ac:dyDescent="0.2">
      <c r="D1719" s="6"/>
      <c r="H1719" s="6">
        <v>42025.469166666669</v>
      </c>
    </row>
    <row r="1720" spans="4:8" x14ac:dyDescent="0.2">
      <c r="D1720" s="6"/>
      <c r="H1720" s="6">
        <v>42025.469166666669</v>
      </c>
    </row>
    <row r="1721" spans="4:8" x14ac:dyDescent="0.2">
      <c r="D1721" s="6"/>
      <c r="H1721" s="6">
        <v>42080.183819444443</v>
      </c>
    </row>
    <row r="1722" spans="4:8" x14ac:dyDescent="0.2">
      <c r="D1722" s="6"/>
      <c r="H1722" s="6">
        <v>42025.469178240739</v>
      </c>
    </row>
    <row r="1723" spans="4:8" x14ac:dyDescent="0.2">
      <c r="D1723" s="6"/>
      <c r="H1723" s="6">
        <v>42025.469178240739</v>
      </c>
    </row>
    <row r="1724" spans="4:8" x14ac:dyDescent="0.2">
      <c r="D1724" s="6"/>
      <c r="H1724" s="6">
        <v>42025.469178240739</v>
      </c>
    </row>
    <row r="1725" spans="4:8" x14ac:dyDescent="0.2">
      <c r="D1725" s="6"/>
      <c r="H1725" s="6">
        <v>42025.469178240739</v>
      </c>
    </row>
    <row r="1726" spans="4:8" x14ac:dyDescent="0.2">
      <c r="D1726" s="6"/>
      <c r="H1726" s="6">
        <v>42025.469178240739</v>
      </c>
    </row>
    <row r="1727" spans="4:8" x14ac:dyDescent="0.2">
      <c r="D1727" s="6"/>
      <c r="H1727" s="6">
        <v>42025.469178240739</v>
      </c>
    </row>
    <row r="1728" spans="4:8" x14ac:dyDescent="0.2">
      <c r="D1728" s="6"/>
      <c r="H1728" s="6">
        <v>42018.755254629628</v>
      </c>
    </row>
    <row r="1729" spans="4:8" x14ac:dyDescent="0.2">
      <c r="D1729" s="6"/>
      <c r="H1729" s="6">
        <v>42018.755254629628</v>
      </c>
    </row>
    <row r="1730" spans="4:8" x14ac:dyDescent="0.2">
      <c r="D1730" s="6"/>
      <c r="H1730" s="6">
        <v>42018.755254629628</v>
      </c>
    </row>
    <row r="1731" spans="4:8" x14ac:dyDescent="0.2">
      <c r="D1731" s="6"/>
      <c r="H1731" s="6">
        <v>42018.755254629628</v>
      </c>
    </row>
    <row r="1732" spans="4:8" x14ac:dyDescent="0.2">
      <c r="D1732" s="6"/>
      <c r="H1732" s="6">
        <v>42018.755254629628</v>
      </c>
    </row>
    <row r="1733" spans="4:8" x14ac:dyDescent="0.2">
      <c r="D1733" s="6"/>
      <c r="H1733" s="6">
        <v>42018.755254629628</v>
      </c>
    </row>
    <row r="1734" spans="4:8" x14ac:dyDescent="0.2">
      <c r="D1734" s="6"/>
      <c r="H1734" s="6">
        <v>42018.755254629628</v>
      </c>
    </row>
    <row r="1735" spans="4:8" x14ac:dyDescent="0.2">
      <c r="D1735" s="6"/>
      <c r="H1735" s="6">
        <v>42018.755254629628</v>
      </c>
    </row>
    <row r="1736" spans="4:8" x14ac:dyDescent="0.2">
      <c r="D1736" s="6"/>
      <c r="H1736" s="6">
        <v>42018.755254629628</v>
      </c>
    </row>
    <row r="1737" spans="4:8" x14ac:dyDescent="0.2">
      <c r="D1737" s="6"/>
      <c r="H1737" s="6">
        <v>42018.755266203705</v>
      </c>
    </row>
    <row r="1738" spans="4:8" x14ac:dyDescent="0.2">
      <c r="D1738" s="6"/>
      <c r="H1738" s="6">
        <v>42018.755266203705</v>
      </c>
    </row>
    <row r="1739" spans="4:8" x14ac:dyDescent="0.2">
      <c r="D1739" s="6"/>
      <c r="H1739" s="6">
        <v>42018.755266203705</v>
      </c>
    </row>
    <row r="1740" spans="4:8" x14ac:dyDescent="0.2">
      <c r="D1740" s="6"/>
      <c r="H1740" s="6">
        <v>42018.755266203705</v>
      </c>
    </row>
    <row r="1741" spans="4:8" x14ac:dyDescent="0.2">
      <c r="D1741" s="6"/>
      <c r="H1741" s="6">
        <v>42018.755266203705</v>
      </c>
    </row>
    <row r="1742" spans="4:8" x14ac:dyDescent="0.2">
      <c r="D1742" s="6"/>
      <c r="H1742" s="6">
        <v>42018.755266203705</v>
      </c>
    </row>
    <row r="1743" spans="4:8" x14ac:dyDescent="0.2">
      <c r="D1743" s="6"/>
      <c r="H1743" s="6">
        <v>42018.755266203705</v>
      </c>
    </row>
    <row r="1744" spans="4:8" x14ac:dyDescent="0.2">
      <c r="D1744" s="6"/>
      <c r="H1744" s="6">
        <v>42018.755266203705</v>
      </c>
    </row>
    <row r="1745" spans="1:8" x14ac:dyDescent="0.2">
      <c r="D1745" s="6"/>
      <c r="H1745" s="6">
        <v>42018.755266203705</v>
      </c>
    </row>
    <row r="1746" spans="1:8" x14ac:dyDescent="0.2">
      <c r="D1746" s="6"/>
      <c r="H1746" s="6">
        <v>42018.755266203705</v>
      </c>
    </row>
    <row r="1747" spans="1:8" x14ac:dyDescent="0.2">
      <c r="D1747" s="6"/>
      <c r="H1747" s="6">
        <v>42018.755277777775</v>
      </c>
    </row>
    <row r="1748" spans="1:8" x14ac:dyDescent="0.2">
      <c r="A1748" s="19"/>
      <c r="D1748" s="6"/>
      <c r="H1748" s="6">
        <v>42165.54855324074</v>
      </c>
    </row>
    <row r="1749" spans="1:8" x14ac:dyDescent="0.2">
      <c r="D1749" s="6"/>
      <c r="H1749" s="6">
        <v>42047.538668981484</v>
      </c>
    </row>
    <row r="1750" spans="1:8" x14ac:dyDescent="0.2">
      <c r="D1750" s="6"/>
      <c r="H1750" s="6">
        <v>42047.53869212963</v>
      </c>
    </row>
    <row r="1751" spans="1:8" x14ac:dyDescent="0.2">
      <c r="D1751" s="6"/>
      <c r="H1751" s="6">
        <v>42047.539629629631</v>
      </c>
    </row>
    <row r="1752" spans="1:8" x14ac:dyDescent="0.2">
      <c r="D1752" s="6"/>
      <c r="H1752" s="6">
        <v>42047.538668981484</v>
      </c>
    </row>
    <row r="1753" spans="1:8" x14ac:dyDescent="0.2">
      <c r="D1753" s="6"/>
      <c r="H1753" s="6">
        <v>42054.72320601852</v>
      </c>
    </row>
    <row r="1754" spans="1:8" x14ac:dyDescent="0.2">
      <c r="D1754" s="6"/>
      <c r="H1754" s="6">
        <v>42047.536979166667</v>
      </c>
    </row>
    <row r="1755" spans="1:8" x14ac:dyDescent="0.2">
      <c r="D1755" s="6"/>
      <c r="H1755" s="6">
        <v>42018.757407407407</v>
      </c>
    </row>
    <row r="1756" spans="1:8" x14ac:dyDescent="0.2">
      <c r="D1756" s="6"/>
      <c r="H1756" s="6">
        <v>42018.757407407407</v>
      </c>
    </row>
    <row r="1757" spans="1:8" x14ac:dyDescent="0.2">
      <c r="D1757" s="6"/>
      <c r="H1757" s="6">
        <v>42018.757407407407</v>
      </c>
    </row>
    <row r="1758" spans="1:8" x14ac:dyDescent="0.2">
      <c r="D1758" s="6"/>
      <c r="H1758" s="6">
        <v>42018.757407407407</v>
      </c>
    </row>
    <row r="1759" spans="1:8" x14ac:dyDescent="0.2">
      <c r="D1759" s="6"/>
      <c r="H1759" s="6">
        <v>42018.757407407407</v>
      </c>
    </row>
    <row r="1760" spans="1:8" x14ac:dyDescent="0.2">
      <c r="D1760" s="6"/>
      <c r="H1760" s="6">
        <v>42018.757407407407</v>
      </c>
    </row>
    <row r="1761" spans="4:8" x14ac:dyDescent="0.2">
      <c r="D1761" s="6"/>
      <c r="H1761" s="6">
        <v>42025.469571759262</v>
      </c>
    </row>
    <row r="1762" spans="4:8" x14ac:dyDescent="0.2">
      <c r="D1762" s="6"/>
      <c r="H1762" s="6">
        <v>42025.469571759262</v>
      </c>
    </row>
    <row r="1763" spans="4:8" x14ac:dyDescent="0.2">
      <c r="D1763" s="6"/>
      <c r="H1763" s="6">
        <v>42025.469571759262</v>
      </c>
    </row>
    <row r="1764" spans="4:8" x14ac:dyDescent="0.2">
      <c r="D1764" s="6"/>
      <c r="H1764" s="6">
        <v>42025.469571759262</v>
      </c>
    </row>
    <row r="1765" spans="4:8" x14ac:dyDescent="0.2">
      <c r="D1765" s="6"/>
      <c r="H1765" s="6">
        <v>42025.469571759262</v>
      </c>
    </row>
    <row r="1766" spans="4:8" x14ac:dyDescent="0.2">
      <c r="D1766" s="6"/>
      <c r="H1766" s="6">
        <v>42025.469583333332</v>
      </c>
    </row>
    <row r="1767" spans="4:8" x14ac:dyDescent="0.2">
      <c r="D1767" s="6"/>
      <c r="H1767" s="6">
        <v>42025.469583333332</v>
      </c>
    </row>
    <row r="1768" spans="4:8" x14ac:dyDescent="0.2">
      <c r="D1768" s="6"/>
      <c r="H1768" s="6">
        <v>42025.469583333332</v>
      </c>
    </row>
    <row r="1769" spans="4:8" x14ac:dyDescent="0.2">
      <c r="D1769" s="6"/>
      <c r="H1769" s="6">
        <v>42025.469583333332</v>
      </c>
    </row>
    <row r="1770" spans="4:8" x14ac:dyDescent="0.2">
      <c r="D1770" s="6"/>
      <c r="H1770" s="6">
        <v>42025.469583333332</v>
      </c>
    </row>
    <row r="1771" spans="4:8" x14ac:dyDescent="0.2">
      <c r="D1771" s="6"/>
      <c r="H1771" s="6">
        <v>42025.469583333332</v>
      </c>
    </row>
    <row r="1772" spans="4:8" x14ac:dyDescent="0.2">
      <c r="D1772" s="6"/>
      <c r="H1772" s="6">
        <v>42025.469583333332</v>
      </c>
    </row>
    <row r="1773" spans="4:8" x14ac:dyDescent="0.2">
      <c r="D1773" s="6"/>
      <c r="H1773" s="6">
        <v>42025.469583333332</v>
      </c>
    </row>
    <row r="1774" spans="4:8" x14ac:dyDescent="0.2">
      <c r="D1774" s="6"/>
      <c r="H1774" s="6">
        <v>42025.469583333332</v>
      </c>
    </row>
    <row r="1775" spans="4:8" x14ac:dyDescent="0.2">
      <c r="D1775" s="6"/>
      <c r="H1775" s="6">
        <v>42025.469594907408</v>
      </c>
    </row>
    <row r="1776" spans="4:8" x14ac:dyDescent="0.2">
      <c r="D1776" s="6"/>
      <c r="H1776" s="6">
        <v>42025.469594907408</v>
      </c>
    </row>
    <row r="1777" spans="1:8" x14ac:dyDescent="0.2">
      <c r="D1777" s="6"/>
      <c r="H1777" s="6">
        <v>42025.469594907408</v>
      </c>
    </row>
    <row r="1778" spans="1:8" x14ac:dyDescent="0.2">
      <c r="D1778" s="6"/>
      <c r="H1778" s="6">
        <v>42025.469594907408</v>
      </c>
    </row>
    <row r="1779" spans="1:8" x14ac:dyDescent="0.2">
      <c r="D1779" s="6"/>
      <c r="H1779" s="6">
        <v>42025.469594907408</v>
      </c>
    </row>
    <row r="1780" spans="1:8" x14ac:dyDescent="0.2">
      <c r="D1780" s="6"/>
      <c r="H1780" s="6">
        <v>42025.469594907408</v>
      </c>
    </row>
    <row r="1781" spans="1:8" x14ac:dyDescent="0.2">
      <c r="D1781" s="6"/>
      <c r="H1781" s="6">
        <v>42025.469594907408</v>
      </c>
    </row>
    <row r="1782" spans="1:8" x14ac:dyDescent="0.2">
      <c r="D1782" s="6"/>
      <c r="H1782" s="6">
        <v>42025.469594907408</v>
      </c>
    </row>
    <row r="1783" spans="1:8" x14ac:dyDescent="0.2">
      <c r="D1783" s="6"/>
      <c r="H1783" s="6">
        <v>42025.469594907408</v>
      </c>
    </row>
    <row r="1784" spans="1:8" x14ac:dyDescent="0.2">
      <c r="D1784" s="6"/>
      <c r="H1784" s="6">
        <v>42025.469594907408</v>
      </c>
    </row>
    <row r="1785" spans="1:8" x14ac:dyDescent="0.2">
      <c r="A1785" s="19"/>
      <c r="D1785" s="6"/>
      <c r="H1785" s="6">
        <v>42025.469594907408</v>
      </c>
    </row>
    <row r="1786" spans="1:8" x14ac:dyDescent="0.2">
      <c r="D1786" s="6"/>
      <c r="H1786" s="6">
        <v>42025.469594907408</v>
      </c>
    </row>
    <row r="1787" spans="1:8" x14ac:dyDescent="0.2">
      <c r="D1787" s="6"/>
      <c r="H1787" s="6">
        <v>42025.469872685186</v>
      </c>
    </row>
    <row r="1788" spans="1:8" x14ac:dyDescent="0.2">
      <c r="D1788" s="6"/>
      <c r="H1788" s="6">
        <v>42025.469872685186</v>
      </c>
    </row>
    <row r="1789" spans="1:8" x14ac:dyDescent="0.2">
      <c r="D1789" s="6"/>
      <c r="H1789" s="6">
        <v>42025.469872685186</v>
      </c>
    </row>
    <row r="1790" spans="1:8" x14ac:dyDescent="0.2">
      <c r="D1790" s="6"/>
      <c r="H1790" s="6">
        <v>42025.469872685186</v>
      </c>
    </row>
    <row r="1791" spans="1:8" x14ac:dyDescent="0.2">
      <c r="D1791" s="6"/>
      <c r="H1791" s="6">
        <v>42025.469872685186</v>
      </c>
    </row>
    <row r="1792" spans="1:8" x14ac:dyDescent="0.2">
      <c r="D1792" s="6"/>
      <c r="H1792" s="6">
        <v>42025.469872685186</v>
      </c>
    </row>
    <row r="1793" spans="4:8" x14ac:dyDescent="0.2">
      <c r="D1793" s="6"/>
      <c r="H1793" s="6">
        <v>42025.469872685186</v>
      </c>
    </row>
    <row r="1794" spans="4:8" x14ac:dyDescent="0.2">
      <c r="D1794" s="6"/>
      <c r="H1794" s="6">
        <v>42025.469884259262</v>
      </c>
    </row>
    <row r="1795" spans="4:8" x14ac:dyDescent="0.2">
      <c r="D1795" s="6"/>
      <c r="H1795" s="6">
        <v>42025.469884259262</v>
      </c>
    </row>
    <row r="1796" spans="4:8" x14ac:dyDescent="0.2">
      <c r="D1796" s="6"/>
      <c r="H1796" s="6">
        <v>42025.469884259262</v>
      </c>
    </row>
    <row r="1797" spans="4:8" x14ac:dyDescent="0.2">
      <c r="D1797" s="6"/>
      <c r="H1797" s="6">
        <v>42025.469884259262</v>
      </c>
    </row>
    <row r="1798" spans="4:8" x14ac:dyDescent="0.2">
      <c r="D1798" s="6"/>
      <c r="H1798" s="6">
        <v>42025.469884259262</v>
      </c>
    </row>
    <row r="1799" spans="4:8" x14ac:dyDescent="0.2">
      <c r="D1799" s="6"/>
      <c r="H1799" s="6">
        <v>42025.469884259262</v>
      </c>
    </row>
    <row r="1800" spans="4:8" x14ac:dyDescent="0.2">
      <c r="D1800" s="6"/>
      <c r="H1800" s="6">
        <v>42025.469884259262</v>
      </c>
    </row>
    <row r="1801" spans="4:8" x14ac:dyDescent="0.2">
      <c r="D1801" s="6"/>
      <c r="H1801" s="6">
        <v>42025.469884259262</v>
      </c>
    </row>
    <row r="1802" spans="4:8" x14ac:dyDescent="0.2">
      <c r="D1802" s="6"/>
      <c r="H1802" s="6">
        <v>42025.469884259262</v>
      </c>
    </row>
    <row r="1803" spans="4:8" x14ac:dyDescent="0.2">
      <c r="D1803" s="6"/>
      <c r="H1803" s="6">
        <v>42025.469884259262</v>
      </c>
    </row>
    <row r="1804" spans="4:8" x14ac:dyDescent="0.2">
      <c r="D1804" s="6"/>
      <c r="H1804" s="6">
        <v>42025.469895833332</v>
      </c>
    </row>
    <row r="1805" spans="4:8" x14ac:dyDescent="0.2">
      <c r="D1805" s="6"/>
      <c r="H1805" s="6">
        <v>42025.469895833332</v>
      </c>
    </row>
    <row r="1806" spans="4:8" x14ac:dyDescent="0.2">
      <c r="D1806" s="6"/>
      <c r="H1806" s="6">
        <v>42025.469895833332</v>
      </c>
    </row>
    <row r="1807" spans="4:8" x14ac:dyDescent="0.2">
      <c r="D1807" s="6"/>
      <c r="H1807" s="6">
        <v>42025.469895833332</v>
      </c>
    </row>
    <row r="1808" spans="4:8" x14ac:dyDescent="0.2">
      <c r="D1808" s="6"/>
      <c r="H1808" s="6">
        <v>42025.469895833332</v>
      </c>
    </row>
    <row r="1809" spans="4:8" x14ac:dyDescent="0.2">
      <c r="D1809" s="6"/>
      <c r="H1809" s="6">
        <v>42025.469895833332</v>
      </c>
    </row>
    <row r="1810" spans="4:8" x14ac:dyDescent="0.2">
      <c r="D1810" s="6"/>
      <c r="H1810" s="6">
        <v>42025.469895833332</v>
      </c>
    </row>
    <row r="1811" spans="4:8" x14ac:dyDescent="0.2">
      <c r="D1811" s="6"/>
      <c r="H1811" s="6">
        <v>42025.469895833332</v>
      </c>
    </row>
    <row r="1812" spans="4:8" x14ac:dyDescent="0.2">
      <c r="D1812" s="6"/>
      <c r="H1812" s="6">
        <v>42025.469895833332</v>
      </c>
    </row>
    <row r="1813" spans="4:8" x14ac:dyDescent="0.2">
      <c r="D1813" s="6"/>
      <c r="H1813" s="6">
        <v>42025.470266203702</v>
      </c>
    </row>
    <row r="1814" spans="4:8" x14ac:dyDescent="0.2">
      <c r="D1814" s="6"/>
      <c r="H1814" s="6">
        <v>42025.470266203702</v>
      </c>
    </row>
    <row r="1815" spans="4:8" x14ac:dyDescent="0.2">
      <c r="D1815" s="6"/>
      <c r="H1815" s="6">
        <v>42025.470266203702</v>
      </c>
    </row>
    <row r="1816" spans="4:8" x14ac:dyDescent="0.2">
      <c r="D1816" s="6"/>
      <c r="H1816" s="6">
        <v>42025.470266203702</v>
      </c>
    </row>
    <row r="1817" spans="4:8" x14ac:dyDescent="0.2">
      <c r="D1817" s="6"/>
      <c r="H1817" s="6">
        <v>42025.470277777778</v>
      </c>
    </row>
    <row r="1818" spans="4:8" x14ac:dyDescent="0.2">
      <c r="D1818" s="6"/>
      <c r="H1818" s="6">
        <v>42025.470277777778</v>
      </c>
    </row>
    <row r="1819" spans="4:8" x14ac:dyDescent="0.2">
      <c r="D1819" s="6"/>
      <c r="H1819" s="6">
        <v>42025.470277777778</v>
      </c>
    </row>
    <row r="1820" spans="4:8" x14ac:dyDescent="0.2">
      <c r="D1820" s="6"/>
      <c r="H1820" s="6">
        <v>42025.470277777778</v>
      </c>
    </row>
    <row r="1821" spans="4:8" x14ac:dyDescent="0.2">
      <c r="D1821" s="6"/>
      <c r="H1821" s="6">
        <v>42025.470277777778</v>
      </c>
    </row>
    <row r="1822" spans="4:8" x14ac:dyDescent="0.2">
      <c r="D1822" s="6"/>
      <c r="H1822" s="6">
        <v>42025.470277777778</v>
      </c>
    </row>
    <row r="1823" spans="4:8" x14ac:dyDescent="0.2">
      <c r="D1823" s="6"/>
      <c r="H1823" s="6">
        <v>42025.470277777778</v>
      </c>
    </row>
    <row r="1824" spans="4:8" x14ac:dyDescent="0.2">
      <c r="D1824" s="6"/>
      <c r="H1824" s="6">
        <v>42025.470277777778</v>
      </c>
    </row>
    <row r="1825" spans="4:8" x14ac:dyDescent="0.2">
      <c r="D1825" s="6"/>
      <c r="H1825" s="6">
        <v>42025.470277777778</v>
      </c>
    </row>
    <row r="1826" spans="4:8" x14ac:dyDescent="0.2">
      <c r="D1826" s="6"/>
      <c r="H1826" s="6">
        <v>42025.470289351855</v>
      </c>
    </row>
    <row r="1827" spans="4:8" x14ac:dyDescent="0.2">
      <c r="D1827" s="6"/>
      <c r="H1827" s="6">
        <v>42025.470289351855</v>
      </c>
    </row>
    <row r="1828" spans="4:8" x14ac:dyDescent="0.2">
      <c r="D1828" s="6"/>
      <c r="H1828" s="6">
        <v>42025.470289351855</v>
      </c>
    </row>
    <row r="1829" spans="4:8" x14ac:dyDescent="0.2">
      <c r="D1829" s="6"/>
      <c r="H1829" s="6">
        <v>42025.470289351855</v>
      </c>
    </row>
    <row r="1830" spans="4:8" x14ac:dyDescent="0.2">
      <c r="D1830" s="6"/>
      <c r="H1830" s="6">
        <v>42025.470289351855</v>
      </c>
    </row>
    <row r="1831" spans="4:8" x14ac:dyDescent="0.2">
      <c r="D1831" s="6"/>
      <c r="H1831" s="6">
        <v>42025.470289351855</v>
      </c>
    </row>
    <row r="1832" spans="4:8" x14ac:dyDescent="0.2">
      <c r="D1832" s="6"/>
      <c r="H1832" s="6">
        <v>42025.470289351855</v>
      </c>
    </row>
    <row r="1833" spans="4:8" x14ac:dyDescent="0.2">
      <c r="D1833" s="6"/>
      <c r="H1833" s="6">
        <v>42025.470833333333</v>
      </c>
    </row>
    <row r="1834" spans="4:8" x14ac:dyDescent="0.2">
      <c r="D1834" s="6"/>
      <c r="H1834" s="6">
        <v>42025.47084490741</v>
      </c>
    </row>
    <row r="1835" spans="4:8" x14ac:dyDescent="0.2">
      <c r="D1835" s="6"/>
      <c r="H1835" s="6">
        <v>42025.47084490741</v>
      </c>
    </row>
    <row r="1836" spans="4:8" x14ac:dyDescent="0.2">
      <c r="D1836" s="6"/>
      <c r="H1836" s="6">
        <v>42025.47084490741</v>
      </c>
    </row>
    <row r="1837" spans="4:8" x14ac:dyDescent="0.2">
      <c r="D1837" s="6"/>
      <c r="H1837" s="6">
        <v>42025.47084490741</v>
      </c>
    </row>
    <row r="1838" spans="4:8" x14ac:dyDescent="0.2">
      <c r="D1838" s="6"/>
      <c r="H1838" s="6">
        <v>42025.47084490741</v>
      </c>
    </row>
    <row r="1839" spans="4:8" x14ac:dyDescent="0.2">
      <c r="D1839" s="6"/>
      <c r="H1839" s="6">
        <v>42025.47084490741</v>
      </c>
    </row>
    <row r="1840" spans="4:8" x14ac:dyDescent="0.2">
      <c r="D1840" s="6"/>
      <c r="H1840" s="6">
        <v>42025.47084490741</v>
      </c>
    </row>
    <row r="1841" spans="4:8" x14ac:dyDescent="0.2">
      <c r="D1841" s="6"/>
      <c r="H1841" s="6">
        <v>42025.47084490741</v>
      </c>
    </row>
    <row r="1842" spans="4:8" x14ac:dyDescent="0.2">
      <c r="D1842" s="6"/>
      <c r="H1842" s="6">
        <v>42025.47084490741</v>
      </c>
    </row>
    <row r="1843" spans="4:8" x14ac:dyDescent="0.2">
      <c r="D1843" s="6"/>
      <c r="H1843" s="6">
        <v>42025.47084490741</v>
      </c>
    </row>
    <row r="1844" spans="4:8" x14ac:dyDescent="0.2">
      <c r="D1844" s="6"/>
      <c r="H1844" s="6">
        <v>42025.47084490741</v>
      </c>
    </row>
    <row r="1845" spans="4:8" x14ac:dyDescent="0.2">
      <c r="D1845" s="6"/>
      <c r="H1845" s="6">
        <v>42025.47084490741</v>
      </c>
    </row>
    <row r="1846" spans="4:8" x14ac:dyDescent="0.2">
      <c r="D1846" s="6"/>
      <c r="H1846" s="6">
        <v>42025.470856481479</v>
      </c>
    </row>
    <row r="1847" spans="4:8" x14ac:dyDescent="0.2">
      <c r="D1847" s="6"/>
      <c r="H1847" s="6">
        <v>42025.470856481479</v>
      </c>
    </row>
    <row r="1848" spans="4:8" x14ac:dyDescent="0.2">
      <c r="D1848" s="6"/>
      <c r="H1848" s="6">
        <v>42025.470856481479</v>
      </c>
    </row>
    <row r="1849" spans="4:8" x14ac:dyDescent="0.2">
      <c r="D1849" s="6"/>
      <c r="H1849" s="6">
        <v>42025.470856481479</v>
      </c>
    </row>
    <row r="1850" spans="4:8" x14ac:dyDescent="0.2">
      <c r="D1850" s="6"/>
      <c r="H1850" s="6">
        <v>42025.470856481479</v>
      </c>
    </row>
    <row r="1851" spans="4:8" x14ac:dyDescent="0.2">
      <c r="D1851" s="6"/>
      <c r="H1851" s="6">
        <v>42025.470856481479</v>
      </c>
    </row>
    <row r="1852" spans="4:8" x14ac:dyDescent="0.2">
      <c r="D1852" s="6"/>
      <c r="H1852" s="6">
        <v>42025.470856481479</v>
      </c>
    </row>
    <row r="1853" spans="4:8" x14ac:dyDescent="0.2">
      <c r="D1853" s="6"/>
      <c r="H1853" s="6">
        <v>42025.470856481479</v>
      </c>
    </row>
    <row r="1854" spans="4:8" x14ac:dyDescent="0.2">
      <c r="D1854" s="6"/>
      <c r="H1854" s="6">
        <v>42025.470856481479</v>
      </c>
    </row>
    <row r="1855" spans="4:8" x14ac:dyDescent="0.2">
      <c r="D1855" s="6"/>
      <c r="H1855" s="6">
        <v>42025.470856481479</v>
      </c>
    </row>
    <row r="1856" spans="4:8" x14ac:dyDescent="0.2">
      <c r="D1856" s="6"/>
      <c r="H1856" s="6">
        <v>42025.470856481479</v>
      </c>
    </row>
    <row r="1857" spans="1:8" x14ac:dyDescent="0.2">
      <c r="D1857" s="6"/>
      <c r="H1857" s="6">
        <v>42025.470856481479</v>
      </c>
    </row>
    <row r="1858" spans="1:8" x14ac:dyDescent="0.2">
      <c r="D1858" s="6"/>
      <c r="H1858" s="6">
        <v>42025.470868055556</v>
      </c>
    </row>
    <row r="1859" spans="1:8" x14ac:dyDescent="0.2">
      <c r="D1859" s="6"/>
      <c r="H1859" s="6">
        <v>42025.470868055556</v>
      </c>
    </row>
    <row r="1860" spans="1:8" x14ac:dyDescent="0.2">
      <c r="D1860" s="6"/>
      <c r="H1860" s="6">
        <v>42025.470868055556</v>
      </c>
    </row>
    <row r="1861" spans="1:8" x14ac:dyDescent="0.2">
      <c r="D1861" s="6"/>
      <c r="H1861" s="6">
        <v>42025.470868055556</v>
      </c>
    </row>
    <row r="1862" spans="1:8" x14ac:dyDescent="0.2">
      <c r="D1862" s="6"/>
      <c r="H1862" s="6">
        <v>42025.470868055556</v>
      </c>
    </row>
    <row r="1863" spans="1:8" x14ac:dyDescent="0.2">
      <c r="D1863" s="6"/>
      <c r="H1863" s="6">
        <v>42025.470868055556</v>
      </c>
    </row>
    <row r="1864" spans="1:8" x14ac:dyDescent="0.2">
      <c r="D1864" s="6"/>
      <c r="H1864" s="6">
        <v>42025.470868055556</v>
      </c>
    </row>
    <row r="1865" spans="1:8" x14ac:dyDescent="0.2">
      <c r="D1865" s="6"/>
      <c r="H1865" s="6">
        <v>42025.470868055556</v>
      </c>
    </row>
    <row r="1866" spans="1:8" x14ac:dyDescent="0.2">
      <c r="D1866" s="6"/>
      <c r="H1866" s="6">
        <v>42025.470868055556</v>
      </c>
    </row>
    <row r="1867" spans="1:8" x14ac:dyDescent="0.2">
      <c r="A1867" s="19"/>
      <c r="D1867" s="6"/>
      <c r="H1867" s="6">
        <v>42025.470868055556</v>
      </c>
    </row>
    <row r="1868" spans="1:8" x14ac:dyDescent="0.2">
      <c r="D1868" s="6"/>
      <c r="H1868" s="6">
        <v>42025.470300925925</v>
      </c>
    </row>
    <row r="1869" spans="1:8" x14ac:dyDescent="0.2">
      <c r="D1869" s="6"/>
      <c r="H1869" s="6">
        <v>42025.470300925925</v>
      </c>
    </row>
    <row r="1870" spans="1:8" x14ac:dyDescent="0.2">
      <c r="D1870" s="6"/>
      <c r="H1870" s="6">
        <v>42025.470300925925</v>
      </c>
    </row>
    <row r="1871" spans="1:8" x14ac:dyDescent="0.2">
      <c r="D1871" s="6"/>
      <c r="H1871" s="6">
        <v>42025.470300925925</v>
      </c>
    </row>
    <row r="1872" spans="1:8" x14ac:dyDescent="0.2">
      <c r="D1872" s="6"/>
      <c r="H1872" s="6">
        <v>42025.470300925925</v>
      </c>
    </row>
    <row r="1873" spans="4:8" x14ac:dyDescent="0.2">
      <c r="D1873" s="6"/>
      <c r="H1873" s="6">
        <v>42025.470300925925</v>
      </c>
    </row>
    <row r="1874" spans="4:8" x14ac:dyDescent="0.2">
      <c r="D1874" s="6"/>
      <c r="H1874" s="6">
        <v>42018.755335648151</v>
      </c>
    </row>
    <row r="1875" spans="4:8" x14ac:dyDescent="0.2">
      <c r="D1875" s="6"/>
      <c r="H1875" s="6">
        <v>42018.755335648151</v>
      </c>
    </row>
    <row r="1876" spans="4:8" x14ac:dyDescent="0.2">
      <c r="D1876" s="6"/>
      <c r="H1876" s="6">
        <v>42018.755335648151</v>
      </c>
    </row>
    <row r="1877" spans="4:8" x14ac:dyDescent="0.2">
      <c r="D1877" s="6"/>
      <c r="H1877" s="6">
        <v>42018.755335648151</v>
      </c>
    </row>
    <row r="1878" spans="4:8" x14ac:dyDescent="0.2">
      <c r="D1878" s="6"/>
      <c r="H1878" s="6">
        <v>42018.755335648151</v>
      </c>
    </row>
    <row r="1879" spans="4:8" x14ac:dyDescent="0.2">
      <c r="D1879" s="6"/>
      <c r="H1879" s="6">
        <v>42018.755335648151</v>
      </c>
    </row>
    <row r="1880" spans="4:8" x14ac:dyDescent="0.2">
      <c r="D1880" s="6"/>
      <c r="H1880" s="6">
        <v>42018.755335648151</v>
      </c>
    </row>
    <row r="1881" spans="4:8" x14ac:dyDescent="0.2">
      <c r="D1881" s="6"/>
      <c r="H1881" s="6">
        <v>42018.755335648151</v>
      </c>
    </row>
    <row r="1882" spans="4:8" x14ac:dyDescent="0.2">
      <c r="D1882" s="6"/>
      <c r="H1882" s="6">
        <v>42018.755335648151</v>
      </c>
    </row>
    <row r="1883" spans="4:8" x14ac:dyDescent="0.2">
      <c r="D1883" s="6"/>
      <c r="H1883" s="6">
        <v>42018.755335648151</v>
      </c>
    </row>
    <row r="1884" spans="4:8" x14ac:dyDescent="0.2">
      <c r="D1884" s="6"/>
      <c r="H1884" s="6">
        <v>42018.755335648151</v>
      </c>
    </row>
    <row r="1885" spans="4:8" x14ac:dyDescent="0.2">
      <c r="D1885" s="6"/>
      <c r="H1885" s="6">
        <v>42018.755335648151</v>
      </c>
    </row>
    <row r="1886" spans="4:8" x14ac:dyDescent="0.2">
      <c r="D1886" s="6"/>
      <c r="H1886" s="6">
        <v>42018.755335648151</v>
      </c>
    </row>
    <row r="1887" spans="4:8" x14ac:dyDescent="0.2">
      <c r="D1887" s="6"/>
      <c r="H1887" s="6">
        <v>42018.755335648151</v>
      </c>
    </row>
    <row r="1888" spans="4:8" x14ac:dyDescent="0.2">
      <c r="D1888" s="6"/>
      <c r="H1888" s="6">
        <v>42018.755347222221</v>
      </c>
    </row>
    <row r="1889" spans="4:8" x14ac:dyDescent="0.2">
      <c r="D1889" s="6"/>
      <c r="H1889" s="6">
        <v>42018.755347222221</v>
      </c>
    </row>
    <row r="1890" spans="4:8" x14ac:dyDescent="0.2">
      <c r="D1890" s="6"/>
      <c r="H1890" s="6">
        <v>42018.755347222221</v>
      </c>
    </row>
    <row r="1891" spans="4:8" x14ac:dyDescent="0.2">
      <c r="D1891" s="6"/>
      <c r="H1891" s="6">
        <v>42018.755347222221</v>
      </c>
    </row>
    <row r="1892" spans="4:8" x14ac:dyDescent="0.2">
      <c r="D1892" s="6"/>
      <c r="H1892" s="6">
        <v>42018.755347222221</v>
      </c>
    </row>
    <row r="1893" spans="4:8" x14ac:dyDescent="0.2">
      <c r="D1893" s="6"/>
      <c r="H1893" s="6">
        <v>42018.755347222221</v>
      </c>
    </row>
    <row r="1894" spans="4:8" x14ac:dyDescent="0.2">
      <c r="D1894" s="6"/>
      <c r="H1894" s="6">
        <v>42018.757453703707</v>
      </c>
    </row>
    <row r="1895" spans="4:8" x14ac:dyDescent="0.2">
      <c r="D1895" s="6"/>
      <c r="H1895" s="6">
        <v>42018.757453703707</v>
      </c>
    </row>
    <row r="1896" spans="4:8" x14ac:dyDescent="0.2">
      <c r="D1896" s="6"/>
      <c r="H1896" s="6">
        <v>42018.757453703707</v>
      </c>
    </row>
    <row r="1897" spans="4:8" x14ac:dyDescent="0.2">
      <c r="D1897" s="6"/>
      <c r="H1897" s="6">
        <v>42018.757453703707</v>
      </c>
    </row>
    <row r="1898" spans="4:8" x14ac:dyDescent="0.2">
      <c r="D1898" s="6"/>
      <c r="H1898" s="6">
        <v>42018.757453703707</v>
      </c>
    </row>
    <row r="1899" spans="4:8" x14ac:dyDescent="0.2">
      <c r="D1899" s="6"/>
      <c r="H1899" s="6">
        <v>42018.757453703707</v>
      </c>
    </row>
    <row r="1900" spans="4:8" x14ac:dyDescent="0.2">
      <c r="D1900" s="6"/>
      <c r="H1900" s="6">
        <v>42026.5153587963</v>
      </c>
    </row>
    <row r="1901" spans="4:8" x14ac:dyDescent="0.2">
      <c r="D1901" s="6"/>
      <c r="H1901" s="6">
        <v>42026.5153587963</v>
      </c>
    </row>
    <row r="1902" spans="4:8" x14ac:dyDescent="0.2">
      <c r="D1902" s="6"/>
      <c r="H1902" s="6">
        <v>42026.5153587963</v>
      </c>
    </row>
    <row r="1903" spans="4:8" x14ac:dyDescent="0.2">
      <c r="D1903" s="6"/>
      <c r="H1903" s="6">
        <v>42026.5153587963</v>
      </c>
    </row>
    <row r="1904" spans="4:8" x14ac:dyDescent="0.2">
      <c r="D1904" s="6"/>
      <c r="H1904" s="6">
        <v>42026.515370370369</v>
      </c>
    </row>
    <row r="1905" spans="4:8" x14ac:dyDescent="0.2">
      <c r="D1905" s="6"/>
      <c r="H1905" s="6">
        <v>42026.515370370369</v>
      </c>
    </row>
    <row r="1906" spans="4:8" x14ac:dyDescent="0.2">
      <c r="D1906" s="6"/>
      <c r="H1906" s="6">
        <v>42026.515370370369</v>
      </c>
    </row>
    <row r="1907" spans="4:8" x14ac:dyDescent="0.2">
      <c r="D1907" s="6"/>
      <c r="H1907" s="6">
        <v>42026.515370370369</v>
      </c>
    </row>
    <row r="1908" spans="4:8" x14ac:dyDescent="0.2">
      <c r="D1908" s="6"/>
      <c r="H1908" s="6">
        <v>42026.515370370369</v>
      </c>
    </row>
    <row r="1909" spans="4:8" x14ac:dyDescent="0.2">
      <c r="D1909" s="6"/>
      <c r="H1909" s="6">
        <v>42026.515381944446</v>
      </c>
    </row>
    <row r="1910" spans="4:8" x14ac:dyDescent="0.2">
      <c r="D1910" s="6"/>
      <c r="H1910" s="6">
        <v>42026.515381944446</v>
      </c>
    </row>
    <row r="1911" spans="4:8" x14ac:dyDescent="0.2">
      <c r="D1911" s="6"/>
      <c r="H1911" s="6">
        <v>42026.515381944446</v>
      </c>
    </row>
    <row r="1912" spans="4:8" x14ac:dyDescent="0.2">
      <c r="D1912" s="6"/>
      <c r="H1912" s="6">
        <v>42026.515381944446</v>
      </c>
    </row>
    <row r="1913" spans="4:8" x14ac:dyDescent="0.2">
      <c r="D1913" s="6"/>
      <c r="H1913" s="6">
        <v>42026.515393518515</v>
      </c>
    </row>
    <row r="1914" spans="4:8" x14ac:dyDescent="0.2">
      <c r="D1914" s="6"/>
      <c r="H1914" s="6">
        <v>42026.515393518515</v>
      </c>
    </row>
    <row r="1915" spans="4:8" x14ac:dyDescent="0.2">
      <c r="D1915" s="6"/>
      <c r="H1915" s="6">
        <v>42026.515393518515</v>
      </c>
    </row>
    <row r="1916" spans="4:8" x14ac:dyDescent="0.2">
      <c r="D1916" s="6"/>
      <c r="H1916" s="6">
        <v>42026.515405092592</v>
      </c>
    </row>
    <row r="1917" spans="4:8" x14ac:dyDescent="0.2">
      <c r="D1917" s="6"/>
      <c r="H1917" s="6">
        <v>42026.515405092592</v>
      </c>
    </row>
    <row r="1918" spans="4:8" x14ac:dyDescent="0.2">
      <c r="D1918" s="6"/>
      <c r="H1918" s="6">
        <v>42026.515405092592</v>
      </c>
    </row>
    <row r="1919" spans="4:8" x14ac:dyDescent="0.2">
      <c r="D1919" s="6"/>
      <c r="H1919" s="6">
        <v>42026.515405092592</v>
      </c>
    </row>
    <row r="1920" spans="4:8" x14ac:dyDescent="0.2">
      <c r="D1920" s="6"/>
      <c r="H1920" s="6">
        <v>42026.515416666669</v>
      </c>
    </row>
    <row r="1921" spans="4:8" x14ac:dyDescent="0.2">
      <c r="D1921" s="6"/>
      <c r="H1921" s="6">
        <v>42026.515416666669</v>
      </c>
    </row>
    <row r="1922" spans="4:8" x14ac:dyDescent="0.2">
      <c r="D1922" s="6"/>
      <c r="H1922" s="6">
        <v>42026.515416666669</v>
      </c>
    </row>
    <row r="1923" spans="4:8" x14ac:dyDescent="0.2">
      <c r="D1923" s="6"/>
      <c r="H1923" s="6">
        <v>42026.515416666669</v>
      </c>
    </row>
    <row r="1924" spans="4:8" x14ac:dyDescent="0.2">
      <c r="D1924" s="6"/>
      <c r="H1924" s="6">
        <v>42026.515416666669</v>
      </c>
    </row>
    <row r="1925" spans="4:8" x14ac:dyDescent="0.2">
      <c r="D1925" s="6"/>
      <c r="H1925" s="6">
        <v>42026.515416666669</v>
      </c>
    </row>
    <row r="1926" spans="4:8" x14ac:dyDescent="0.2">
      <c r="D1926" s="6"/>
      <c r="H1926" s="6">
        <v>42025.471770833334</v>
      </c>
    </row>
    <row r="1927" spans="4:8" x14ac:dyDescent="0.2">
      <c r="D1927" s="6"/>
      <c r="H1927" s="6">
        <v>42025.471770833334</v>
      </c>
    </row>
    <row r="1928" spans="4:8" x14ac:dyDescent="0.2">
      <c r="D1928" s="6"/>
      <c r="H1928" s="6">
        <v>42025.471770833334</v>
      </c>
    </row>
    <row r="1929" spans="4:8" x14ac:dyDescent="0.2">
      <c r="D1929" s="6"/>
      <c r="H1929" s="6">
        <v>42025.471770833334</v>
      </c>
    </row>
    <row r="1930" spans="4:8" x14ac:dyDescent="0.2">
      <c r="D1930" s="6"/>
      <c r="H1930" s="6">
        <v>42025.471770833334</v>
      </c>
    </row>
    <row r="1931" spans="4:8" x14ac:dyDescent="0.2">
      <c r="D1931" s="6"/>
      <c r="H1931" s="6">
        <v>42025.471770833334</v>
      </c>
    </row>
    <row r="1932" spans="4:8" x14ac:dyDescent="0.2">
      <c r="D1932" s="6"/>
      <c r="H1932" s="6">
        <v>42025.471770833334</v>
      </c>
    </row>
    <row r="1933" spans="4:8" x14ac:dyDescent="0.2">
      <c r="D1933" s="6"/>
      <c r="H1933" s="6">
        <v>42025.471770833334</v>
      </c>
    </row>
    <row r="1934" spans="4:8" x14ac:dyDescent="0.2">
      <c r="D1934" s="6"/>
      <c r="H1934" s="6">
        <v>42025.471770833334</v>
      </c>
    </row>
    <row r="1935" spans="4:8" x14ac:dyDescent="0.2">
      <c r="D1935" s="6"/>
      <c r="H1935" s="6">
        <v>42025.471770833334</v>
      </c>
    </row>
    <row r="1936" spans="4:8" x14ac:dyDescent="0.2">
      <c r="D1936" s="6"/>
      <c r="H1936" s="6">
        <v>42025.471770833334</v>
      </c>
    </row>
    <row r="1937" spans="4:8" x14ac:dyDescent="0.2">
      <c r="D1937" s="6"/>
      <c r="H1937" s="6">
        <v>42025.471770833334</v>
      </c>
    </row>
    <row r="1938" spans="4:8" x14ac:dyDescent="0.2">
      <c r="D1938" s="6"/>
      <c r="H1938" s="6">
        <v>42025.471782407411</v>
      </c>
    </row>
    <row r="1939" spans="4:8" x14ac:dyDescent="0.2">
      <c r="D1939" s="6"/>
      <c r="H1939" s="6">
        <v>42025.471782407411</v>
      </c>
    </row>
    <row r="1940" spans="4:8" x14ac:dyDescent="0.2">
      <c r="D1940" s="6"/>
      <c r="H1940" s="6">
        <v>42025.471782407411</v>
      </c>
    </row>
    <row r="1941" spans="4:8" x14ac:dyDescent="0.2">
      <c r="D1941" s="6"/>
      <c r="H1941" s="6">
        <v>42025.471782407411</v>
      </c>
    </row>
    <row r="1942" spans="4:8" x14ac:dyDescent="0.2">
      <c r="D1942" s="6"/>
      <c r="H1942" s="6">
        <v>42025.471782407411</v>
      </c>
    </row>
    <row r="1943" spans="4:8" x14ac:dyDescent="0.2">
      <c r="D1943" s="6"/>
      <c r="H1943" s="6">
        <v>42025.471782407411</v>
      </c>
    </row>
    <row r="1944" spans="4:8" x14ac:dyDescent="0.2">
      <c r="D1944" s="6"/>
      <c r="H1944" s="6">
        <v>42025.471782407411</v>
      </c>
    </row>
    <row r="1945" spans="4:8" x14ac:dyDescent="0.2">
      <c r="D1945" s="6"/>
      <c r="H1945" s="6">
        <v>42025.471782407411</v>
      </c>
    </row>
    <row r="1946" spans="4:8" x14ac:dyDescent="0.2">
      <c r="D1946" s="6"/>
      <c r="H1946" s="6">
        <v>42068.756168981483</v>
      </c>
    </row>
    <row r="1947" spans="4:8" x14ac:dyDescent="0.2">
      <c r="D1947" s="6"/>
      <c r="H1947" s="6">
        <v>42068.755277777775</v>
      </c>
    </row>
    <row r="1948" spans="4:8" x14ac:dyDescent="0.2">
      <c r="D1948" s="6"/>
      <c r="H1948" s="6">
        <v>42068.755648148152</v>
      </c>
    </row>
    <row r="1949" spans="4:8" x14ac:dyDescent="0.2">
      <c r="D1949" s="6"/>
      <c r="H1949" s="6">
        <v>42025.47179398148</v>
      </c>
    </row>
    <row r="1950" spans="4:8" x14ac:dyDescent="0.2">
      <c r="D1950" s="6"/>
      <c r="H1950" s="6">
        <v>42025.47179398148</v>
      </c>
    </row>
    <row r="1951" spans="4:8" x14ac:dyDescent="0.2">
      <c r="D1951" s="6"/>
      <c r="H1951" s="6">
        <v>42025.47179398148</v>
      </c>
    </row>
    <row r="1952" spans="4:8" x14ac:dyDescent="0.2">
      <c r="D1952" s="6"/>
      <c r="H1952" s="6">
        <v>42025.47179398148</v>
      </c>
    </row>
    <row r="1953" spans="4:8" x14ac:dyDescent="0.2">
      <c r="D1953" s="6"/>
      <c r="H1953" s="6">
        <v>42025.47179398148</v>
      </c>
    </row>
    <row r="1954" spans="4:8" x14ac:dyDescent="0.2">
      <c r="D1954" s="6"/>
      <c r="H1954" s="6">
        <v>42025.47179398148</v>
      </c>
    </row>
    <row r="1955" spans="4:8" x14ac:dyDescent="0.2">
      <c r="D1955" s="6"/>
      <c r="H1955" s="6">
        <v>42025.476030092592</v>
      </c>
    </row>
    <row r="1956" spans="4:8" x14ac:dyDescent="0.2">
      <c r="D1956" s="6"/>
      <c r="H1956" s="6">
        <v>42025.476030092592</v>
      </c>
    </row>
    <row r="1957" spans="4:8" x14ac:dyDescent="0.2">
      <c r="D1957" s="6"/>
      <c r="H1957" s="6">
        <v>42025.476030092592</v>
      </c>
    </row>
    <row r="1958" spans="4:8" x14ac:dyDescent="0.2">
      <c r="D1958" s="6"/>
      <c r="H1958" s="6">
        <v>42025.476030092592</v>
      </c>
    </row>
    <row r="1959" spans="4:8" x14ac:dyDescent="0.2">
      <c r="D1959" s="6"/>
      <c r="H1959" s="6">
        <v>42025.476030092592</v>
      </c>
    </row>
    <row r="1960" spans="4:8" x14ac:dyDescent="0.2">
      <c r="D1960" s="6"/>
      <c r="H1960" s="6">
        <v>42025.476030092592</v>
      </c>
    </row>
    <row r="1961" spans="4:8" x14ac:dyDescent="0.2">
      <c r="D1961" s="6"/>
      <c r="H1961" s="6">
        <v>42025.476041666669</v>
      </c>
    </row>
    <row r="1962" spans="4:8" x14ac:dyDescent="0.2">
      <c r="D1962" s="6"/>
      <c r="H1962" s="6">
        <v>42025.476041666669</v>
      </c>
    </row>
    <row r="1963" spans="4:8" x14ac:dyDescent="0.2">
      <c r="D1963" s="6"/>
      <c r="H1963" s="6">
        <v>42025.476041666669</v>
      </c>
    </row>
    <row r="1964" spans="4:8" x14ac:dyDescent="0.2">
      <c r="D1964" s="6"/>
      <c r="H1964" s="6">
        <v>42025.476041666669</v>
      </c>
    </row>
    <row r="1965" spans="4:8" x14ac:dyDescent="0.2">
      <c r="D1965" s="6"/>
      <c r="H1965" s="6">
        <v>42025.476041666669</v>
      </c>
    </row>
    <row r="1966" spans="4:8" x14ac:dyDescent="0.2">
      <c r="D1966" s="6"/>
      <c r="H1966" s="6">
        <v>42025.476041666669</v>
      </c>
    </row>
    <row r="1967" spans="4:8" x14ac:dyDescent="0.2">
      <c r="D1967" s="6"/>
      <c r="H1967" s="6">
        <v>42289.593900462962</v>
      </c>
    </row>
    <row r="1968" spans="4:8" x14ac:dyDescent="0.2">
      <c r="D1968" s="6"/>
      <c r="H1968" s="6">
        <v>42289.687893518516</v>
      </c>
    </row>
    <row r="1969" spans="4:8" x14ac:dyDescent="0.2">
      <c r="D1969" s="6"/>
      <c r="H1969" s="6">
        <v>42290.456307870372</v>
      </c>
    </row>
    <row r="1970" spans="4:8" x14ac:dyDescent="0.2">
      <c r="D1970" s="6"/>
      <c r="H1970" s="6">
        <v>42025.476041666669</v>
      </c>
    </row>
    <row r="1971" spans="4:8" x14ac:dyDescent="0.2">
      <c r="D1971" s="6"/>
      <c r="H1971" s="6">
        <v>42025.476041666669</v>
      </c>
    </row>
    <row r="1972" spans="4:8" x14ac:dyDescent="0.2">
      <c r="D1972" s="6"/>
      <c r="H1972" s="6">
        <v>42025.476053240738</v>
      </c>
    </row>
    <row r="1973" spans="4:8" x14ac:dyDescent="0.2">
      <c r="D1973" s="6"/>
      <c r="H1973" s="6">
        <v>42025.476053240738</v>
      </c>
    </row>
    <row r="1974" spans="4:8" x14ac:dyDescent="0.2">
      <c r="D1974" s="6"/>
      <c r="H1974" s="6">
        <v>42025.476053240738</v>
      </c>
    </row>
    <row r="1975" spans="4:8" x14ac:dyDescent="0.2">
      <c r="D1975" s="6"/>
      <c r="H1975" s="6">
        <v>42025.476053240738</v>
      </c>
    </row>
    <row r="1976" spans="4:8" x14ac:dyDescent="0.2">
      <c r="D1976" s="6"/>
      <c r="H1976" s="6">
        <v>42025.476053240738</v>
      </c>
    </row>
    <row r="1977" spans="4:8" x14ac:dyDescent="0.2">
      <c r="D1977" s="6"/>
      <c r="H1977" s="6">
        <v>42025.476053240738</v>
      </c>
    </row>
    <row r="1978" spans="4:8" x14ac:dyDescent="0.2">
      <c r="D1978" s="6"/>
      <c r="H1978" s="6">
        <v>42297.398217592592</v>
      </c>
    </row>
    <row r="1979" spans="4:8" x14ac:dyDescent="0.2">
      <c r="D1979" s="6"/>
      <c r="H1979" s="6">
        <v>42297.398217592592</v>
      </c>
    </row>
    <row r="1980" spans="4:8" x14ac:dyDescent="0.2">
      <c r="D1980" s="6"/>
      <c r="H1980" s="6">
        <v>42297.398217592592</v>
      </c>
    </row>
    <row r="1981" spans="4:8" x14ac:dyDescent="0.2">
      <c r="D1981" s="6"/>
      <c r="H1981" s="6">
        <v>42025.476064814815</v>
      </c>
    </row>
    <row r="1982" spans="4:8" x14ac:dyDescent="0.2">
      <c r="D1982" s="6"/>
      <c r="H1982" s="6">
        <v>42025.476064814815</v>
      </c>
    </row>
    <row r="1983" spans="4:8" x14ac:dyDescent="0.2">
      <c r="D1983" s="6"/>
      <c r="H1983" s="6">
        <v>42025.476064814815</v>
      </c>
    </row>
    <row r="1984" spans="4:8" x14ac:dyDescent="0.2">
      <c r="D1984" s="6"/>
      <c r="H1984" s="6">
        <v>42025.476064814815</v>
      </c>
    </row>
    <row r="1985" spans="4:8" x14ac:dyDescent="0.2">
      <c r="D1985" s="6"/>
      <c r="H1985" s="6">
        <v>42025.476064814815</v>
      </c>
    </row>
    <row r="1986" spans="4:8" x14ac:dyDescent="0.2">
      <c r="D1986" s="6"/>
      <c r="H1986" s="6">
        <v>42025.476064814815</v>
      </c>
    </row>
    <row r="1987" spans="4:8" x14ac:dyDescent="0.2">
      <c r="D1987" s="6"/>
      <c r="H1987" s="6">
        <v>42025.476203703707</v>
      </c>
    </row>
    <row r="1988" spans="4:8" x14ac:dyDescent="0.2">
      <c r="D1988" s="6"/>
      <c r="H1988" s="6">
        <v>42025.476203703707</v>
      </c>
    </row>
    <row r="1989" spans="4:8" x14ac:dyDescent="0.2">
      <c r="D1989" s="6"/>
      <c r="H1989" s="6">
        <v>42025.476203703707</v>
      </c>
    </row>
    <row r="1990" spans="4:8" x14ac:dyDescent="0.2">
      <c r="D1990" s="6"/>
      <c r="H1990" s="6">
        <v>42025.476203703707</v>
      </c>
    </row>
    <row r="1991" spans="4:8" x14ac:dyDescent="0.2">
      <c r="D1991" s="6"/>
      <c r="H1991" s="6">
        <v>42025.476203703707</v>
      </c>
    </row>
    <row r="1992" spans="4:8" x14ac:dyDescent="0.2">
      <c r="D1992" s="6"/>
      <c r="H1992" s="6">
        <v>42025.476203703707</v>
      </c>
    </row>
    <row r="1993" spans="4:8" x14ac:dyDescent="0.2">
      <c r="D1993" s="6"/>
      <c r="H1993" s="6">
        <v>42025.476203703707</v>
      </c>
    </row>
    <row r="1994" spans="4:8" x14ac:dyDescent="0.2">
      <c r="D1994" s="6"/>
      <c r="H1994" s="6">
        <v>42025.476203703707</v>
      </c>
    </row>
    <row r="1995" spans="4:8" x14ac:dyDescent="0.2">
      <c r="D1995" s="6"/>
      <c r="H1995" s="6">
        <v>42025.476203703707</v>
      </c>
    </row>
    <row r="1996" spans="4:8" x14ac:dyDescent="0.2">
      <c r="D1996" s="6"/>
      <c r="H1996" s="6">
        <v>42025.476203703707</v>
      </c>
    </row>
    <row r="1997" spans="4:8" x14ac:dyDescent="0.2">
      <c r="D1997" s="6"/>
      <c r="H1997" s="6">
        <v>42025.476215277777</v>
      </c>
    </row>
    <row r="1998" spans="4:8" x14ac:dyDescent="0.2">
      <c r="D1998" s="6"/>
      <c r="H1998" s="6">
        <v>42025.476215277777</v>
      </c>
    </row>
    <row r="1999" spans="4:8" x14ac:dyDescent="0.2">
      <c r="D1999" s="6"/>
      <c r="H1999" s="6">
        <v>42025.476215277777</v>
      </c>
    </row>
    <row r="2000" spans="4:8" x14ac:dyDescent="0.2">
      <c r="D2000" s="6"/>
      <c r="H2000" s="6">
        <v>42025.476215277777</v>
      </c>
    </row>
    <row r="2001" spans="4:8" x14ac:dyDescent="0.2">
      <c r="D2001" s="6"/>
      <c r="H2001" s="6">
        <v>42025.476215277777</v>
      </c>
    </row>
    <row r="2002" spans="4:8" x14ac:dyDescent="0.2">
      <c r="D2002" s="6"/>
      <c r="H2002" s="6">
        <v>42025.476215277777</v>
      </c>
    </row>
    <row r="2003" spans="4:8" x14ac:dyDescent="0.2">
      <c r="D2003" s="6"/>
      <c r="H2003" s="6">
        <v>42025.476215277777</v>
      </c>
    </row>
    <row r="2004" spans="4:8" x14ac:dyDescent="0.2">
      <c r="D2004" s="6"/>
      <c r="H2004" s="6">
        <v>42025.476215277777</v>
      </c>
    </row>
    <row r="2005" spans="4:8" x14ac:dyDescent="0.2">
      <c r="D2005" s="6"/>
      <c r="H2005" s="6">
        <v>42025.476215277777</v>
      </c>
    </row>
    <row r="2006" spans="4:8" x14ac:dyDescent="0.2">
      <c r="D2006" s="6"/>
      <c r="H2006" s="6">
        <v>42025.476215277777</v>
      </c>
    </row>
    <row r="2007" spans="4:8" x14ac:dyDescent="0.2">
      <c r="D2007" s="6"/>
      <c r="H2007" s="6">
        <v>42025.476226851853</v>
      </c>
    </row>
    <row r="2008" spans="4:8" x14ac:dyDescent="0.2">
      <c r="D2008" s="6"/>
      <c r="H2008" s="6">
        <v>42025.476226851853</v>
      </c>
    </row>
    <row r="2009" spans="4:8" x14ac:dyDescent="0.2">
      <c r="D2009" s="6"/>
      <c r="H2009" s="6">
        <v>42025.476226851853</v>
      </c>
    </row>
    <row r="2010" spans="4:8" x14ac:dyDescent="0.2">
      <c r="D2010" s="6"/>
      <c r="H2010" s="6">
        <v>42025.476226851853</v>
      </c>
    </row>
    <row r="2011" spans="4:8" x14ac:dyDescent="0.2">
      <c r="D2011" s="6"/>
      <c r="H2011" s="6">
        <v>42025.476226851853</v>
      </c>
    </row>
    <row r="2012" spans="4:8" x14ac:dyDescent="0.2">
      <c r="D2012" s="6"/>
      <c r="H2012" s="6">
        <v>42025.476226851853</v>
      </c>
    </row>
    <row r="2013" spans="4:8" x14ac:dyDescent="0.2">
      <c r="D2013" s="6"/>
      <c r="H2013" s="6">
        <v>42123.429710648146</v>
      </c>
    </row>
    <row r="2014" spans="4:8" x14ac:dyDescent="0.2">
      <c r="D2014" s="6"/>
      <c r="H2014" s="6">
        <v>42123.427141203705</v>
      </c>
    </row>
    <row r="2015" spans="4:8" x14ac:dyDescent="0.2">
      <c r="D2015" s="6"/>
      <c r="H2015" s="6">
        <v>42178.618159722224</v>
      </c>
    </row>
    <row r="2016" spans="4:8" x14ac:dyDescent="0.2">
      <c r="D2016" s="6"/>
      <c r="H2016" s="6">
        <v>42178.619768518518</v>
      </c>
    </row>
    <row r="2017" spans="4:8" x14ac:dyDescent="0.2">
      <c r="D2017" s="6"/>
      <c r="H2017" s="6">
        <v>42025.476400462961</v>
      </c>
    </row>
    <row r="2018" spans="4:8" x14ac:dyDescent="0.2">
      <c r="D2018" s="6"/>
      <c r="H2018" s="6">
        <v>42025.476400462961</v>
      </c>
    </row>
    <row r="2019" spans="4:8" x14ac:dyDescent="0.2">
      <c r="D2019" s="6"/>
      <c r="H2019" s="6">
        <v>42025.476400462961</v>
      </c>
    </row>
    <row r="2020" spans="4:8" x14ac:dyDescent="0.2">
      <c r="D2020" s="6"/>
      <c r="H2020" s="6">
        <v>42025.476412037038</v>
      </c>
    </row>
    <row r="2021" spans="4:8" x14ac:dyDescent="0.2">
      <c r="D2021" s="6"/>
      <c r="H2021" s="6">
        <v>42025.476412037038</v>
      </c>
    </row>
    <row r="2022" spans="4:8" x14ac:dyDescent="0.2">
      <c r="D2022" s="6"/>
      <c r="H2022" s="6">
        <v>42025.476412037038</v>
      </c>
    </row>
    <row r="2023" spans="4:8" x14ac:dyDescent="0.2">
      <c r="D2023" s="6"/>
      <c r="H2023" s="6">
        <v>42025.476412037038</v>
      </c>
    </row>
    <row r="2024" spans="4:8" x14ac:dyDescent="0.2">
      <c r="D2024" s="6"/>
      <c r="H2024" s="6">
        <v>42025.476412037038</v>
      </c>
    </row>
    <row r="2025" spans="4:8" x14ac:dyDescent="0.2">
      <c r="D2025" s="6"/>
      <c r="H2025" s="6">
        <v>42025.476412037038</v>
      </c>
    </row>
    <row r="2026" spans="4:8" x14ac:dyDescent="0.2">
      <c r="D2026" s="6"/>
      <c r="H2026" s="6">
        <v>42025.476412037038</v>
      </c>
    </row>
    <row r="2027" spans="4:8" x14ac:dyDescent="0.2">
      <c r="D2027" s="6"/>
      <c r="H2027" s="6">
        <v>42025.476412037038</v>
      </c>
    </row>
    <row r="2028" spans="4:8" x14ac:dyDescent="0.2">
      <c r="D2028" s="6"/>
      <c r="H2028" s="6">
        <v>42327.776145833333</v>
      </c>
    </row>
    <row r="2029" spans="4:8" x14ac:dyDescent="0.2">
      <c r="D2029" s="6"/>
      <c r="H2029" s="6">
        <v>42025.476412037038</v>
      </c>
    </row>
    <row r="2030" spans="4:8" x14ac:dyDescent="0.2">
      <c r="D2030" s="6"/>
      <c r="H2030" s="6">
        <v>42362.437615740739</v>
      </c>
    </row>
    <row r="2031" spans="4:8" x14ac:dyDescent="0.2">
      <c r="D2031" s="6"/>
      <c r="H2031" s="6">
        <v>42283.720694444448</v>
      </c>
    </row>
    <row r="2032" spans="4:8" x14ac:dyDescent="0.2">
      <c r="D2032" s="6"/>
      <c r="H2032" s="6">
        <v>42283.700648148151</v>
      </c>
    </row>
    <row r="2033" spans="4:8" x14ac:dyDescent="0.2">
      <c r="D2033" s="6"/>
      <c r="H2033" s="6">
        <v>42289.524722222224</v>
      </c>
    </row>
    <row r="2034" spans="4:8" x14ac:dyDescent="0.2">
      <c r="D2034" s="6"/>
      <c r="H2034" s="6">
        <v>42290.623148148145</v>
      </c>
    </row>
    <row r="2035" spans="4:8" x14ac:dyDescent="0.2">
      <c r="D2035" s="6"/>
      <c r="H2035" s="6">
        <v>42290.64335648148</v>
      </c>
    </row>
    <row r="2036" spans="4:8" x14ac:dyDescent="0.2">
      <c r="D2036" s="6"/>
      <c r="H2036" s="6">
        <v>42289.523263888892</v>
      </c>
    </row>
    <row r="2037" spans="4:8" x14ac:dyDescent="0.2">
      <c r="D2037" s="6"/>
      <c r="H2037" s="6">
        <v>42283.525324074071</v>
      </c>
    </row>
    <row r="2038" spans="4:8" x14ac:dyDescent="0.2">
      <c r="D2038" s="6"/>
      <c r="H2038" s="6">
        <v>42293.672997685186</v>
      </c>
    </row>
    <row r="2039" spans="4:8" x14ac:dyDescent="0.2">
      <c r="D2039" s="6"/>
      <c r="H2039" s="6">
        <v>42290.642210648148</v>
      </c>
    </row>
    <row r="2040" spans="4:8" x14ac:dyDescent="0.2">
      <c r="D2040" s="6"/>
      <c r="H2040" s="6">
        <v>42293.679629629631</v>
      </c>
    </row>
    <row r="2041" spans="4:8" x14ac:dyDescent="0.2">
      <c r="D2041" s="6"/>
      <c r="H2041" s="6">
        <v>42283.523321759261</v>
      </c>
    </row>
    <row r="2042" spans="4:8" x14ac:dyDescent="0.2">
      <c r="D2042" s="6"/>
      <c r="H2042" s="6">
        <v>42290.510081018518</v>
      </c>
    </row>
    <row r="2043" spans="4:8" x14ac:dyDescent="0.2">
      <c r="D2043" s="6"/>
      <c r="H2043" s="6">
        <v>42290.595381944448</v>
      </c>
    </row>
    <row r="2044" spans="4:8" x14ac:dyDescent="0.2">
      <c r="D2044" s="6"/>
      <c r="H2044" s="6">
        <v>42290.600162037037</v>
      </c>
    </row>
    <row r="2045" spans="4:8" x14ac:dyDescent="0.2">
      <c r="D2045" s="6"/>
      <c r="H2045" s="6">
        <v>42293.694641203707</v>
      </c>
    </row>
    <row r="2046" spans="4:8" x14ac:dyDescent="0.2">
      <c r="D2046" s="6"/>
      <c r="H2046" s="6">
        <v>42293.713923611111</v>
      </c>
    </row>
    <row r="2047" spans="4:8" x14ac:dyDescent="0.2">
      <c r="D2047" s="6"/>
      <c r="H2047" s="6">
        <v>42293.711851851855</v>
      </c>
    </row>
    <row r="2048" spans="4:8" x14ac:dyDescent="0.2">
      <c r="D2048" s="6"/>
      <c r="H2048" s="6">
        <v>42293.715983796297</v>
      </c>
    </row>
    <row r="2049" spans="4:8" x14ac:dyDescent="0.2">
      <c r="D2049" s="6"/>
      <c r="H2049" s="6">
        <v>42296.389710648145</v>
      </c>
    </row>
    <row r="2050" spans="4:8" x14ac:dyDescent="0.2">
      <c r="D2050" s="6"/>
      <c r="H2050" s="6">
        <v>42290.739479166667</v>
      </c>
    </row>
    <row r="2051" spans="4:8" x14ac:dyDescent="0.2">
      <c r="D2051" s="6"/>
      <c r="H2051" s="6">
        <v>42291.384432870371</v>
      </c>
    </row>
    <row r="2052" spans="4:8" x14ac:dyDescent="0.2">
      <c r="D2052" s="6"/>
      <c r="H2052" s="6">
        <v>42291.384432870371</v>
      </c>
    </row>
    <row r="2053" spans="4:8" x14ac:dyDescent="0.2">
      <c r="D2053" s="6"/>
      <c r="H2053" s="6">
        <v>42291.384432870371</v>
      </c>
    </row>
    <row r="2054" spans="4:8" x14ac:dyDescent="0.2">
      <c r="D2054" s="6"/>
      <c r="H2054" s="6">
        <v>42025.476412037038</v>
      </c>
    </row>
    <row r="2055" spans="4:8" x14ac:dyDescent="0.2">
      <c r="D2055" s="6"/>
      <c r="H2055" s="6">
        <v>42025.476423611108</v>
      </c>
    </row>
    <row r="2056" spans="4:8" x14ac:dyDescent="0.2">
      <c r="D2056" s="6"/>
      <c r="H2056" s="6">
        <v>42025.476423611108</v>
      </c>
    </row>
    <row r="2057" spans="4:8" x14ac:dyDescent="0.2">
      <c r="D2057" s="6"/>
      <c r="H2057" s="6">
        <v>42025.476423611108</v>
      </c>
    </row>
    <row r="2058" spans="4:8" x14ac:dyDescent="0.2">
      <c r="D2058" s="6"/>
      <c r="H2058" s="6">
        <v>42178.604189814818</v>
      </c>
    </row>
    <row r="2059" spans="4:8" x14ac:dyDescent="0.2">
      <c r="D2059" s="6"/>
      <c r="H2059" s="6">
        <v>42025.476423611108</v>
      </c>
    </row>
    <row r="2060" spans="4:8" x14ac:dyDescent="0.2">
      <c r="D2060" s="6"/>
      <c r="H2060" s="6">
        <v>42025.476423611108</v>
      </c>
    </row>
    <row r="2061" spans="4:8" x14ac:dyDescent="0.2">
      <c r="D2061" s="6"/>
      <c r="H2061" s="6">
        <v>42167.357187499998</v>
      </c>
    </row>
    <row r="2062" spans="4:8" x14ac:dyDescent="0.2">
      <c r="D2062" s="6"/>
      <c r="H2062" s="6">
        <v>42025.476423611108</v>
      </c>
    </row>
    <row r="2063" spans="4:8" x14ac:dyDescent="0.2">
      <c r="D2063" s="6"/>
      <c r="H2063" s="6">
        <v>42025.476423611108</v>
      </c>
    </row>
    <row r="2064" spans="4:8" x14ac:dyDescent="0.2">
      <c r="D2064" s="6"/>
      <c r="H2064" s="6">
        <v>42025.476423611108</v>
      </c>
    </row>
    <row r="2065" spans="4:8" x14ac:dyDescent="0.2">
      <c r="D2065" s="6"/>
      <c r="H2065" s="6">
        <v>42025.476423611108</v>
      </c>
    </row>
    <row r="2066" spans="4:8" x14ac:dyDescent="0.2">
      <c r="D2066" s="6"/>
      <c r="H2066" s="6">
        <v>42025.476423611108</v>
      </c>
    </row>
    <row r="2067" spans="4:8" x14ac:dyDescent="0.2">
      <c r="D2067" s="6"/>
      <c r="H2067" s="6">
        <v>42025.476423611108</v>
      </c>
    </row>
    <row r="2068" spans="4:8" x14ac:dyDescent="0.2">
      <c r="D2068" s="6"/>
      <c r="H2068" s="6">
        <v>42025.476423611108</v>
      </c>
    </row>
    <row r="2069" spans="4:8" x14ac:dyDescent="0.2">
      <c r="D2069" s="6"/>
      <c r="H2069" s="6">
        <v>42025.476423611108</v>
      </c>
    </row>
    <row r="2070" spans="4:8" x14ac:dyDescent="0.2">
      <c r="D2070" s="6"/>
      <c r="H2070" s="6">
        <v>42025.476423611108</v>
      </c>
    </row>
    <row r="2071" spans="4:8" x14ac:dyDescent="0.2">
      <c r="D2071" s="6"/>
      <c r="H2071" s="6">
        <v>42025.476423611108</v>
      </c>
    </row>
    <row r="2072" spans="4:8" x14ac:dyDescent="0.2">
      <c r="D2072" s="6"/>
      <c r="H2072" s="6">
        <v>42286.518333333333</v>
      </c>
    </row>
    <row r="2073" spans="4:8" x14ac:dyDescent="0.2">
      <c r="D2073" s="6"/>
      <c r="H2073" s="6">
        <v>42286.517731481479</v>
      </c>
    </row>
    <row r="2074" spans="4:8" x14ac:dyDescent="0.2">
      <c r="D2074" s="6"/>
      <c r="H2074" s="6">
        <v>42286.502615740741</v>
      </c>
    </row>
    <row r="2075" spans="4:8" x14ac:dyDescent="0.2">
      <c r="D2075" s="6"/>
      <c r="H2075" s="6">
        <v>42286.440625000003</v>
      </c>
    </row>
    <row r="2076" spans="4:8" x14ac:dyDescent="0.2">
      <c r="D2076" s="6"/>
      <c r="H2076" s="6">
        <v>42083.469641203701</v>
      </c>
    </row>
    <row r="2077" spans="4:8" x14ac:dyDescent="0.2">
      <c r="D2077" s="6"/>
      <c r="H2077" s="6">
        <v>42083.518437500003</v>
      </c>
    </row>
    <row r="2078" spans="4:8" x14ac:dyDescent="0.2">
      <c r="D2078" s="6"/>
      <c r="H2078" s="6">
        <v>42286.432627314818</v>
      </c>
    </row>
    <row r="2079" spans="4:8" x14ac:dyDescent="0.2">
      <c r="D2079" s="6"/>
      <c r="H2079" s="6">
        <v>42025.476423611108</v>
      </c>
    </row>
    <row r="2080" spans="4:8" x14ac:dyDescent="0.2">
      <c r="D2080" s="6"/>
      <c r="H2080" s="6">
        <v>42423.44871527778</v>
      </c>
    </row>
    <row r="2081" spans="4:8" x14ac:dyDescent="0.2">
      <c r="D2081" s="6"/>
      <c r="H2081" s="6">
        <v>42423.469363425924</v>
      </c>
    </row>
    <row r="2082" spans="4:8" x14ac:dyDescent="0.2">
      <c r="D2082" s="6"/>
      <c r="H2082" s="6">
        <v>42025.476423611108</v>
      </c>
    </row>
    <row r="2083" spans="4:8" x14ac:dyDescent="0.2">
      <c r="D2083" s="6"/>
      <c r="H2083" s="6">
        <v>42025.476423611108</v>
      </c>
    </row>
    <row r="2084" spans="4:8" x14ac:dyDescent="0.2">
      <c r="D2084" s="6"/>
      <c r="H2084" s="6">
        <v>42025.476435185185</v>
      </c>
    </row>
    <row r="2085" spans="4:8" x14ac:dyDescent="0.2">
      <c r="D2085" s="6"/>
      <c r="H2085" s="6">
        <v>42025.476435185185</v>
      </c>
    </row>
    <row r="2086" spans="4:8" x14ac:dyDescent="0.2">
      <c r="D2086" s="6"/>
      <c r="H2086" s="6">
        <v>42025.476435185185</v>
      </c>
    </row>
    <row r="2087" spans="4:8" x14ac:dyDescent="0.2">
      <c r="D2087" s="6"/>
      <c r="H2087" s="6">
        <v>42025.476550925923</v>
      </c>
    </row>
    <row r="2088" spans="4:8" x14ac:dyDescent="0.2">
      <c r="D2088" s="6"/>
      <c r="H2088" s="6">
        <v>42025.476550925923</v>
      </c>
    </row>
    <row r="2089" spans="4:8" x14ac:dyDescent="0.2">
      <c r="D2089" s="6"/>
      <c r="H2089" s="6">
        <v>42025.476550925923</v>
      </c>
    </row>
    <row r="2090" spans="4:8" x14ac:dyDescent="0.2">
      <c r="D2090" s="6"/>
      <c r="H2090" s="6">
        <v>42025.476550925923</v>
      </c>
    </row>
    <row r="2091" spans="4:8" x14ac:dyDescent="0.2">
      <c r="D2091" s="6"/>
      <c r="H2091" s="6">
        <v>42025.4765625</v>
      </c>
    </row>
    <row r="2092" spans="4:8" x14ac:dyDescent="0.2">
      <c r="D2092" s="6"/>
      <c r="H2092" s="6">
        <v>42025.4765625</v>
      </c>
    </row>
    <row r="2093" spans="4:8" x14ac:dyDescent="0.2">
      <c r="D2093" s="6"/>
      <c r="H2093" s="6">
        <v>42025.4765625</v>
      </c>
    </row>
    <row r="2094" spans="4:8" x14ac:dyDescent="0.2">
      <c r="D2094" s="6"/>
      <c r="H2094" s="6">
        <v>42025.4765625</v>
      </c>
    </row>
    <row r="2095" spans="4:8" x14ac:dyDescent="0.2">
      <c r="D2095" s="6"/>
      <c r="H2095" s="6">
        <v>42025.4765625</v>
      </c>
    </row>
    <row r="2096" spans="4:8" x14ac:dyDescent="0.2">
      <c r="D2096" s="6"/>
      <c r="H2096" s="6">
        <v>42025.4765625</v>
      </c>
    </row>
    <row r="2097" spans="4:8" x14ac:dyDescent="0.2">
      <c r="D2097" s="6"/>
      <c r="H2097" s="6">
        <v>42025.4765625</v>
      </c>
    </row>
    <row r="2098" spans="4:8" x14ac:dyDescent="0.2">
      <c r="D2098" s="6"/>
      <c r="H2098" s="6">
        <v>42025.4765625</v>
      </c>
    </row>
    <row r="2099" spans="4:8" x14ac:dyDescent="0.2">
      <c r="D2099" s="6"/>
      <c r="H2099" s="6">
        <v>42025.4765625</v>
      </c>
    </row>
    <row r="2100" spans="4:8" x14ac:dyDescent="0.2">
      <c r="D2100" s="6"/>
      <c r="H2100" s="6">
        <v>42025.4765625</v>
      </c>
    </row>
    <row r="2101" spans="4:8" x14ac:dyDescent="0.2">
      <c r="D2101" s="6"/>
      <c r="H2101" s="6">
        <v>42025.476574074077</v>
      </c>
    </row>
    <row r="2102" spans="4:8" x14ac:dyDescent="0.2">
      <c r="D2102" s="6"/>
      <c r="H2102" s="6">
        <v>42025.476574074077</v>
      </c>
    </row>
    <row r="2103" spans="4:8" x14ac:dyDescent="0.2">
      <c r="D2103" s="6"/>
      <c r="H2103" s="6">
        <v>42025.476574074077</v>
      </c>
    </row>
    <row r="2104" spans="4:8" x14ac:dyDescent="0.2">
      <c r="D2104" s="6"/>
      <c r="H2104" s="6">
        <v>42025.476574074077</v>
      </c>
    </row>
    <row r="2105" spans="4:8" x14ac:dyDescent="0.2">
      <c r="D2105" s="6"/>
      <c r="H2105" s="6">
        <v>42025.476574074077</v>
      </c>
    </row>
    <row r="2106" spans="4:8" x14ac:dyDescent="0.2">
      <c r="D2106" s="6"/>
      <c r="H2106" s="6">
        <v>42025.476574074077</v>
      </c>
    </row>
    <row r="2107" spans="4:8" x14ac:dyDescent="0.2">
      <c r="D2107" s="6"/>
      <c r="H2107" s="6">
        <v>42025.476574074077</v>
      </c>
    </row>
    <row r="2108" spans="4:8" x14ac:dyDescent="0.2">
      <c r="D2108" s="6"/>
      <c r="H2108" s="6">
        <v>42025.476574074077</v>
      </c>
    </row>
    <row r="2109" spans="4:8" x14ac:dyDescent="0.2">
      <c r="D2109" s="6"/>
      <c r="H2109" s="6">
        <v>42025.476574074077</v>
      </c>
    </row>
    <row r="2110" spans="4:8" x14ac:dyDescent="0.2">
      <c r="D2110" s="6"/>
      <c r="H2110" s="6">
        <v>42025.476574074077</v>
      </c>
    </row>
    <row r="2111" spans="4:8" x14ac:dyDescent="0.2">
      <c r="D2111" s="6"/>
      <c r="H2111" s="6">
        <v>42025.476574074077</v>
      </c>
    </row>
    <row r="2112" spans="4:8" x14ac:dyDescent="0.2">
      <c r="D2112" s="6"/>
      <c r="H2112" s="6">
        <v>42025.476574074077</v>
      </c>
    </row>
    <row r="2113" spans="4:8" x14ac:dyDescent="0.2">
      <c r="D2113" s="6"/>
      <c r="H2113" s="6">
        <v>42025.476689814815</v>
      </c>
    </row>
    <row r="2114" spans="4:8" x14ac:dyDescent="0.2">
      <c r="D2114" s="6"/>
      <c r="H2114" s="6">
        <v>42025.476689814815</v>
      </c>
    </row>
    <row r="2115" spans="4:8" x14ac:dyDescent="0.2">
      <c r="D2115" s="6"/>
      <c r="H2115" s="6">
        <v>42025.476689814815</v>
      </c>
    </row>
    <row r="2116" spans="4:8" x14ac:dyDescent="0.2">
      <c r="D2116" s="6"/>
      <c r="H2116" s="6">
        <v>42025.476689814815</v>
      </c>
    </row>
    <row r="2117" spans="4:8" x14ac:dyDescent="0.2">
      <c r="D2117" s="6"/>
      <c r="H2117" s="6">
        <v>42025.476689814815</v>
      </c>
    </row>
    <row r="2118" spans="4:8" x14ac:dyDescent="0.2">
      <c r="D2118" s="6"/>
      <c r="H2118" s="6">
        <v>42025.476689814815</v>
      </c>
    </row>
    <row r="2119" spans="4:8" x14ac:dyDescent="0.2">
      <c r="D2119" s="6"/>
      <c r="H2119" s="6">
        <v>42025.476701388892</v>
      </c>
    </row>
    <row r="2120" spans="4:8" x14ac:dyDescent="0.2">
      <c r="D2120" s="6"/>
      <c r="H2120" s="6">
        <v>42025.476701388892</v>
      </c>
    </row>
    <row r="2121" spans="4:8" x14ac:dyDescent="0.2">
      <c r="D2121" s="6"/>
      <c r="H2121" s="6">
        <v>42025.476701388892</v>
      </c>
    </row>
    <row r="2122" spans="4:8" x14ac:dyDescent="0.2">
      <c r="D2122" s="6"/>
      <c r="H2122" s="6">
        <v>42025.476701388892</v>
      </c>
    </row>
    <row r="2123" spans="4:8" x14ac:dyDescent="0.2">
      <c r="D2123" s="6"/>
      <c r="H2123" s="6">
        <v>42025.476701388892</v>
      </c>
    </row>
    <row r="2124" spans="4:8" x14ac:dyDescent="0.2">
      <c r="D2124" s="6"/>
      <c r="H2124" s="6">
        <v>42025.476701388892</v>
      </c>
    </row>
    <row r="2125" spans="4:8" x14ac:dyDescent="0.2">
      <c r="D2125" s="6"/>
      <c r="H2125" s="6">
        <v>42025.476701388892</v>
      </c>
    </row>
    <row r="2126" spans="4:8" x14ac:dyDescent="0.2">
      <c r="D2126" s="6"/>
      <c r="H2126" s="6">
        <v>42025.476701388892</v>
      </c>
    </row>
    <row r="2127" spans="4:8" x14ac:dyDescent="0.2">
      <c r="D2127" s="6"/>
      <c r="H2127" s="6">
        <v>42025.476701388892</v>
      </c>
    </row>
    <row r="2128" spans="4:8" x14ac:dyDescent="0.2">
      <c r="D2128" s="6"/>
      <c r="H2128" s="6">
        <v>42025.476712962962</v>
      </c>
    </row>
    <row r="2129" spans="4:8" x14ac:dyDescent="0.2">
      <c r="D2129" s="6"/>
      <c r="H2129" s="6">
        <v>42025.476712962962</v>
      </c>
    </row>
    <row r="2130" spans="4:8" x14ac:dyDescent="0.2">
      <c r="D2130" s="6"/>
      <c r="H2130" s="6">
        <v>42025.476712962962</v>
      </c>
    </row>
    <row r="2131" spans="4:8" x14ac:dyDescent="0.2">
      <c r="D2131" s="6"/>
      <c r="H2131" s="6">
        <v>42025.476712962962</v>
      </c>
    </row>
    <row r="2132" spans="4:8" x14ac:dyDescent="0.2">
      <c r="D2132" s="6"/>
      <c r="H2132" s="6">
        <v>42025.476712962962</v>
      </c>
    </row>
    <row r="2133" spans="4:8" x14ac:dyDescent="0.2">
      <c r="D2133" s="6"/>
      <c r="H2133" s="6">
        <v>42025.476712962962</v>
      </c>
    </row>
    <row r="2134" spans="4:8" x14ac:dyDescent="0.2">
      <c r="D2134" s="6"/>
      <c r="H2134" s="6">
        <v>42025.476712962962</v>
      </c>
    </row>
    <row r="2135" spans="4:8" x14ac:dyDescent="0.2">
      <c r="D2135" s="6"/>
      <c r="H2135" s="6">
        <v>42025.476712962962</v>
      </c>
    </row>
    <row r="2136" spans="4:8" x14ac:dyDescent="0.2">
      <c r="D2136" s="6"/>
      <c r="H2136" s="6">
        <v>42025.476712962962</v>
      </c>
    </row>
    <row r="2137" spans="4:8" x14ac:dyDescent="0.2">
      <c r="D2137" s="6"/>
      <c r="H2137" s="6">
        <v>42025.476712962962</v>
      </c>
    </row>
    <row r="2138" spans="4:8" x14ac:dyDescent="0.2">
      <c r="D2138" s="6"/>
      <c r="H2138" s="6">
        <v>42025.476712962962</v>
      </c>
    </row>
    <row r="2139" spans="4:8" x14ac:dyDescent="0.2">
      <c r="D2139" s="6"/>
      <c r="H2139" s="6">
        <v>42167.614421296297</v>
      </c>
    </row>
    <row r="2140" spans="4:8" x14ac:dyDescent="0.2">
      <c r="D2140" s="6"/>
      <c r="H2140" s="6">
        <v>42160.830092592594</v>
      </c>
    </row>
    <row r="2141" spans="4:8" x14ac:dyDescent="0.2">
      <c r="D2141" s="6"/>
      <c r="H2141" s="6">
        <v>42177.766157407408</v>
      </c>
    </row>
    <row r="2142" spans="4:8" x14ac:dyDescent="0.2">
      <c r="D2142" s="6"/>
      <c r="H2142" s="6">
        <v>42181.702037037037</v>
      </c>
    </row>
    <row r="2143" spans="4:8" x14ac:dyDescent="0.2">
      <c r="D2143" s="6"/>
      <c r="H2143" s="6">
        <v>42174.772800925923</v>
      </c>
    </row>
    <row r="2144" spans="4:8" x14ac:dyDescent="0.2">
      <c r="D2144" s="6"/>
      <c r="H2144" s="6">
        <v>42187.723483796297</v>
      </c>
    </row>
    <row r="2145" spans="4:8" x14ac:dyDescent="0.2">
      <c r="D2145" s="6"/>
      <c r="H2145" s="6">
        <v>42186.441805555558</v>
      </c>
    </row>
    <row r="2146" spans="4:8" x14ac:dyDescent="0.2">
      <c r="D2146" s="6"/>
      <c r="H2146" s="6">
        <v>42158.6</v>
      </c>
    </row>
    <row r="2147" spans="4:8" x14ac:dyDescent="0.2">
      <c r="D2147" s="6"/>
      <c r="H2147" s="6">
        <v>42158.592465277776</v>
      </c>
    </row>
    <row r="2148" spans="4:8" x14ac:dyDescent="0.2">
      <c r="D2148" s="6"/>
      <c r="H2148" s="6">
        <v>42144.52071759259</v>
      </c>
    </row>
    <row r="2149" spans="4:8" x14ac:dyDescent="0.2">
      <c r="D2149" s="6"/>
      <c r="H2149" s="6">
        <v>42144.411759259259</v>
      </c>
    </row>
    <row r="2150" spans="4:8" x14ac:dyDescent="0.2">
      <c r="D2150" s="6"/>
      <c r="H2150" s="6">
        <v>42187.606608796297</v>
      </c>
    </row>
    <row r="2151" spans="4:8" x14ac:dyDescent="0.2">
      <c r="D2151" s="6"/>
      <c r="H2151" s="6">
        <v>42145.667511574073</v>
      </c>
    </row>
    <row r="2152" spans="4:8" x14ac:dyDescent="0.2">
      <c r="D2152" s="6"/>
      <c r="H2152" s="6">
        <v>42145.668599537035</v>
      </c>
    </row>
    <row r="2153" spans="4:8" x14ac:dyDescent="0.2">
      <c r="D2153" s="6"/>
      <c r="H2153" s="6">
        <v>42160.577893518515</v>
      </c>
    </row>
    <row r="2154" spans="4:8" x14ac:dyDescent="0.2">
      <c r="D2154" s="6"/>
      <c r="H2154" s="6">
        <v>42160.577893518515</v>
      </c>
    </row>
    <row r="2155" spans="4:8" x14ac:dyDescent="0.2">
      <c r="D2155" s="6"/>
      <c r="H2155" s="6">
        <v>42240.415590277778</v>
      </c>
    </row>
    <row r="2156" spans="4:8" x14ac:dyDescent="0.2">
      <c r="D2156" s="6"/>
      <c r="H2156" s="6">
        <v>42160.592534722222</v>
      </c>
    </row>
    <row r="2157" spans="4:8" x14ac:dyDescent="0.2">
      <c r="D2157" s="6"/>
      <c r="H2157" s="6">
        <v>42142.708761574075</v>
      </c>
    </row>
    <row r="2158" spans="4:8" x14ac:dyDescent="0.2">
      <c r="D2158" s="6"/>
      <c r="H2158" s="6">
        <v>42143.616851851853</v>
      </c>
    </row>
    <row r="2159" spans="4:8" x14ac:dyDescent="0.2">
      <c r="D2159" s="6"/>
      <c r="H2159" s="6">
        <v>42143.616157407407</v>
      </c>
    </row>
    <row r="2160" spans="4:8" x14ac:dyDescent="0.2">
      <c r="D2160" s="6"/>
      <c r="H2160" s="6">
        <v>42137.531446759262</v>
      </c>
    </row>
    <row r="2161" spans="4:8" x14ac:dyDescent="0.2">
      <c r="D2161" s="6"/>
      <c r="H2161" s="6">
        <v>42166.736875000002</v>
      </c>
    </row>
    <row r="2162" spans="4:8" x14ac:dyDescent="0.2">
      <c r="D2162" s="6"/>
      <c r="H2162" s="6">
        <v>42166.719907407409</v>
      </c>
    </row>
    <row r="2163" spans="4:8" x14ac:dyDescent="0.2">
      <c r="D2163" s="6"/>
      <c r="H2163" s="6">
        <v>42167.38140046296</v>
      </c>
    </row>
    <row r="2164" spans="4:8" x14ac:dyDescent="0.2">
      <c r="D2164" s="6"/>
      <c r="H2164" s="6">
        <v>42167.367129629631</v>
      </c>
    </row>
    <row r="2165" spans="4:8" x14ac:dyDescent="0.2">
      <c r="D2165" s="6"/>
      <c r="H2165" s="6">
        <v>42167.362337962964</v>
      </c>
    </row>
    <row r="2166" spans="4:8" x14ac:dyDescent="0.2">
      <c r="D2166" s="6"/>
      <c r="H2166" s="6">
        <v>42135.673148148147</v>
      </c>
    </row>
    <row r="2167" spans="4:8" x14ac:dyDescent="0.2">
      <c r="D2167" s="6"/>
      <c r="H2167" s="6">
        <v>42145.657002314816</v>
      </c>
    </row>
    <row r="2168" spans="4:8" x14ac:dyDescent="0.2">
      <c r="D2168" s="6"/>
      <c r="H2168" s="6">
        <v>42149.668912037036</v>
      </c>
    </row>
    <row r="2169" spans="4:8" x14ac:dyDescent="0.2">
      <c r="D2169" s="6"/>
      <c r="H2169" s="6">
        <v>42234.719270833331</v>
      </c>
    </row>
    <row r="2170" spans="4:8" x14ac:dyDescent="0.2">
      <c r="D2170" s="6"/>
      <c r="H2170" s="6">
        <v>42216.639722222222</v>
      </c>
    </row>
    <row r="2171" spans="4:8" x14ac:dyDescent="0.2">
      <c r="D2171" s="6"/>
      <c r="H2171" s="6">
        <v>42215.714930555558</v>
      </c>
    </row>
    <row r="2172" spans="4:8" x14ac:dyDescent="0.2">
      <c r="D2172" s="6"/>
      <c r="H2172" s="6">
        <v>42143.425069444442</v>
      </c>
    </row>
    <row r="2173" spans="4:8" x14ac:dyDescent="0.2">
      <c r="D2173" s="6"/>
      <c r="H2173" s="6">
        <v>42143.42560185185</v>
      </c>
    </row>
    <row r="2174" spans="4:8" x14ac:dyDescent="0.2">
      <c r="D2174" s="6"/>
      <c r="H2174" s="6">
        <v>42143.433969907404</v>
      </c>
    </row>
    <row r="2175" spans="4:8" x14ac:dyDescent="0.2">
      <c r="D2175" s="6"/>
      <c r="H2175" s="6">
        <v>42167.802789351852</v>
      </c>
    </row>
    <row r="2176" spans="4:8" x14ac:dyDescent="0.2">
      <c r="D2176" s="6"/>
      <c r="H2176" s="6">
        <v>42167.634664351855</v>
      </c>
    </row>
    <row r="2177" spans="1:8" x14ac:dyDescent="0.2">
      <c r="D2177" s="6"/>
      <c r="H2177" s="6">
        <v>42160.715995370374</v>
      </c>
    </row>
    <row r="2178" spans="1:8" x14ac:dyDescent="0.2">
      <c r="D2178" s="6"/>
      <c r="H2178" s="6">
        <v>42177.334837962961</v>
      </c>
    </row>
    <row r="2179" spans="1:8" x14ac:dyDescent="0.2">
      <c r="D2179" s="6"/>
      <c r="H2179" s="6">
        <v>42177.304722222223</v>
      </c>
    </row>
    <row r="2180" spans="1:8" x14ac:dyDescent="0.2">
      <c r="D2180" s="6"/>
      <c r="H2180" s="6">
        <v>42177.332337962966</v>
      </c>
    </row>
    <row r="2181" spans="1:8" x14ac:dyDescent="0.2">
      <c r="D2181" s="6"/>
      <c r="H2181" s="6">
        <v>42160.685324074075</v>
      </c>
    </row>
    <row r="2182" spans="1:8" x14ac:dyDescent="0.2">
      <c r="D2182" s="6"/>
      <c r="H2182" s="6">
        <v>42153.621388888889</v>
      </c>
    </row>
    <row r="2183" spans="1:8" x14ac:dyDescent="0.2">
      <c r="D2183" s="6"/>
      <c r="H2183" s="6">
        <v>42177.339953703704</v>
      </c>
    </row>
    <row r="2184" spans="1:8" x14ac:dyDescent="0.2">
      <c r="A2184" s="1"/>
      <c r="D2184" s="6"/>
      <c r="H2184" s="6">
        <v>42177.316087962965</v>
      </c>
    </row>
    <row r="2185" spans="1:8" x14ac:dyDescent="0.2">
      <c r="D2185" s="6"/>
      <c r="H2185" s="6">
        <v>42143.49454861111</v>
      </c>
    </row>
    <row r="2186" spans="1:8" x14ac:dyDescent="0.2">
      <c r="D2186" s="6"/>
      <c r="H2186" s="6">
        <v>42160.691550925927</v>
      </c>
    </row>
    <row r="2187" spans="1:8" x14ac:dyDescent="0.2">
      <c r="D2187" s="6"/>
      <c r="H2187" s="6">
        <v>42160.756018518521</v>
      </c>
    </row>
    <row r="2188" spans="1:8" x14ac:dyDescent="0.2">
      <c r="D2188" s="6"/>
      <c r="H2188" s="6">
        <v>42160.676249999997</v>
      </c>
    </row>
    <row r="2189" spans="1:8" x14ac:dyDescent="0.2">
      <c r="D2189" s="6"/>
      <c r="H2189" s="6">
        <v>42153.624155092592</v>
      </c>
    </row>
    <row r="2190" spans="1:8" x14ac:dyDescent="0.2">
      <c r="D2190" s="6"/>
      <c r="H2190" s="6">
        <v>42167.620289351849</v>
      </c>
    </row>
    <row r="2191" spans="1:8" x14ac:dyDescent="0.2">
      <c r="D2191" s="6"/>
      <c r="H2191" s="6">
        <v>42165.578576388885</v>
      </c>
    </row>
    <row r="2192" spans="1:8" x14ac:dyDescent="0.2">
      <c r="D2192" s="6"/>
      <c r="H2192" s="6">
        <v>42174.650925925926</v>
      </c>
    </row>
    <row r="2193" spans="4:8" x14ac:dyDescent="0.2">
      <c r="D2193" s="6"/>
      <c r="H2193" s="6">
        <v>42174.646678240744</v>
      </c>
    </row>
    <row r="2194" spans="4:8" x14ac:dyDescent="0.2">
      <c r="D2194" s="6"/>
      <c r="H2194" s="6">
        <v>42177.663657407407</v>
      </c>
    </row>
    <row r="2195" spans="4:8" x14ac:dyDescent="0.2">
      <c r="D2195" s="6"/>
      <c r="H2195" s="6">
        <v>42160.717893518522</v>
      </c>
    </row>
    <row r="2196" spans="4:8" x14ac:dyDescent="0.2">
      <c r="D2196" s="6"/>
      <c r="H2196" s="6">
        <v>42160.723090277781</v>
      </c>
    </row>
    <row r="2197" spans="4:8" x14ac:dyDescent="0.2">
      <c r="D2197" s="6"/>
      <c r="H2197" s="6">
        <v>42158.69767361111</v>
      </c>
    </row>
    <row r="2198" spans="4:8" x14ac:dyDescent="0.2">
      <c r="D2198" s="6"/>
      <c r="H2198" s="6">
        <v>42160.70989583333</v>
      </c>
    </row>
    <row r="2199" spans="4:8" x14ac:dyDescent="0.2">
      <c r="D2199" s="6"/>
      <c r="H2199" s="6">
        <v>42174.702245370368</v>
      </c>
    </row>
    <row r="2200" spans="4:8" x14ac:dyDescent="0.2">
      <c r="D2200" s="6"/>
      <c r="H2200" s="6">
        <v>42177.349097222221</v>
      </c>
    </row>
    <row r="2201" spans="4:8" x14ac:dyDescent="0.2">
      <c r="D2201" s="6"/>
      <c r="H2201" s="6">
        <v>42177.668807870374</v>
      </c>
    </row>
    <row r="2202" spans="4:8" x14ac:dyDescent="0.2">
      <c r="D2202" s="6"/>
      <c r="H2202" s="6">
        <v>42160.718773148146</v>
      </c>
    </row>
    <row r="2203" spans="4:8" x14ac:dyDescent="0.2">
      <c r="D2203" s="6"/>
      <c r="H2203" s="6">
        <v>42152.641192129631</v>
      </c>
    </row>
    <row r="2204" spans="4:8" x14ac:dyDescent="0.2">
      <c r="D2204" s="6"/>
      <c r="H2204" s="6">
        <v>42160.711516203701</v>
      </c>
    </row>
    <row r="2205" spans="4:8" x14ac:dyDescent="0.2">
      <c r="D2205" s="6"/>
      <c r="H2205" s="6">
        <v>42174.65179398148</v>
      </c>
    </row>
    <row r="2206" spans="4:8" x14ac:dyDescent="0.2">
      <c r="D2206" s="6"/>
      <c r="H2206" s="6">
        <v>42250.428599537037</v>
      </c>
    </row>
    <row r="2207" spans="4:8" x14ac:dyDescent="0.2">
      <c r="D2207" s="6"/>
      <c r="H2207" s="6">
        <v>42250.429155092592</v>
      </c>
    </row>
    <row r="2208" spans="4:8" x14ac:dyDescent="0.2">
      <c r="D2208" s="6"/>
      <c r="H2208" s="6">
        <v>42172.654224537036</v>
      </c>
    </row>
    <row r="2209" spans="4:8" x14ac:dyDescent="0.2">
      <c r="D2209" s="6"/>
      <c r="H2209" s="6">
        <v>42247.632222222222</v>
      </c>
    </row>
    <row r="2210" spans="4:8" x14ac:dyDescent="0.2">
      <c r="D2210" s="6"/>
      <c r="H2210" s="6">
        <v>42250.429432870369</v>
      </c>
    </row>
    <row r="2211" spans="4:8" x14ac:dyDescent="0.2">
      <c r="D2211" s="6"/>
      <c r="H2211" s="6">
        <v>42158.473321759258</v>
      </c>
    </row>
    <row r="2212" spans="4:8" x14ac:dyDescent="0.2">
      <c r="D2212" s="6"/>
      <c r="H2212" s="6">
        <v>42157.519120370373</v>
      </c>
    </row>
    <row r="2213" spans="4:8" x14ac:dyDescent="0.2">
      <c r="D2213" s="6"/>
      <c r="H2213" s="6">
        <v>42158.461585648147</v>
      </c>
    </row>
    <row r="2214" spans="4:8" x14ac:dyDescent="0.2">
      <c r="D2214" s="6"/>
      <c r="H2214" s="6">
        <v>42160.719340277778</v>
      </c>
    </row>
    <row r="2215" spans="4:8" x14ac:dyDescent="0.2">
      <c r="D2215" s="6"/>
      <c r="H2215" s="6">
        <v>42160.723900462966</v>
      </c>
    </row>
    <row r="2216" spans="4:8" x14ac:dyDescent="0.2">
      <c r="D2216" s="6"/>
      <c r="H2216" s="6">
        <v>42157.521817129629</v>
      </c>
    </row>
    <row r="2217" spans="4:8" x14ac:dyDescent="0.2">
      <c r="D2217" s="6"/>
      <c r="H2217" s="6">
        <v>42160.712569444448</v>
      </c>
    </row>
    <row r="2218" spans="4:8" x14ac:dyDescent="0.2">
      <c r="D2218" s="6"/>
      <c r="H2218" s="6">
        <v>42184.644791666666</v>
      </c>
    </row>
    <row r="2219" spans="4:8" x14ac:dyDescent="0.2">
      <c r="D2219" s="6"/>
      <c r="H2219" s="6">
        <v>42177.707731481481</v>
      </c>
    </row>
    <row r="2220" spans="4:8" x14ac:dyDescent="0.2">
      <c r="D2220" s="6"/>
      <c r="H2220" s="6">
        <v>42177.597777777781</v>
      </c>
    </row>
    <row r="2221" spans="4:8" x14ac:dyDescent="0.2">
      <c r="D2221" s="6"/>
      <c r="H2221" s="6">
        <v>42184.627546296295</v>
      </c>
    </row>
    <row r="2222" spans="4:8" x14ac:dyDescent="0.2">
      <c r="D2222" s="6"/>
      <c r="H2222" s="6">
        <v>42184.678101851852</v>
      </c>
    </row>
    <row r="2223" spans="4:8" x14ac:dyDescent="0.2">
      <c r="D2223" s="6"/>
      <c r="H2223" s="6">
        <v>42184.676736111112</v>
      </c>
    </row>
    <row r="2224" spans="4:8" x14ac:dyDescent="0.2">
      <c r="D2224" s="6"/>
      <c r="H2224" s="6">
        <v>42184.67763888889</v>
      </c>
    </row>
    <row r="2225" spans="4:8" x14ac:dyDescent="0.2">
      <c r="D2225" s="6"/>
      <c r="H2225" s="6">
        <v>42184.689062500001</v>
      </c>
    </row>
    <row r="2226" spans="4:8" x14ac:dyDescent="0.2">
      <c r="D2226" s="6"/>
      <c r="H2226" s="6">
        <v>42184.683888888889</v>
      </c>
    </row>
    <row r="2227" spans="4:8" x14ac:dyDescent="0.2">
      <c r="D2227" s="6"/>
      <c r="H2227" s="6">
        <v>42184.679270833331</v>
      </c>
    </row>
    <row r="2228" spans="4:8" x14ac:dyDescent="0.2">
      <c r="D2228" s="6"/>
      <c r="H2228" s="6">
        <v>42160.753611111111</v>
      </c>
    </row>
    <row r="2229" spans="4:8" x14ac:dyDescent="0.2">
      <c r="D2229" s="6"/>
      <c r="H2229" s="6">
        <v>42160.611215277779</v>
      </c>
    </row>
    <row r="2230" spans="4:8" x14ac:dyDescent="0.2">
      <c r="D2230" s="6"/>
      <c r="H2230" s="6">
        <v>42160.74795138889</v>
      </c>
    </row>
    <row r="2231" spans="4:8" x14ac:dyDescent="0.2">
      <c r="D2231" s="6"/>
      <c r="H2231" s="6">
        <v>42160.712685185186</v>
      </c>
    </row>
    <row r="2232" spans="4:8" x14ac:dyDescent="0.2">
      <c r="D2232" s="6"/>
      <c r="H2232" s="6">
        <v>42160.752395833333</v>
      </c>
    </row>
    <row r="2233" spans="4:8" x14ac:dyDescent="0.2">
      <c r="D2233" s="6"/>
      <c r="H2233" s="6">
        <v>42160.607592592591</v>
      </c>
    </row>
    <row r="2234" spans="4:8" x14ac:dyDescent="0.2">
      <c r="D2234" s="6"/>
      <c r="H2234" s="6">
        <v>42160.734942129631</v>
      </c>
    </row>
    <row r="2235" spans="4:8" x14ac:dyDescent="0.2">
      <c r="D2235" s="6"/>
      <c r="H2235" s="6">
        <v>42160.754363425927</v>
      </c>
    </row>
    <row r="2236" spans="4:8" x14ac:dyDescent="0.2">
      <c r="D2236" s="6"/>
      <c r="H2236" s="6">
        <v>42150.458587962959</v>
      </c>
    </row>
    <row r="2237" spans="4:8" x14ac:dyDescent="0.2">
      <c r="D2237" s="6"/>
      <c r="H2237" s="6">
        <v>42150.459988425922</v>
      </c>
    </row>
    <row r="2238" spans="4:8" x14ac:dyDescent="0.2">
      <c r="D2238" s="6"/>
      <c r="H2238" s="6">
        <v>42150.483391203707</v>
      </c>
    </row>
    <row r="2239" spans="4:8" x14ac:dyDescent="0.2">
      <c r="D2239" s="6"/>
      <c r="H2239" s="6">
        <v>42150.485381944447</v>
      </c>
    </row>
    <row r="2240" spans="4:8" x14ac:dyDescent="0.2">
      <c r="D2240" s="6"/>
      <c r="H2240" s="6">
        <v>42149.708622685182</v>
      </c>
    </row>
    <row r="2241" spans="4:8" x14ac:dyDescent="0.2">
      <c r="D2241" s="6"/>
      <c r="H2241" s="6">
        <v>42150.490590277775</v>
      </c>
    </row>
    <row r="2242" spans="4:8" x14ac:dyDescent="0.2">
      <c r="D2242" s="6"/>
      <c r="H2242" s="6">
        <v>42150.486331018517</v>
      </c>
    </row>
    <row r="2243" spans="4:8" x14ac:dyDescent="0.2">
      <c r="D2243" s="6"/>
      <c r="H2243" s="6">
        <v>42149.706365740742</v>
      </c>
    </row>
    <row r="2244" spans="4:8" x14ac:dyDescent="0.2">
      <c r="D2244" s="6"/>
      <c r="H2244" s="6">
        <v>42150.48778935185</v>
      </c>
    </row>
    <row r="2245" spans="4:8" x14ac:dyDescent="0.2">
      <c r="D2245" s="6"/>
      <c r="H2245" s="6">
        <v>42150.484259259261</v>
      </c>
    </row>
    <row r="2246" spans="4:8" x14ac:dyDescent="0.2">
      <c r="D2246" s="6"/>
      <c r="H2246" s="6">
        <v>42150.54409722222</v>
      </c>
    </row>
    <row r="2247" spans="4:8" x14ac:dyDescent="0.2">
      <c r="D2247" s="6"/>
      <c r="H2247" s="6">
        <v>42150.552743055552</v>
      </c>
    </row>
    <row r="2248" spans="4:8" x14ac:dyDescent="0.2">
      <c r="D2248" s="6"/>
      <c r="H2248" s="6">
        <v>42149.453090277777</v>
      </c>
    </row>
    <row r="2249" spans="4:8" x14ac:dyDescent="0.2">
      <c r="D2249" s="6"/>
      <c r="H2249" s="6">
        <v>42149.452476851853</v>
      </c>
    </row>
    <row r="2250" spans="4:8" x14ac:dyDescent="0.2">
      <c r="D2250" s="6"/>
      <c r="H2250" s="6">
        <v>42075.518287037034</v>
      </c>
    </row>
    <row r="2251" spans="4:8" x14ac:dyDescent="0.2">
      <c r="D2251" s="6"/>
      <c r="H2251" s="6">
        <v>42066.744166666664</v>
      </c>
    </row>
    <row r="2252" spans="4:8" x14ac:dyDescent="0.2">
      <c r="D2252" s="6"/>
      <c r="H2252" s="6">
        <v>42073.434201388889</v>
      </c>
    </row>
    <row r="2253" spans="4:8" x14ac:dyDescent="0.2">
      <c r="D2253" s="6"/>
      <c r="H2253" s="6">
        <v>42076.663298611114</v>
      </c>
    </row>
    <row r="2254" spans="4:8" x14ac:dyDescent="0.2">
      <c r="D2254" s="6"/>
      <c r="H2254" s="6">
        <v>42121.752858796295</v>
      </c>
    </row>
    <row r="2255" spans="4:8" x14ac:dyDescent="0.2">
      <c r="D2255" s="6"/>
      <c r="H2255" s="6">
        <v>42247.506412037037</v>
      </c>
    </row>
    <row r="2256" spans="4:8" x14ac:dyDescent="0.2">
      <c r="D2256" s="6"/>
      <c r="H2256" s="6">
        <v>42247.506423611114</v>
      </c>
    </row>
    <row r="2257" spans="4:8" x14ac:dyDescent="0.2">
      <c r="D2257" s="6"/>
      <c r="H2257" s="6">
        <v>42247.506388888891</v>
      </c>
    </row>
    <row r="2258" spans="4:8" x14ac:dyDescent="0.2">
      <c r="D2258" s="6"/>
      <c r="H2258" s="6">
        <v>42137.529710648145</v>
      </c>
    </row>
    <row r="2259" spans="4:8" x14ac:dyDescent="0.2">
      <c r="D2259" s="6"/>
      <c r="H2259" s="6">
        <v>42137.530902777777</v>
      </c>
    </row>
    <row r="2260" spans="4:8" x14ac:dyDescent="0.2">
      <c r="D2260" s="6"/>
      <c r="H2260" s="6">
        <v>42137.52983796296</v>
      </c>
    </row>
    <row r="2261" spans="4:8" x14ac:dyDescent="0.2">
      <c r="D2261" s="6"/>
      <c r="H2261" s="6">
        <v>41684.695011574076</v>
      </c>
    </row>
    <row r="2262" spans="4:8" x14ac:dyDescent="0.2">
      <c r="D2262" s="6"/>
      <c r="H2262" s="6">
        <v>41684.71802083333</v>
      </c>
    </row>
    <row r="2263" spans="4:8" x14ac:dyDescent="0.2">
      <c r="D2263" s="6"/>
      <c r="H2263" s="6">
        <v>41696.778611111113</v>
      </c>
    </row>
    <row r="2264" spans="4:8" x14ac:dyDescent="0.2">
      <c r="D2264" s="6"/>
      <c r="H2264" s="6">
        <v>41703.429039351853</v>
      </c>
    </row>
    <row r="2265" spans="4:8" x14ac:dyDescent="0.2">
      <c r="D2265" s="6"/>
      <c r="H2265" s="6">
        <v>41733.588333333333</v>
      </c>
    </row>
    <row r="2266" spans="4:8" x14ac:dyDescent="0.2">
      <c r="D2266" s="6"/>
      <c r="H2266" s="6">
        <v>41738.639120370368</v>
      </c>
    </row>
    <row r="2267" spans="4:8" x14ac:dyDescent="0.2">
      <c r="D2267" s="6"/>
      <c r="H2267" s="6">
        <v>41738.649560185186</v>
      </c>
    </row>
    <row r="2268" spans="4:8" x14ac:dyDescent="0.2">
      <c r="D2268" s="6"/>
      <c r="H2268" s="6">
        <v>41767.763657407406</v>
      </c>
    </row>
    <row r="2269" spans="4:8" x14ac:dyDescent="0.2">
      <c r="D2269" s="6"/>
      <c r="H2269" s="6">
        <v>41767.764236111114</v>
      </c>
    </row>
    <row r="2270" spans="4:8" x14ac:dyDescent="0.2">
      <c r="D2270" s="6"/>
      <c r="H2270" s="6">
        <v>41767.763460648152</v>
      </c>
    </row>
    <row r="2271" spans="4:8" x14ac:dyDescent="0.2">
      <c r="D2271" s="6"/>
      <c r="H2271" s="6">
        <v>41779.644074074073</v>
      </c>
    </row>
    <row r="2272" spans="4:8" x14ac:dyDescent="0.2">
      <c r="D2272" s="6"/>
      <c r="H2272" s="6">
        <v>41786.732256944444</v>
      </c>
    </row>
    <row r="2273" spans="4:8" x14ac:dyDescent="0.2">
      <c r="D2273" s="6"/>
      <c r="H2273" s="6">
        <v>41837.683206018519</v>
      </c>
    </row>
    <row r="2274" spans="4:8" x14ac:dyDescent="0.2">
      <c r="D2274" s="6"/>
      <c r="H2274" s="6">
        <v>41842.908009259256</v>
      </c>
    </row>
    <row r="2275" spans="4:8" x14ac:dyDescent="0.2">
      <c r="D2275" s="6"/>
      <c r="H2275" s="6">
        <v>41842.801365740743</v>
      </c>
    </row>
    <row r="2276" spans="4:8" x14ac:dyDescent="0.2">
      <c r="D2276" s="6"/>
      <c r="H2276" s="6">
        <v>41864.627743055556</v>
      </c>
    </row>
    <row r="2277" spans="4:8" x14ac:dyDescent="0.2">
      <c r="D2277" s="6"/>
      <c r="H2277" s="6">
        <v>41865.666932870372</v>
      </c>
    </row>
    <row r="2278" spans="4:8" x14ac:dyDescent="0.2">
      <c r="D2278" s="6"/>
      <c r="H2278" s="6">
        <v>41914.684907407405</v>
      </c>
    </row>
    <row r="2279" spans="4:8" x14ac:dyDescent="0.2">
      <c r="D2279" s="6"/>
      <c r="H2279" s="6">
        <v>41919.431608796294</v>
      </c>
    </row>
    <row r="2280" spans="4:8" x14ac:dyDescent="0.2">
      <c r="D2280" s="6"/>
      <c r="H2280" s="6">
        <v>41929.615543981483</v>
      </c>
    </row>
    <row r="2281" spans="4:8" x14ac:dyDescent="0.2">
      <c r="D2281" s="6"/>
      <c r="H2281" s="6">
        <v>41933.368726851855</v>
      </c>
    </row>
    <row r="2282" spans="4:8" x14ac:dyDescent="0.2">
      <c r="D2282" s="6"/>
      <c r="H2282" s="6">
        <v>42033.766770833332</v>
      </c>
    </row>
    <row r="2283" spans="4:8" x14ac:dyDescent="0.2">
      <c r="D2283" s="6"/>
      <c r="H2283" s="6">
        <v>42059.730451388888</v>
      </c>
    </row>
    <row r="2284" spans="4:8" x14ac:dyDescent="0.2">
      <c r="D2284" s="6"/>
      <c r="H2284" s="6">
        <v>42086.470011574071</v>
      </c>
    </row>
    <row r="2285" spans="4:8" x14ac:dyDescent="0.2">
      <c r="D2285" s="6"/>
      <c r="H2285" s="6">
        <v>42069.774918981479</v>
      </c>
    </row>
    <row r="2286" spans="4:8" x14ac:dyDescent="0.2">
      <c r="D2286" s="6"/>
      <c r="H2286" s="6">
        <v>42072.52616898148</v>
      </c>
    </row>
    <row r="2287" spans="4:8" x14ac:dyDescent="0.2">
      <c r="D2287" s="6"/>
      <c r="H2287" s="6">
        <v>42086.461724537039</v>
      </c>
    </row>
    <row r="2288" spans="4:8" x14ac:dyDescent="0.2">
      <c r="D2288" s="6"/>
      <c r="H2288" s="6">
        <v>42088.741157407407</v>
      </c>
    </row>
    <row r="2289" spans="4:8" x14ac:dyDescent="0.2">
      <c r="D2289" s="6"/>
      <c r="H2289" s="6">
        <v>42089.738078703704</v>
      </c>
    </row>
    <row r="2290" spans="4:8" x14ac:dyDescent="0.2">
      <c r="D2290" s="6"/>
      <c r="H2290" s="6">
        <v>42089.712789351855</v>
      </c>
    </row>
    <row r="2291" spans="4:8" x14ac:dyDescent="0.2">
      <c r="D2291" s="6"/>
      <c r="H2291" s="6">
        <v>42090.465810185182</v>
      </c>
    </row>
    <row r="2292" spans="4:8" x14ac:dyDescent="0.2">
      <c r="D2292" s="6"/>
      <c r="H2292" s="6">
        <v>42090.744618055556</v>
      </c>
    </row>
    <row r="2293" spans="4:8" x14ac:dyDescent="0.2">
      <c r="D2293" s="6"/>
      <c r="H2293" s="6">
        <v>42110.473981481482</v>
      </c>
    </row>
    <row r="2294" spans="4:8" x14ac:dyDescent="0.2">
      <c r="D2294" s="6"/>
      <c r="H2294" s="6">
        <v>42110.715729166666</v>
      </c>
    </row>
    <row r="2295" spans="4:8" x14ac:dyDescent="0.2">
      <c r="D2295" s="6"/>
      <c r="H2295" s="6">
        <v>42146.658206018517</v>
      </c>
    </row>
    <row r="2296" spans="4:8" x14ac:dyDescent="0.2">
      <c r="D2296" s="6"/>
      <c r="H2296" s="6">
        <v>42165.602430555555</v>
      </c>
    </row>
    <row r="2297" spans="4:8" x14ac:dyDescent="0.2">
      <c r="D2297" s="6"/>
      <c r="H2297" s="6">
        <v>42199.443993055553</v>
      </c>
    </row>
    <row r="2298" spans="4:8" x14ac:dyDescent="0.2">
      <c r="D2298" s="6"/>
      <c r="H2298" s="6">
        <v>42206.780902777777</v>
      </c>
    </row>
    <row r="2299" spans="4:8" x14ac:dyDescent="0.2">
      <c r="D2299" s="6"/>
      <c r="H2299" s="6">
        <v>42228.668981481482</v>
      </c>
    </row>
    <row r="2300" spans="4:8" x14ac:dyDescent="0.2">
      <c r="D2300" s="6"/>
      <c r="H2300" s="6">
        <v>42255.694814814815</v>
      </c>
    </row>
    <row r="2301" spans="4:8" x14ac:dyDescent="0.2">
      <c r="D2301" s="6"/>
      <c r="H2301" s="6">
        <v>42261.648611111108</v>
      </c>
    </row>
    <row r="2302" spans="4:8" x14ac:dyDescent="0.2">
      <c r="D2302" s="6"/>
      <c r="H2302" s="6">
        <v>42286.514560185184</v>
      </c>
    </row>
    <row r="2303" spans="4:8" x14ac:dyDescent="0.2">
      <c r="D2303" s="6"/>
      <c r="H2303" s="6">
        <v>42296.426354166666</v>
      </c>
    </row>
    <row r="2304" spans="4:8" x14ac:dyDescent="0.2">
      <c r="D2304" s="6"/>
      <c r="H2304" s="6">
        <v>42345.73269675926</v>
      </c>
    </row>
    <row r="2305" spans="1:8" x14ac:dyDescent="0.2">
      <c r="D2305" s="6"/>
      <c r="H2305" s="6">
        <v>42347.708981481483</v>
      </c>
    </row>
    <row r="2306" spans="1:8" x14ac:dyDescent="0.2">
      <c r="D2306" s="6"/>
      <c r="H2306" s="6">
        <v>42374.418113425927</v>
      </c>
    </row>
    <row r="2307" spans="1:8" x14ac:dyDescent="0.2">
      <c r="D2307" s="6"/>
      <c r="H2307" s="6">
        <v>41926.799560185187</v>
      </c>
    </row>
    <row r="2308" spans="1:8" x14ac:dyDescent="0.2">
      <c r="D2308" s="6"/>
      <c r="H2308" s="6">
        <v>41842.81722222222</v>
      </c>
    </row>
    <row r="2309" spans="1:8" x14ac:dyDescent="0.2">
      <c r="D2309" s="6"/>
      <c r="H2309" s="6">
        <v>42110.487326388888</v>
      </c>
    </row>
    <row r="2310" spans="1:8" x14ac:dyDescent="0.2">
      <c r="D2310" s="6"/>
      <c r="H2310" s="6">
        <v>42258.394259259258</v>
      </c>
    </row>
    <row r="2311" spans="1:8" x14ac:dyDescent="0.2">
      <c r="D2311" s="6"/>
      <c r="H2311" s="6">
        <v>42118.485439814816</v>
      </c>
    </row>
    <row r="2312" spans="1:8" x14ac:dyDescent="0.2">
      <c r="D2312" s="6"/>
      <c r="H2312" s="6">
        <v>42118.48128472222</v>
      </c>
    </row>
    <row r="2313" spans="1:8" x14ac:dyDescent="0.2">
      <c r="D2313" s="6"/>
      <c r="H2313" s="6">
        <v>41785.762986111113</v>
      </c>
    </row>
    <row r="2314" spans="1:8" x14ac:dyDescent="0.2">
      <c r="D2314" s="6"/>
      <c r="H2314" s="6">
        <v>42114.598124999997</v>
      </c>
    </row>
    <row r="2315" spans="1:8" x14ac:dyDescent="0.2">
      <c r="A2315" s="20"/>
      <c r="D2315" s="6"/>
      <c r="H2315" s="6">
        <v>41785.762592592589</v>
      </c>
    </row>
    <row r="2316" spans="1:8" x14ac:dyDescent="0.2">
      <c r="A2316" s="20"/>
      <c r="D2316" s="6"/>
      <c r="H2316" s="6">
        <v>41785.762766203705</v>
      </c>
    </row>
    <row r="2317" spans="1:8" x14ac:dyDescent="0.2">
      <c r="A2317" s="20"/>
      <c r="D2317" s="6"/>
      <c r="H2317" s="6">
        <v>41785.762777777774</v>
      </c>
    </row>
    <row r="2318" spans="1:8" x14ac:dyDescent="0.2">
      <c r="A2318" s="20"/>
      <c r="D2318" s="6"/>
      <c r="H2318" s="6">
        <v>41789.713125000002</v>
      </c>
    </row>
    <row r="2319" spans="1:8" x14ac:dyDescent="0.2">
      <c r="A2319" s="20"/>
      <c r="D2319" s="6"/>
      <c r="H2319" s="6">
        <v>42398.415775462963</v>
      </c>
    </row>
    <row r="2320" spans="1:8" x14ac:dyDescent="0.2">
      <c r="A2320" s="20"/>
      <c r="D2320" s="6"/>
      <c r="H2320" s="6">
        <v>42405.614803240744</v>
      </c>
    </row>
    <row r="2321" spans="1:8" x14ac:dyDescent="0.2">
      <c r="A2321" s="20"/>
      <c r="D2321" s="6"/>
      <c r="H2321" s="6">
        <v>42374.434814814813</v>
      </c>
    </row>
    <row r="2322" spans="1:8" x14ac:dyDescent="0.2">
      <c r="A2322" s="20"/>
      <c r="D2322" s="6"/>
      <c r="H2322" s="6">
        <v>42353.494386574072</v>
      </c>
    </row>
    <row r="2323" spans="1:8" x14ac:dyDescent="0.2">
      <c r="A2323" s="20"/>
      <c r="D2323" s="6"/>
      <c r="H2323" s="6">
        <v>42353.678842592592</v>
      </c>
    </row>
    <row r="2324" spans="1:8" x14ac:dyDescent="0.2">
      <c r="A2324" s="20"/>
      <c r="D2324" s="6"/>
      <c r="H2324" s="6">
        <v>42279.422395833331</v>
      </c>
    </row>
    <row r="2325" spans="1:8" x14ac:dyDescent="0.2">
      <c r="A2325" s="20"/>
      <c r="D2325" s="6"/>
      <c r="H2325" s="6">
        <v>42279.416192129633</v>
      </c>
    </row>
    <row r="2326" spans="1:8" x14ac:dyDescent="0.2">
      <c r="A2326" s="20"/>
      <c r="D2326" s="6"/>
      <c r="H2326" s="6">
        <v>42165.354722222219</v>
      </c>
    </row>
    <row r="2327" spans="1:8" x14ac:dyDescent="0.2">
      <c r="A2327" s="20"/>
      <c r="D2327" s="6"/>
      <c r="H2327" s="6">
        <v>42165.355729166666</v>
      </c>
    </row>
    <row r="2328" spans="1:8" x14ac:dyDescent="0.2">
      <c r="A2328" s="20"/>
      <c r="D2328" s="6"/>
      <c r="H2328" s="6">
        <v>42293.500555555554</v>
      </c>
    </row>
    <row r="2329" spans="1:8" x14ac:dyDescent="0.2">
      <c r="A2329" s="20"/>
      <c r="D2329" s="6"/>
      <c r="H2329" s="6">
        <v>42460.588171296295</v>
      </c>
    </row>
    <row r="2330" spans="1:8" x14ac:dyDescent="0.2">
      <c r="A2330" s="20"/>
      <c r="D2330" s="6"/>
      <c r="H2330" s="6">
        <v>42145.296990740739</v>
      </c>
    </row>
    <row r="2331" spans="1:8" x14ac:dyDescent="0.2">
      <c r="A2331" s="20"/>
      <c r="D2331" s="6"/>
      <c r="H2331" s="6">
        <v>42145.646678240744</v>
      </c>
    </row>
    <row r="2332" spans="1:8" x14ac:dyDescent="0.2">
      <c r="A2332" s="20"/>
      <c r="D2332" s="6"/>
      <c r="H2332" s="6">
        <v>42145.621296296296</v>
      </c>
    </row>
    <row r="2333" spans="1:8" x14ac:dyDescent="0.2">
      <c r="A2333" s="20"/>
      <c r="D2333" s="6"/>
      <c r="H2333" s="6">
        <v>42145.649317129632</v>
      </c>
    </row>
    <row r="2334" spans="1:8" x14ac:dyDescent="0.2">
      <c r="A2334" s="20"/>
      <c r="D2334" s="6"/>
      <c r="H2334" s="6">
        <v>42157.632453703707</v>
      </c>
    </row>
    <row r="2335" spans="1:8" x14ac:dyDescent="0.2">
      <c r="A2335" s="20"/>
      <c r="D2335" s="6"/>
      <c r="H2335" s="6">
        <v>42157.638784722221</v>
      </c>
    </row>
    <row r="2336" spans="1:8" x14ac:dyDescent="0.2">
      <c r="A2336" s="20"/>
      <c r="D2336" s="6"/>
      <c r="H2336" s="6">
        <v>42179.569722222222</v>
      </c>
    </row>
    <row r="2337" spans="1:8" x14ac:dyDescent="0.2">
      <c r="A2337" s="20"/>
      <c r="D2337" s="6"/>
      <c r="H2337" s="6">
        <v>42179.586296296293</v>
      </c>
    </row>
    <row r="2338" spans="1:8" x14ac:dyDescent="0.2">
      <c r="A2338" s="20"/>
      <c r="D2338" s="6"/>
      <c r="H2338" s="6">
        <v>42178.59516203704</v>
      </c>
    </row>
    <row r="2339" spans="1:8" x14ac:dyDescent="0.2">
      <c r="A2339" s="20"/>
      <c r="D2339" s="6"/>
      <c r="H2339" s="6">
        <v>42179.586481481485</v>
      </c>
    </row>
    <row r="2340" spans="1:8" x14ac:dyDescent="0.2">
      <c r="A2340" s="20"/>
      <c r="D2340" s="6"/>
      <c r="H2340" s="6">
        <v>42178.598680555559</v>
      </c>
    </row>
    <row r="2341" spans="1:8" x14ac:dyDescent="0.2">
      <c r="A2341" s="20"/>
      <c r="D2341" s="6"/>
      <c r="H2341" s="6">
        <v>42179.586805555555</v>
      </c>
    </row>
    <row r="2342" spans="1:8" x14ac:dyDescent="0.2">
      <c r="A2342" s="20"/>
      <c r="D2342" s="6"/>
      <c r="H2342" s="6">
        <v>42178.599560185183</v>
      </c>
    </row>
    <row r="2343" spans="1:8" x14ac:dyDescent="0.2">
      <c r="A2343" s="20"/>
      <c r="D2343" s="6"/>
      <c r="H2343" s="6">
        <v>42179.586134259262</v>
      </c>
    </row>
    <row r="2344" spans="1:8" x14ac:dyDescent="0.2">
      <c r="A2344" s="20"/>
      <c r="D2344" s="6"/>
      <c r="H2344" s="6">
        <v>42178.600173611114</v>
      </c>
    </row>
    <row r="2345" spans="1:8" x14ac:dyDescent="0.2">
      <c r="A2345" s="20"/>
      <c r="D2345" s="6"/>
      <c r="H2345" s="6">
        <v>42179.5858912037</v>
      </c>
    </row>
    <row r="2346" spans="1:8" x14ac:dyDescent="0.2">
      <c r="A2346" s="20"/>
      <c r="D2346" s="6"/>
      <c r="H2346" s="6">
        <v>42179.587106481478</v>
      </c>
    </row>
    <row r="2347" spans="1:8" x14ac:dyDescent="0.2">
      <c r="A2347" s="20"/>
      <c r="D2347" s="6"/>
      <c r="H2347" s="6">
        <v>42179.593576388892</v>
      </c>
    </row>
    <row r="2348" spans="1:8" x14ac:dyDescent="0.2">
      <c r="A2348" s="20"/>
      <c r="D2348" s="6"/>
      <c r="H2348" s="6">
        <v>42193.66479166667</v>
      </c>
    </row>
    <row r="2349" spans="1:8" x14ac:dyDescent="0.2">
      <c r="A2349" s="20"/>
      <c r="D2349" s="6"/>
      <c r="H2349" s="6">
        <v>42193.673368055555</v>
      </c>
    </row>
    <row r="2350" spans="1:8" x14ac:dyDescent="0.2">
      <c r="A2350" s="20"/>
      <c r="D2350" s="6"/>
      <c r="H2350" s="6">
        <v>42193.673981481479</v>
      </c>
    </row>
    <row r="2351" spans="1:8" x14ac:dyDescent="0.2">
      <c r="A2351" s="20"/>
      <c r="D2351" s="6"/>
      <c r="H2351" s="6">
        <v>42193.678020833337</v>
      </c>
    </row>
    <row r="2352" spans="1:8" x14ac:dyDescent="0.2">
      <c r="D2352" s="6"/>
      <c r="H2352" s="6">
        <v>42207.61440972222</v>
      </c>
    </row>
    <row r="2353" spans="4:8" x14ac:dyDescent="0.2">
      <c r="D2353" s="6"/>
      <c r="H2353" s="6">
        <v>42207.624745370369</v>
      </c>
    </row>
    <row r="2354" spans="4:8" x14ac:dyDescent="0.2">
      <c r="D2354" s="6"/>
      <c r="H2354" s="6">
        <v>42207.6175</v>
      </c>
    </row>
    <row r="2355" spans="4:8" x14ac:dyDescent="0.2">
      <c r="D2355" s="6"/>
      <c r="H2355" s="6">
        <v>42207.625034722223</v>
      </c>
    </row>
    <row r="2356" spans="4:8" x14ac:dyDescent="0.2">
      <c r="D2356" s="6"/>
      <c r="H2356" s="6">
        <v>42207.619004629632</v>
      </c>
    </row>
    <row r="2357" spans="4:8" x14ac:dyDescent="0.2">
      <c r="D2357" s="6"/>
      <c r="H2357" s="6">
        <v>42207.625254629631</v>
      </c>
    </row>
    <row r="2358" spans="4:8" x14ac:dyDescent="0.2">
      <c r="D2358" s="6"/>
      <c r="H2358" s="6">
        <v>42207.621435185189</v>
      </c>
    </row>
    <row r="2359" spans="4:8" x14ac:dyDescent="0.2">
      <c r="D2359" s="6"/>
      <c r="H2359" s="6">
        <v>42207.625509259262</v>
      </c>
    </row>
    <row r="2360" spans="4:8" x14ac:dyDescent="0.2">
      <c r="D2360" s="6"/>
      <c r="H2360" s="6">
        <v>42215.465856481482</v>
      </c>
    </row>
    <row r="2361" spans="4:8" x14ac:dyDescent="0.2">
      <c r="D2361" s="6"/>
      <c r="H2361" s="6">
        <v>42215.481898148151</v>
      </c>
    </row>
    <row r="2362" spans="4:8" x14ac:dyDescent="0.2">
      <c r="D2362" s="6"/>
      <c r="H2362" s="6">
        <v>42242.720636574071</v>
      </c>
    </row>
    <row r="2363" spans="4:8" x14ac:dyDescent="0.2">
      <c r="D2363" s="6"/>
      <c r="H2363" s="6">
        <v>42242.725289351853</v>
      </c>
    </row>
    <row r="2364" spans="4:8" x14ac:dyDescent="0.2">
      <c r="D2364" s="6"/>
      <c r="H2364" s="6">
        <v>42270.370150462964</v>
      </c>
    </row>
    <row r="2365" spans="4:8" x14ac:dyDescent="0.2">
      <c r="D2365" s="6"/>
      <c r="H2365" s="6">
        <v>42270.385451388887</v>
      </c>
    </row>
    <row r="2366" spans="4:8" x14ac:dyDescent="0.2">
      <c r="D2366" s="6"/>
      <c r="H2366" s="6">
        <v>42270.385787037034</v>
      </c>
    </row>
    <row r="2367" spans="4:8" x14ac:dyDescent="0.2">
      <c r="D2367" s="6"/>
      <c r="H2367" s="6">
        <v>42270.391585648147</v>
      </c>
    </row>
    <row r="2368" spans="4:8" x14ac:dyDescent="0.2">
      <c r="D2368" s="6"/>
      <c r="H2368" s="6">
        <v>42270.39261574074</v>
      </c>
    </row>
    <row r="2369" spans="4:8" x14ac:dyDescent="0.2">
      <c r="D2369" s="6"/>
      <c r="H2369" s="6">
        <v>42270.396435185183</v>
      </c>
    </row>
    <row r="2370" spans="4:8" x14ac:dyDescent="0.2">
      <c r="D2370" s="6"/>
      <c r="H2370" s="6">
        <v>42291.484907407408</v>
      </c>
    </row>
    <row r="2371" spans="4:8" x14ac:dyDescent="0.2">
      <c r="D2371" s="6"/>
      <c r="H2371" s="6">
        <v>42291.487534722219</v>
      </c>
    </row>
    <row r="2372" spans="4:8" x14ac:dyDescent="0.2">
      <c r="D2372" s="6"/>
      <c r="H2372" s="6">
        <v>42305.419722222221</v>
      </c>
    </row>
    <row r="2373" spans="4:8" x14ac:dyDescent="0.2">
      <c r="D2373" s="6"/>
      <c r="H2373" s="6">
        <v>42305.423935185187</v>
      </c>
    </row>
    <row r="2374" spans="4:8" x14ac:dyDescent="0.2">
      <c r="D2374" s="6"/>
      <c r="H2374" s="6">
        <v>42305.424328703702</v>
      </c>
    </row>
    <row r="2375" spans="4:8" x14ac:dyDescent="0.2">
      <c r="D2375" s="6"/>
      <c r="H2375" s="6">
        <v>42305.429699074077</v>
      </c>
    </row>
    <row r="2376" spans="4:8" x14ac:dyDescent="0.2">
      <c r="D2376" s="6"/>
      <c r="H2376" s="6">
        <v>42331.705879629626</v>
      </c>
    </row>
    <row r="2377" spans="4:8" x14ac:dyDescent="0.2">
      <c r="D2377" s="6"/>
      <c r="H2377" s="6">
        <v>42331.72351851852</v>
      </c>
    </row>
    <row r="2378" spans="4:8" x14ac:dyDescent="0.2">
      <c r="D2378" s="6"/>
      <c r="H2378" s="6">
        <v>42331.728171296294</v>
      </c>
    </row>
    <row r="2379" spans="4:8" x14ac:dyDescent="0.2">
      <c r="D2379" s="6"/>
      <c r="H2379" s="6">
        <v>42331.732349537036</v>
      </c>
    </row>
    <row r="2380" spans="4:8" x14ac:dyDescent="0.2">
      <c r="D2380" s="6"/>
      <c r="H2380" s="6">
        <v>42331.732858796298</v>
      </c>
    </row>
    <row r="2381" spans="4:8" x14ac:dyDescent="0.2">
      <c r="D2381" s="6"/>
      <c r="H2381" s="6">
        <v>42331.735810185186</v>
      </c>
    </row>
    <row r="2382" spans="4:8" x14ac:dyDescent="0.2">
      <c r="D2382" s="6"/>
      <c r="H2382" s="6">
        <v>42346.923449074071</v>
      </c>
    </row>
    <row r="2383" spans="4:8" x14ac:dyDescent="0.2">
      <c r="D2383" s="6"/>
      <c r="H2383" s="6">
        <v>42346.924398148149</v>
      </c>
    </row>
    <row r="2384" spans="4:8" x14ac:dyDescent="0.2">
      <c r="D2384" s="6"/>
      <c r="H2384" s="6">
        <v>42346.924456018518</v>
      </c>
    </row>
    <row r="2385" spans="4:8" x14ac:dyDescent="0.2">
      <c r="D2385" s="6"/>
      <c r="H2385" s="6">
        <v>42346.925451388888</v>
      </c>
    </row>
    <row r="2386" spans="4:8" x14ac:dyDescent="0.2">
      <c r="D2386" s="6"/>
      <c r="H2386" s="6">
        <v>42375.399780092594</v>
      </c>
    </row>
    <row r="2387" spans="4:8" x14ac:dyDescent="0.2">
      <c r="D2387" s="6"/>
      <c r="H2387" s="6">
        <v>42375.493252314816</v>
      </c>
    </row>
    <row r="2388" spans="4:8" x14ac:dyDescent="0.2">
      <c r="D2388" s="6"/>
      <c r="H2388" s="6">
        <v>42375.627581018518</v>
      </c>
    </row>
    <row r="2389" spans="4:8" x14ac:dyDescent="0.2">
      <c r="D2389" s="6"/>
      <c r="H2389" s="6">
        <v>42375.656493055554</v>
      </c>
    </row>
    <row r="2390" spans="4:8" x14ac:dyDescent="0.2">
      <c r="D2390" s="6"/>
      <c r="H2390" s="6">
        <v>42375.656712962962</v>
      </c>
    </row>
    <row r="2391" spans="4:8" x14ac:dyDescent="0.2">
      <c r="D2391" s="6"/>
      <c r="H2391" s="6">
        <v>42375.662361111114</v>
      </c>
    </row>
    <row r="2392" spans="4:8" x14ac:dyDescent="0.2">
      <c r="D2392" s="6"/>
      <c r="H2392" s="6">
        <v>42418.407708333332</v>
      </c>
    </row>
    <row r="2393" spans="4:8" x14ac:dyDescent="0.2">
      <c r="D2393" s="6"/>
      <c r="H2393" s="6">
        <v>42418.45239583333</v>
      </c>
    </row>
    <row r="2394" spans="4:8" x14ac:dyDescent="0.2">
      <c r="D2394" s="6"/>
      <c r="H2394" s="6">
        <v>42418.412418981483</v>
      </c>
    </row>
    <row r="2395" spans="4:8" x14ac:dyDescent="0.2">
      <c r="D2395" s="6"/>
      <c r="H2395" s="6">
        <v>42418.446840277778</v>
      </c>
    </row>
    <row r="2396" spans="4:8" x14ac:dyDescent="0.2">
      <c r="D2396" s="6"/>
      <c r="H2396" s="6">
        <v>42418.415960648148</v>
      </c>
    </row>
    <row r="2397" spans="4:8" x14ac:dyDescent="0.2">
      <c r="D2397" s="6"/>
      <c r="H2397" s="6">
        <v>42418.452106481483</v>
      </c>
    </row>
    <row r="2398" spans="4:8" x14ac:dyDescent="0.2">
      <c r="D2398" s="6"/>
      <c r="H2398" s="6">
        <v>42418.421851851854</v>
      </c>
    </row>
    <row r="2399" spans="4:8" x14ac:dyDescent="0.2">
      <c r="D2399" s="6"/>
      <c r="H2399" s="6">
        <v>42418.451863425929</v>
      </c>
    </row>
    <row r="2400" spans="4:8" x14ac:dyDescent="0.2">
      <c r="D2400" s="6"/>
      <c r="H2400" s="6">
        <v>42418.429884259262</v>
      </c>
    </row>
    <row r="2401" spans="4:8" x14ac:dyDescent="0.2">
      <c r="D2401" s="6"/>
      <c r="H2401" s="6">
        <v>42418.451574074075</v>
      </c>
    </row>
    <row r="2402" spans="4:8" x14ac:dyDescent="0.2">
      <c r="D2402" s="6"/>
      <c r="H2402" s="6">
        <v>42332.470613425925</v>
      </c>
    </row>
    <row r="2403" spans="4:8" x14ac:dyDescent="0.2">
      <c r="D2403" s="6"/>
      <c r="H2403" s="6">
        <v>42440.483298611114</v>
      </c>
    </row>
    <row r="2404" spans="4:8" x14ac:dyDescent="0.2">
      <c r="D2404" s="6"/>
      <c r="H2404" s="6">
        <v>42458.418773148151</v>
      </c>
    </row>
    <row r="2405" spans="4:8" x14ac:dyDescent="0.2">
      <c r="D2405" s="6"/>
      <c r="H2405" s="6">
        <v>42461.636018518519</v>
      </c>
    </row>
    <row r="2406" spans="4:8" x14ac:dyDescent="0.2">
      <c r="D2406" s="6"/>
      <c r="H2406" s="6">
        <v>42438.648958333331</v>
      </c>
    </row>
    <row r="2407" spans="4:8" x14ac:dyDescent="0.2">
      <c r="D2407" s="6"/>
      <c r="H2407" s="6">
        <v>42345.73710648148</v>
      </c>
    </row>
    <row r="2408" spans="4:8" x14ac:dyDescent="0.2">
      <c r="D2408" s="6"/>
      <c r="H2408" s="6">
        <v>42361.700185185182</v>
      </c>
    </row>
    <row r="2409" spans="4:8" x14ac:dyDescent="0.2">
      <c r="D2409" s="6"/>
      <c r="H2409" s="6">
        <v>42340.506701388891</v>
      </c>
    </row>
    <row r="2410" spans="4:8" x14ac:dyDescent="0.2">
      <c r="D2410" s="6"/>
      <c r="H2410" s="6">
        <v>42340.482164351852</v>
      </c>
    </row>
    <row r="2411" spans="4:8" x14ac:dyDescent="0.2">
      <c r="D2411" s="6"/>
      <c r="H2411" s="6">
        <v>42146.4219212963</v>
      </c>
    </row>
    <row r="2412" spans="4:8" x14ac:dyDescent="0.2">
      <c r="D2412" s="6"/>
      <c r="H2412" s="6">
        <v>42153.429756944446</v>
      </c>
    </row>
    <row r="2413" spans="4:8" x14ac:dyDescent="0.2">
      <c r="D2413" s="6"/>
      <c r="H2413" s="6">
        <v>42171.769224537034</v>
      </c>
    </row>
    <row r="2414" spans="4:8" x14ac:dyDescent="0.2">
      <c r="D2414" s="6"/>
      <c r="H2414" s="6">
        <v>42171.772094907406</v>
      </c>
    </row>
    <row r="2415" spans="4:8" x14ac:dyDescent="0.2">
      <c r="D2415" s="6"/>
      <c r="H2415" s="6">
        <v>42171.772233796299</v>
      </c>
    </row>
    <row r="2416" spans="4:8" x14ac:dyDescent="0.2">
      <c r="D2416" s="6"/>
      <c r="H2416" s="6">
        <v>42171.774050925924</v>
      </c>
    </row>
    <row r="2417" spans="4:8" x14ac:dyDescent="0.2">
      <c r="D2417" s="6"/>
      <c r="H2417" s="6">
        <v>42171.774178240739</v>
      </c>
    </row>
    <row r="2418" spans="4:8" x14ac:dyDescent="0.2">
      <c r="D2418" s="6"/>
      <c r="H2418" s="6">
        <v>42171.775543981479</v>
      </c>
    </row>
    <row r="2419" spans="4:8" x14ac:dyDescent="0.2">
      <c r="D2419" s="6"/>
      <c r="H2419" s="6">
        <v>42205.445891203701</v>
      </c>
    </row>
    <row r="2420" spans="4:8" x14ac:dyDescent="0.2">
      <c r="D2420" s="6"/>
      <c r="H2420" s="6">
        <v>42205.449444444443</v>
      </c>
    </row>
    <row r="2421" spans="4:8" x14ac:dyDescent="0.2">
      <c r="D2421" s="6"/>
      <c r="H2421" s="6">
        <v>42205.449571759258</v>
      </c>
    </row>
    <row r="2422" spans="4:8" x14ac:dyDescent="0.2">
      <c r="D2422" s="6"/>
      <c r="H2422" s="6">
        <v>42205.451226851852</v>
      </c>
    </row>
    <row r="2423" spans="4:8" x14ac:dyDescent="0.2">
      <c r="D2423" s="6"/>
      <c r="H2423" s="6">
        <v>42205.451331018521</v>
      </c>
    </row>
    <row r="2424" spans="4:8" x14ac:dyDescent="0.2">
      <c r="D2424" s="6"/>
      <c r="H2424" s="6">
        <v>42205.452037037037</v>
      </c>
    </row>
    <row r="2425" spans="4:8" x14ac:dyDescent="0.2">
      <c r="D2425" s="6"/>
      <c r="H2425" s="6">
        <v>42205.452164351853</v>
      </c>
    </row>
    <row r="2426" spans="4:8" x14ac:dyDescent="0.2">
      <c r="D2426" s="6"/>
      <c r="H2426" s="6">
        <v>42205.47314814815</v>
      </c>
    </row>
    <row r="2427" spans="4:8" x14ac:dyDescent="0.2">
      <c r="D2427" s="6"/>
      <c r="H2427" s="6">
        <v>42205.473252314812</v>
      </c>
    </row>
    <row r="2428" spans="4:8" x14ac:dyDescent="0.2">
      <c r="D2428" s="6"/>
      <c r="H2428" s="6">
        <v>42205.474212962959</v>
      </c>
    </row>
    <row r="2429" spans="4:8" x14ac:dyDescent="0.2">
      <c r="D2429" s="6"/>
      <c r="H2429" s="6">
        <v>42205.474328703705</v>
      </c>
    </row>
    <row r="2430" spans="4:8" x14ac:dyDescent="0.2">
      <c r="D2430" s="6"/>
      <c r="H2430" s="6">
        <v>42205.478182870371</v>
      </c>
    </row>
    <row r="2431" spans="4:8" x14ac:dyDescent="0.2">
      <c r="D2431" s="6"/>
      <c r="H2431" s="6">
        <v>42205.478229166663</v>
      </c>
    </row>
    <row r="2432" spans="4:8" x14ac:dyDescent="0.2">
      <c r="D2432" s="6"/>
      <c r="H2432" s="6">
        <v>42205.479409722226</v>
      </c>
    </row>
    <row r="2433" spans="1:8" x14ac:dyDescent="0.2">
      <c r="D2433" s="6"/>
      <c r="H2433" s="6">
        <v>42205.479490740741</v>
      </c>
    </row>
    <row r="2434" spans="1:8" x14ac:dyDescent="0.2">
      <c r="A2434" s="20"/>
      <c r="D2434" s="6"/>
      <c r="H2434" s="6">
        <v>42205.481099537035</v>
      </c>
    </row>
    <row r="2435" spans="1:8" x14ac:dyDescent="0.2">
      <c r="A2435" s="20"/>
      <c r="D2435" s="6"/>
      <c r="H2435" s="6">
        <v>42205.481180555558</v>
      </c>
    </row>
    <row r="2436" spans="1:8" x14ac:dyDescent="0.2">
      <c r="A2436" s="20"/>
      <c r="D2436" s="6"/>
      <c r="H2436" s="6">
        <v>42205.488518518519</v>
      </c>
    </row>
    <row r="2437" spans="1:8" x14ac:dyDescent="0.2">
      <c r="A2437" s="20"/>
      <c r="D2437" s="6"/>
      <c r="H2437" s="6">
        <v>42205.488622685189</v>
      </c>
    </row>
    <row r="2438" spans="1:8" x14ac:dyDescent="0.2">
      <c r="A2438" s="20"/>
      <c r="D2438" s="6"/>
      <c r="H2438" s="6">
        <v>42205.493935185186</v>
      </c>
    </row>
    <row r="2439" spans="1:8" x14ac:dyDescent="0.2">
      <c r="A2439" s="20"/>
      <c r="D2439" s="6"/>
      <c r="H2439" s="6">
        <v>42242.715486111112</v>
      </c>
    </row>
    <row r="2440" spans="1:8" x14ac:dyDescent="0.2">
      <c r="A2440" s="20"/>
      <c r="D2440" s="6"/>
      <c r="H2440" s="6">
        <v>42242.717685185184</v>
      </c>
    </row>
    <row r="2441" spans="1:8" x14ac:dyDescent="0.2">
      <c r="A2441" s="20"/>
      <c r="D2441" s="6"/>
      <c r="H2441" s="6">
        <v>42242.715509259258</v>
      </c>
    </row>
    <row r="2442" spans="1:8" x14ac:dyDescent="0.2">
      <c r="A2442" s="20"/>
      <c r="D2442" s="6"/>
      <c r="H2442" s="6">
        <v>42242.720277777778</v>
      </c>
    </row>
    <row r="2443" spans="1:8" x14ac:dyDescent="0.2">
      <c r="A2443" s="20"/>
      <c r="D2443" s="6"/>
      <c r="H2443" s="6">
        <v>42264.508923611109</v>
      </c>
    </row>
    <row r="2444" spans="1:8" x14ac:dyDescent="0.2">
      <c r="A2444" s="20"/>
      <c r="D2444" s="6"/>
      <c r="H2444" s="6">
        <v>42264.523773148147</v>
      </c>
    </row>
    <row r="2445" spans="1:8" x14ac:dyDescent="0.2">
      <c r="A2445" s="20"/>
      <c r="D2445" s="6"/>
      <c r="H2445" s="6">
        <v>42264.512962962966</v>
      </c>
    </row>
    <row r="2446" spans="1:8" x14ac:dyDescent="0.2">
      <c r="A2446" s="20"/>
      <c r="D2446" s="6"/>
      <c r="E2446" s="9"/>
      <c r="H2446" s="6">
        <v>42264.523958333331</v>
      </c>
    </row>
    <row r="2447" spans="1:8" x14ac:dyDescent="0.2">
      <c r="A2447" s="20"/>
      <c r="D2447" s="6"/>
      <c r="H2447" s="6">
        <v>42264.516377314816</v>
      </c>
    </row>
    <row r="2448" spans="1:8" x14ac:dyDescent="0.2">
      <c r="D2448" s="6"/>
      <c r="H2448" s="6">
        <v>42264.5233912037</v>
      </c>
    </row>
    <row r="2449" spans="4:8" x14ac:dyDescent="0.2">
      <c r="D2449" s="6"/>
      <c r="H2449" s="6">
        <v>42264.518530092595</v>
      </c>
    </row>
    <row r="2450" spans="4:8" x14ac:dyDescent="0.2">
      <c r="D2450" s="6"/>
      <c r="H2450" s="6">
        <v>42264.52416666667</v>
      </c>
    </row>
    <row r="2451" spans="4:8" x14ac:dyDescent="0.2">
      <c r="D2451" s="6"/>
      <c r="H2451" s="6">
        <v>42264.519629629627</v>
      </c>
    </row>
    <row r="2452" spans="4:8" x14ac:dyDescent="0.2">
      <c r="D2452" s="6"/>
      <c r="H2452" s="6">
        <v>42264.523576388892</v>
      </c>
    </row>
    <row r="2453" spans="4:8" x14ac:dyDescent="0.2">
      <c r="D2453" s="6"/>
      <c r="H2453" s="6">
        <v>42264.520636574074</v>
      </c>
    </row>
    <row r="2454" spans="4:8" x14ac:dyDescent="0.2">
      <c r="D2454" s="6"/>
      <c r="H2454" s="6">
        <v>42264.523078703707</v>
      </c>
    </row>
    <row r="2455" spans="4:8" x14ac:dyDescent="0.2">
      <c r="D2455" s="6"/>
      <c r="H2455" s="6">
        <v>42291.405543981484</v>
      </c>
    </row>
    <row r="2456" spans="4:8" x14ac:dyDescent="0.2">
      <c r="D2456" s="6"/>
      <c r="H2456" s="6">
        <v>42291.489189814813</v>
      </c>
    </row>
    <row r="2457" spans="4:8" x14ac:dyDescent="0.2">
      <c r="D2457" s="6"/>
      <c r="H2457" s="6">
        <v>42324.645069444443</v>
      </c>
    </row>
    <row r="2458" spans="4:8" x14ac:dyDescent="0.2">
      <c r="D2458" s="6"/>
      <c r="H2458" s="6">
        <v>42324.648009259261</v>
      </c>
    </row>
    <row r="2459" spans="4:8" x14ac:dyDescent="0.2">
      <c r="D2459" s="6"/>
      <c r="H2459" s="6">
        <v>42324.646736111114</v>
      </c>
    </row>
    <row r="2460" spans="4:8" x14ac:dyDescent="0.2">
      <c r="D2460" s="6"/>
      <c r="H2460" s="6">
        <v>42324.648900462962</v>
      </c>
    </row>
    <row r="2461" spans="4:8" x14ac:dyDescent="0.2">
      <c r="D2461" s="6"/>
      <c r="H2461" s="6">
        <v>42324.648148148146</v>
      </c>
    </row>
    <row r="2462" spans="4:8" x14ac:dyDescent="0.2">
      <c r="D2462" s="6"/>
      <c r="H2462" s="6">
        <v>42324.650543981479</v>
      </c>
    </row>
    <row r="2463" spans="4:8" x14ac:dyDescent="0.2">
      <c r="D2463" s="6"/>
      <c r="H2463" s="6">
        <v>42324.651724537034</v>
      </c>
    </row>
    <row r="2464" spans="4:8" x14ac:dyDescent="0.2">
      <c r="D2464" s="6"/>
      <c r="H2464" s="6">
        <v>42324.665185185186</v>
      </c>
    </row>
    <row r="2465" spans="1:8" x14ac:dyDescent="0.2">
      <c r="D2465" s="6"/>
      <c r="H2465" s="6">
        <v>42324.655833333331</v>
      </c>
    </row>
    <row r="2466" spans="1:8" x14ac:dyDescent="0.2">
      <c r="D2466" s="6"/>
      <c r="H2466" s="6">
        <v>42324.657708333332</v>
      </c>
    </row>
    <row r="2467" spans="1:8" x14ac:dyDescent="0.2">
      <c r="D2467" s="6"/>
      <c r="H2467" s="6">
        <v>42324.657858796294</v>
      </c>
    </row>
    <row r="2468" spans="1:8" x14ac:dyDescent="0.2">
      <c r="D2468" s="6"/>
      <c r="H2468" s="6">
        <v>42324.669861111113</v>
      </c>
    </row>
    <row r="2469" spans="1:8" x14ac:dyDescent="0.2">
      <c r="D2469" s="6"/>
      <c r="H2469" s="6">
        <v>42324.663159722222</v>
      </c>
    </row>
    <row r="2470" spans="1:8" x14ac:dyDescent="0.2">
      <c r="D2470" s="6"/>
      <c r="H2470" s="6">
        <v>42324.664398148147</v>
      </c>
    </row>
    <row r="2471" spans="1:8" x14ac:dyDescent="0.2">
      <c r="D2471" s="6"/>
      <c r="H2471" s="6">
        <v>42324.670856481483</v>
      </c>
    </row>
    <row r="2472" spans="1:8" x14ac:dyDescent="0.2">
      <c r="D2472" s="6"/>
      <c r="H2472" s="6">
        <v>42324.690335648149</v>
      </c>
    </row>
    <row r="2473" spans="1:8" x14ac:dyDescent="0.2">
      <c r="D2473" s="6"/>
      <c r="H2473" s="6">
        <v>42324.686840277776</v>
      </c>
    </row>
    <row r="2474" spans="1:8" x14ac:dyDescent="0.2">
      <c r="D2474" s="6"/>
      <c r="H2474" s="6">
        <v>42324.688564814816</v>
      </c>
    </row>
    <row r="2475" spans="1:8" x14ac:dyDescent="0.2">
      <c r="A2475" s="20"/>
      <c r="D2475" s="6"/>
      <c r="H2475" s="6">
        <v>42361.694791666669</v>
      </c>
    </row>
    <row r="2476" spans="1:8" x14ac:dyDescent="0.2">
      <c r="A2476" s="20"/>
      <c r="D2476" s="6"/>
      <c r="H2476" s="6">
        <v>42361.697326388887</v>
      </c>
    </row>
    <row r="2477" spans="1:8" x14ac:dyDescent="0.2">
      <c r="A2477" s="20"/>
      <c r="D2477" s="6"/>
      <c r="H2477" s="6">
        <v>42110.622708333336</v>
      </c>
    </row>
    <row r="2478" spans="1:8" x14ac:dyDescent="0.2">
      <c r="A2478" s="20"/>
      <c r="D2478" s="6"/>
      <c r="H2478" s="6">
        <v>42110.65053240741</v>
      </c>
    </row>
    <row r="2479" spans="1:8" x14ac:dyDescent="0.2">
      <c r="A2479" s="20"/>
      <c r="D2479" s="6"/>
      <c r="H2479" s="6">
        <v>42110.580729166664</v>
      </c>
    </row>
    <row r="2480" spans="1:8" x14ac:dyDescent="0.2">
      <c r="A2480" s="20"/>
      <c r="D2480" s="6"/>
      <c r="H2480" s="6">
        <v>42394.771678240744</v>
      </c>
    </row>
    <row r="2481" spans="1:8" x14ac:dyDescent="0.2">
      <c r="A2481" s="20"/>
      <c r="D2481" s="6"/>
      <c r="H2481" s="6">
        <v>42394.504212962966</v>
      </c>
    </row>
    <row r="2482" spans="1:8" x14ac:dyDescent="0.2">
      <c r="A2482" s="20"/>
      <c r="D2482" s="6"/>
      <c r="H2482" s="6">
        <v>42404.563032407408</v>
      </c>
    </row>
    <row r="2483" spans="1:8" x14ac:dyDescent="0.2">
      <c r="A2483" s="20"/>
      <c r="D2483" s="6"/>
      <c r="H2483" s="6">
        <v>42396.55574074074</v>
      </c>
    </row>
    <row r="2484" spans="1:8" x14ac:dyDescent="0.2">
      <c r="A2484" s="20"/>
      <c r="D2484" s="6"/>
      <c r="H2484" s="6">
        <v>42404.568148148152</v>
      </c>
    </row>
    <row r="2485" spans="1:8" x14ac:dyDescent="0.2">
      <c r="A2485" s="20"/>
      <c r="D2485" s="6"/>
      <c r="H2485" s="6">
        <v>42404.521851851852</v>
      </c>
    </row>
    <row r="2486" spans="1:8" x14ac:dyDescent="0.2">
      <c r="A2486" s="20"/>
      <c r="D2486" s="6"/>
      <c r="H2486" s="6">
        <v>42433.75917824074</v>
      </c>
    </row>
    <row r="2487" spans="1:8" x14ac:dyDescent="0.2">
      <c r="A2487" s="20"/>
      <c r="D2487" s="6"/>
      <c r="H2487" s="6">
        <v>42433.488842592589</v>
      </c>
    </row>
    <row r="2488" spans="1:8" x14ac:dyDescent="0.2">
      <c r="A2488" s="20"/>
      <c r="D2488" s="6"/>
      <c r="H2488" s="6">
        <v>42453.645937499998</v>
      </c>
    </row>
    <row r="2489" spans="1:8" x14ac:dyDescent="0.2">
      <c r="D2489" s="6"/>
      <c r="H2489" s="6">
        <v>42452.526909722219</v>
      </c>
    </row>
    <row r="2490" spans="1:8" x14ac:dyDescent="0.2">
      <c r="D2490" s="6"/>
      <c r="H2490" s="6">
        <v>42453.64570601852</v>
      </c>
    </row>
    <row r="2491" spans="1:8" x14ac:dyDescent="0.2">
      <c r="D2491" s="6"/>
      <c r="H2491" s="6">
        <v>42452.561469907407</v>
      </c>
    </row>
    <row r="2492" spans="1:8" x14ac:dyDescent="0.2">
      <c r="D2492" s="6"/>
      <c r="H2492" s="6">
        <v>42453.645208333335</v>
      </c>
    </row>
    <row r="2493" spans="1:8" x14ac:dyDescent="0.2">
      <c r="D2493" s="6"/>
      <c r="H2493" s="6">
        <v>42453.555439814816</v>
      </c>
    </row>
    <row r="2494" spans="1:8" x14ac:dyDescent="0.2">
      <c r="D2494" s="6"/>
      <c r="H2494" s="6">
        <v>42464.729074074072</v>
      </c>
    </row>
    <row r="2495" spans="1:8" x14ac:dyDescent="0.2">
      <c r="D2495" s="6"/>
      <c r="H2495" s="6">
        <v>42458.748796296299</v>
      </c>
    </row>
    <row r="2496" spans="1:8" x14ac:dyDescent="0.2">
      <c r="D2496" s="6"/>
      <c r="H2496" s="6">
        <v>42458.718587962961</v>
      </c>
    </row>
    <row r="2497" spans="4:8" x14ac:dyDescent="0.2">
      <c r="D2497" s="6"/>
      <c r="H2497" s="6">
        <v>42464.730069444442</v>
      </c>
    </row>
    <row r="2498" spans="4:8" x14ac:dyDescent="0.2">
      <c r="D2498" s="6"/>
      <c r="H2498" s="6">
        <v>42464.691631944443</v>
      </c>
    </row>
    <row r="2499" spans="4:8" x14ac:dyDescent="0.2">
      <c r="D2499" s="6"/>
      <c r="H2499" s="6">
        <v>42464.730358796296</v>
      </c>
    </row>
    <row r="2500" spans="4:8" x14ac:dyDescent="0.2">
      <c r="D2500" s="6"/>
      <c r="H2500" s="6">
        <v>42464.661990740744</v>
      </c>
    </row>
    <row r="2501" spans="4:8" x14ac:dyDescent="0.2">
      <c r="D2501" s="6"/>
      <c r="H2501" s="6">
        <v>42464.730613425927</v>
      </c>
    </row>
    <row r="2502" spans="4:8" x14ac:dyDescent="0.2">
      <c r="D2502" s="6"/>
      <c r="H2502" s="6">
        <v>42464.639097222222</v>
      </c>
    </row>
    <row r="2503" spans="4:8" x14ac:dyDescent="0.2">
      <c r="D2503" s="6"/>
      <c r="H2503" s="6">
        <v>42398.76353009259</v>
      </c>
    </row>
    <row r="2504" spans="4:8" x14ac:dyDescent="0.2">
      <c r="D2504" s="6"/>
      <c r="H2504" s="6">
        <v>42415.494085648148</v>
      </c>
    </row>
    <row r="2505" spans="4:8" x14ac:dyDescent="0.2">
      <c r="D2505" s="6"/>
      <c r="H2505" s="6">
        <v>42415.494085648148</v>
      </c>
    </row>
    <row r="2506" spans="4:8" x14ac:dyDescent="0.2">
      <c r="D2506" s="6"/>
      <c r="H2506" s="6">
        <v>42464.632430555554</v>
      </c>
    </row>
    <row r="2507" spans="4:8" x14ac:dyDescent="0.2">
      <c r="D2507" s="6"/>
      <c r="H2507" s="6">
        <v>42464.632430555554</v>
      </c>
    </row>
    <row r="2508" spans="4:8" x14ac:dyDescent="0.2">
      <c r="D2508" s="6"/>
      <c r="H2508" s="6">
        <v>42464.632430555554</v>
      </c>
    </row>
    <row r="2509" spans="4:8" x14ac:dyDescent="0.2">
      <c r="D2509" s="6"/>
      <c r="H2509" s="6">
        <v>42464.632372685184</v>
      </c>
    </row>
    <row r="2510" spans="4:8" x14ac:dyDescent="0.2">
      <c r="D2510" s="6"/>
      <c r="H2510" s="6">
        <v>42398.76353009259</v>
      </c>
    </row>
    <row r="2511" spans="4:8" x14ac:dyDescent="0.2">
      <c r="D2511" s="6"/>
      <c r="H2511" s="6">
        <v>42401.699374999997</v>
      </c>
    </row>
    <row r="2512" spans="4:8" x14ac:dyDescent="0.2">
      <c r="D2512" s="6"/>
      <c r="H2512" s="6">
        <v>42401.699444444443</v>
      </c>
    </row>
    <row r="2513" spans="4:8" x14ac:dyDescent="0.2">
      <c r="D2513" s="6"/>
      <c r="H2513" s="6">
        <v>42401.699444444443</v>
      </c>
    </row>
    <row r="2514" spans="4:8" x14ac:dyDescent="0.2">
      <c r="D2514" s="6"/>
      <c r="H2514" s="6">
        <v>42403.722800925927</v>
      </c>
    </row>
    <row r="2515" spans="4:8" x14ac:dyDescent="0.2">
      <c r="D2515" s="6"/>
      <c r="H2515" s="6">
        <v>42415.630370370367</v>
      </c>
    </row>
    <row r="2516" spans="4:8" x14ac:dyDescent="0.2">
      <c r="D2516" s="6"/>
      <c r="H2516" s="6">
        <v>42418.617546296293</v>
      </c>
    </row>
    <row r="2517" spans="4:8" x14ac:dyDescent="0.2">
      <c r="D2517" s="6"/>
      <c r="H2517" s="6">
        <v>42453.449074074073</v>
      </c>
    </row>
    <row r="2518" spans="4:8" x14ac:dyDescent="0.2">
      <c r="D2518" s="6"/>
      <c r="H2518" s="6">
        <v>42480.400462962964</v>
      </c>
    </row>
    <row r="2519" spans="4:8" x14ac:dyDescent="0.2">
      <c r="D2519" s="6"/>
      <c r="H2519" s="6">
        <v>42480.400462962964</v>
      </c>
    </row>
    <row r="2520" spans="4:8" x14ac:dyDescent="0.2">
      <c r="D2520" s="6"/>
      <c r="H2520" s="6">
        <v>42480.400462962964</v>
      </c>
    </row>
    <row r="2521" spans="4:8" x14ac:dyDescent="0.2">
      <c r="D2521" s="6"/>
      <c r="H2521" s="6">
        <v>42480.400462962964</v>
      </c>
    </row>
    <row r="2522" spans="4:8" x14ac:dyDescent="0.2">
      <c r="D2522" s="6"/>
      <c r="H2522" s="6">
        <v>42480.400462962964</v>
      </c>
    </row>
    <row r="2523" spans="4:8" x14ac:dyDescent="0.2">
      <c r="D2523" s="6"/>
      <c r="H2523" s="6">
        <v>42464.735451388886</v>
      </c>
    </row>
    <row r="2524" spans="4:8" x14ac:dyDescent="0.2">
      <c r="D2524" s="6"/>
      <c r="H2524" s="6">
        <v>42331.532013888886</v>
      </c>
    </row>
    <row r="2525" spans="4:8" x14ac:dyDescent="0.2">
      <c r="D2525" s="6"/>
      <c r="H2525" s="6">
        <v>42331.532013888886</v>
      </c>
    </row>
    <row r="2526" spans="4:8" x14ac:dyDescent="0.2">
      <c r="D2526" s="6"/>
      <c r="H2526" s="6">
        <v>42331.532013888886</v>
      </c>
    </row>
    <row r="2527" spans="4:8" x14ac:dyDescent="0.2">
      <c r="D2527" s="6"/>
      <c r="H2527" s="6">
        <v>42331.532013888886</v>
      </c>
    </row>
    <row r="2528" spans="4:8" x14ac:dyDescent="0.2">
      <c r="D2528" s="6"/>
      <c r="H2528" s="6">
        <v>42331.532025462962</v>
      </c>
    </row>
    <row r="2529" spans="4:8" x14ac:dyDescent="0.2">
      <c r="D2529" s="6"/>
      <c r="H2529" s="6">
        <v>42331.532025462962</v>
      </c>
    </row>
    <row r="2530" spans="4:8" x14ac:dyDescent="0.2">
      <c r="D2530" s="6"/>
      <c r="H2530" s="6">
        <v>42331.532025462962</v>
      </c>
    </row>
    <row r="2531" spans="4:8" x14ac:dyDescent="0.2">
      <c r="D2531" s="6"/>
      <c r="H2531" s="6">
        <v>42331.532013888886</v>
      </c>
    </row>
    <row r="2532" spans="4:8" x14ac:dyDescent="0.2">
      <c r="D2532" s="6"/>
      <c r="H2532" s="6">
        <v>42331.532025462962</v>
      </c>
    </row>
    <row r="2533" spans="4:8" x14ac:dyDescent="0.2">
      <c r="D2533" s="6"/>
      <c r="H2533" s="6">
        <v>42331.532037037039</v>
      </c>
    </row>
    <row r="2534" spans="4:8" x14ac:dyDescent="0.2">
      <c r="D2534" s="6"/>
      <c r="H2534" s="6">
        <v>42331.532037037039</v>
      </c>
    </row>
    <row r="2535" spans="4:8" x14ac:dyDescent="0.2">
      <c r="D2535" s="6"/>
      <c r="H2535" s="6">
        <v>42331.532037037039</v>
      </c>
    </row>
    <row r="2536" spans="4:8" x14ac:dyDescent="0.2">
      <c r="D2536" s="6"/>
      <c r="H2536" s="6">
        <v>42331.532037037039</v>
      </c>
    </row>
    <row r="2537" spans="4:8" x14ac:dyDescent="0.2">
      <c r="D2537" s="6"/>
      <c r="H2537" s="6">
        <v>42331.532037037039</v>
      </c>
    </row>
    <row r="2538" spans="4:8" x14ac:dyDescent="0.2">
      <c r="D2538" s="6"/>
      <c r="H2538" s="6">
        <v>42331.532037037039</v>
      </c>
    </row>
    <row r="2539" spans="4:8" x14ac:dyDescent="0.2">
      <c r="D2539" s="6"/>
      <c r="H2539" s="6">
        <v>42331.532048611109</v>
      </c>
    </row>
    <row r="2540" spans="4:8" x14ac:dyDescent="0.2">
      <c r="D2540" s="6"/>
      <c r="H2540" s="6">
        <v>42331.532395833332</v>
      </c>
    </row>
    <row r="2541" spans="4:8" x14ac:dyDescent="0.2">
      <c r="D2541" s="6"/>
      <c r="H2541" s="6">
        <v>42331.532395833332</v>
      </c>
    </row>
    <row r="2542" spans="4:8" x14ac:dyDescent="0.2">
      <c r="D2542" s="6"/>
      <c r="H2542" s="6">
        <v>42331.532395833332</v>
      </c>
    </row>
    <row r="2543" spans="4:8" x14ac:dyDescent="0.2">
      <c r="D2543" s="6"/>
      <c r="H2543" s="6">
        <v>42331.532407407409</v>
      </c>
    </row>
    <row r="2544" spans="4:8" x14ac:dyDescent="0.2">
      <c r="D2544" s="6"/>
      <c r="H2544" s="6">
        <v>42331.532407407409</v>
      </c>
    </row>
    <row r="2545" spans="4:8" x14ac:dyDescent="0.2">
      <c r="D2545" s="6"/>
      <c r="H2545" s="6">
        <v>42331.532407407409</v>
      </c>
    </row>
    <row r="2546" spans="4:8" x14ac:dyDescent="0.2">
      <c r="D2546" s="6"/>
      <c r="H2546" s="6">
        <v>42331.532407407409</v>
      </c>
    </row>
    <row r="2547" spans="4:8" x14ac:dyDescent="0.2">
      <c r="D2547" s="6"/>
      <c r="H2547" s="6">
        <v>42331.532407407409</v>
      </c>
    </row>
    <row r="2548" spans="4:8" x14ac:dyDescent="0.2">
      <c r="D2548" s="6"/>
      <c r="H2548" s="6">
        <v>42331.532407407409</v>
      </c>
    </row>
    <row r="2549" spans="4:8" x14ac:dyDescent="0.2">
      <c r="D2549" s="6"/>
      <c r="H2549" s="6">
        <v>42331.532418981478</v>
      </c>
    </row>
    <row r="2550" spans="4:8" x14ac:dyDescent="0.2">
      <c r="D2550" s="6"/>
      <c r="H2550" s="6">
        <v>42331.532418981478</v>
      </c>
    </row>
    <row r="2551" spans="4:8" x14ac:dyDescent="0.2">
      <c r="D2551" s="6"/>
      <c r="H2551" s="6">
        <v>42331.532418981478</v>
      </c>
    </row>
    <row r="2552" spans="4:8" x14ac:dyDescent="0.2">
      <c r="D2552" s="6"/>
      <c r="H2552" s="6">
        <v>42331.532418981478</v>
      </c>
    </row>
    <row r="2553" spans="4:8" x14ac:dyDescent="0.2">
      <c r="D2553" s="6"/>
      <c r="H2553" s="6">
        <v>42331.532430555555</v>
      </c>
    </row>
    <row r="2554" spans="4:8" x14ac:dyDescent="0.2">
      <c r="D2554" s="6"/>
      <c r="H2554" s="6">
        <v>42331.532430555555</v>
      </c>
    </row>
    <row r="2555" spans="4:8" x14ac:dyDescent="0.2">
      <c r="D2555" s="6"/>
      <c r="H2555" s="6">
        <v>42331.532418981478</v>
      </c>
    </row>
    <row r="2556" spans="4:8" x14ac:dyDescent="0.2">
      <c r="D2556" s="6"/>
      <c r="H2556" s="6">
        <v>42326.773055555554</v>
      </c>
    </row>
    <row r="2557" spans="4:8" x14ac:dyDescent="0.2">
      <c r="D2557" s="6"/>
      <c r="H2557" s="6">
        <v>42326.773090277777</v>
      </c>
    </row>
    <row r="2558" spans="4:8" x14ac:dyDescent="0.2">
      <c r="D2558" s="6"/>
      <c r="H2558" s="6">
        <v>42326.773125</v>
      </c>
    </row>
    <row r="2559" spans="4:8" x14ac:dyDescent="0.2">
      <c r="D2559" s="6"/>
      <c r="H2559" s="6">
        <v>42326.772858796299</v>
      </c>
    </row>
    <row r="2560" spans="4:8" x14ac:dyDescent="0.2">
      <c r="D2560" s="6"/>
      <c r="H2560" s="6">
        <v>42326.772905092592</v>
      </c>
    </row>
    <row r="2561" spans="1:8" x14ac:dyDescent="0.2">
      <c r="D2561" s="6"/>
      <c r="H2561" s="6">
        <v>42326.772777777776</v>
      </c>
    </row>
    <row r="2562" spans="1:8" x14ac:dyDescent="0.2">
      <c r="D2562" s="6"/>
      <c r="H2562" s="6">
        <v>42324.646226851852</v>
      </c>
    </row>
    <row r="2563" spans="1:8" x14ac:dyDescent="0.2">
      <c r="D2563" s="6"/>
      <c r="H2563" s="6">
        <v>42326.772511574076</v>
      </c>
    </row>
    <row r="2564" spans="1:8" x14ac:dyDescent="0.2">
      <c r="D2564" s="6"/>
      <c r="H2564" s="6">
        <v>42324.646365740744</v>
      </c>
    </row>
    <row r="2565" spans="1:8" x14ac:dyDescent="0.2">
      <c r="D2565" s="6"/>
      <c r="H2565" s="6">
        <v>42324.646805555552</v>
      </c>
    </row>
    <row r="2566" spans="1:8" x14ac:dyDescent="0.2">
      <c r="D2566" s="6"/>
      <c r="H2566" s="6">
        <v>42324.646840277775</v>
      </c>
    </row>
    <row r="2567" spans="1:8" x14ac:dyDescent="0.2">
      <c r="D2567" s="6"/>
      <c r="H2567" s="6">
        <v>42324.646886574075</v>
      </c>
    </row>
    <row r="2568" spans="1:8" x14ac:dyDescent="0.2">
      <c r="D2568" s="6"/>
      <c r="H2568" s="6">
        <v>42324.646990740737</v>
      </c>
    </row>
    <row r="2569" spans="1:8" x14ac:dyDescent="0.2">
      <c r="D2569" s="6"/>
      <c r="H2569" s="6">
        <v>42324.64702546296</v>
      </c>
    </row>
    <row r="2570" spans="1:8" x14ac:dyDescent="0.2">
      <c r="D2570" s="6"/>
      <c r="H2570" s="6">
        <v>42324.64707175926</v>
      </c>
    </row>
    <row r="2571" spans="1:8" x14ac:dyDescent="0.2">
      <c r="D2571" s="6"/>
      <c r="H2571" s="6">
        <v>42324.647106481483</v>
      </c>
    </row>
    <row r="2572" spans="1:8" x14ac:dyDescent="0.2">
      <c r="A2572" s="20"/>
      <c r="D2572" s="6"/>
      <c r="H2572" s="6">
        <v>42324.646469907406</v>
      </c>
    </row>
    <row r="2573" spans="1:8" x14ac:dyDescent="0.2">
      <c r="A2573" s="20"/>
      <c r="D2573" s="6"/>
      <c r="H2573" s="6">
        <v>42324.646574074075</v>
      </c>
    </row>
    <row r="2574" spans="1:8" x14ac:dyDescent="0.2">
      <c r="A2574" s="20"/>
      <c r="D2574" s="6"/>
      <c r="H2574" s="6">
        <v>42324.645960648151</v>
      </c>
    </row>
    <row r="2575" spans="1:8" x14ac:dyDescent="0.2">
      <c r="A2575" s="20"/>
      <c r="D2575" s="6"/>
      <c r="H2575" s="6">
        <v>42320.483171296299</v>
      </c>
    </row>
    <row r="2576" spans="1:8" x14ac:dyDescent="0.2">
      <c r="A2576" s="20"/>
      <c r="D2576" s="6"/>
      <c r="H2576" s="6">
        <v>42320.483171296299</v>
      </c>
    </row>
    <row r="2577" spans="1:8" x14ac:dyDescent="0.2">
      <c r="A2577" s="20"/>
      <c r="D2577" s="6"/>
      <c r="H2577" s="6">
        <v>42320.433634259258</v>
      </c>
    </row>
    <row r="2578" spans="1:8" x14ac:dyDescent="0.2">
      <c r="A2578" s="20"/>
      <c r="D2578" s="6"/>
      <c r="H2578" s="6">
        <v>42320.433622685188</v>
      </c>
    </row>
    <row r="2579" spans="1:8" x14ac:dyDescent="0.2">
      <c r="A2579" s="20"/>
      <c r="D2579" s="6"/>
      <c r="H2579" s="6">
        <v>42320.433206018519</v>
      </c>
    </row>
    <row r="2580" spans="1:8" x14ac:dyDescent="0.2">
      <c r="A2580" s="20"/>
      <c r="D2580" s="6"/>
      <c r="H2580" s="6">
        <v>42324.633101851854</v>
      </c>
    </row>
    <row r="2581" spans="1:8" x14ac:dyDescent="0.2">
      <c r="A2581" s="20"/>
      <c r="D2581" s="6"/>
      <c r="H2581" s="6">
        <v>42324.633101851854</v>
      </c>
    </row>
    <row r="2582" spans="1:8" x14ac:dyDescent="0.2">
      <c r="A2582" s="20"/>
      <c r="D2582" s="6"/>
      <c r="H2582" s="6">
        <v>42326.469375000001</v>
      </c>
    </row>
    <row r="2583" spans="1:8" x14ac:dyDescent="0.2">
      <c r="A2583" s="20"/>
      <c r="D2583" s="6"/>
      <c r="H2583" s="6">
        <v>42326.467164351852</v>
      </c>
    </row>
    <row r="2584" spans="1:8" x14ac:dyDescent="0.2">
      <c r="A2584" s="20"/>
      <c r="D2584" s="6"/>
      <c r="H2584" s="6">
        <v>42326.467164351852</v>
      </c>
    </row>
    <row r="2585" spans="1:8" x14ac:dyDescent="0.2">
      <c r="A2585" s="20"/>
      <c r="D2585" s="6"/>
      <c r="H2585" s="6">
        <v>42326.467164351852</v>
      </c>
    </row>
    <row r="2586" spans="1:8" x14ac:dyDescent="0.2">
      <c r="D2586" s="6"/>
      <c r="H2586" s="6">
        <v>42326.467164351852</v>
      </c>
    </row>
    <row r="2587" spans="1:8" x14ac:dyDescent="0.2">
      <c r="D2587" s="6"/>
      <c r="H2587" s="6">
        <v>42326.467164351852</v>
      </c>
    </row>
    <row r="2588" spans="1:8" x14ac:dyDescent="0.2">
      <c r="D2588" s="6"/>
      <c r="H2588" s="6">
        <v>42326.773506944446</v>
      </c>
    </row>
    <row r="2589" spans="1:8" x14ac:dyDescent="0.2">
      <c r="D2589" s="6"/>
      <c r="H2589" s="6">
        <v>42326.773541666669</v>
      </c>
    </row>
    <row r="2590" spans="1:8" x14ac:dyDescent="0.2">
      <c r="D2590" s="6"/>
      <c r="H2590" s="6">
        <v>42333.537326388891</v>
      </c>
    </row>
    <row r="2591" spans="1:8" x14ac:dyDescent="0.2">
      <c r="D2591" s="6"/>
      <c r="H2591" s="6">
        <v>42333.726331018515</v>
      </c>
    </row>
    <row r="2592" spans="1:8" x14ac:dyDescent="0.2">
      <c r="D2592" s="6"/>
      <c r="H2592" s="6">
        <v>42335.729675925926</v>
      </c>
    </row>
    <row r="2593" spans="1:8" x14ac:dyDescent="0.2">
      <c r="D2593" s="6"/>
      <c r="H2593" s="6">
        <v>42339.692048611112</v>
      </c>
    </row>
    <row r="2594" spans="1:8" x14ac:dyDescent="0.2">
      <c r="A2594" s="20"/>
      <c r="D2594" s="6"/>
      <c r="H2594" s="6">
        <v>42339.692048611112</v>
      </c>
    </row>
    <row r="2595" spans="1:8" x14ac:dyDescent="0.2">
      <c r="A2595" s="20"/>
      <c r="D2595" s="6"/>
      <c r="H2595" s="6">
        <v>42339.692048611112</v>
      </c>
    </row>
    <row r="2596" spans="1:8" x14ac:dyDescent="0.2">
      <c r="A2596" s="20"/>
      <c r="D2596" s="6"/>
      <c r="H2596" s="6">
        <v>42345.711493055554</v>
      </c>
    </row>
    <row r="2597" spans="1:8" x14ac:dyDescent="0.2">
      <c r="A2597" s="20"/>
      <c r="D2597" s="6"/>
      <c r="H2597" s="6">
        <v>42347.737187500003</v>
      </c>
    </row>
    <row r="2598" spans="1:8" x14ac:dyDescent="0.2">
      <c r="A2598" s="20"/>
      <c r="D2598" s="6"/>
      <c r="H2598" s="6">
        <v>42347.737071759257</v>
      </c>
    </row>
    <row r="2599" spans="1:8" x14ac:dyDescent="0.2">
      <c r="A2599" s="20"/>
      <c r="D2599" s="6"/>
      <c r="H2599" s="6">
        <v>42349.474247685182</v>
      </c>
    </row>
    <row r="2600" spans="1:8" x14ac:dyDescent="0.2">
      <c r="A2600" s="20"/>
      <c r="D2600" s="6"/>
      <c r="H2600" s="6">
        <v>42355.453888888886</v>
      </c>
    </row>
    <row r="2601" spans="1:8" x14ac:dyDescent="0.2">
      <c r="A2601" s="20"/>
      <c r="D2601" s="6"/>
      <c r="H2601" s="6">
        <v>42355.767604166664</v>
      </c>
    </row>
    <row r="2602" spans="1:8" x14ac:dyDescent="0.2">
      <c r="A2602" s="20"/>
      <c r="D2602" s="6"/>
      <c r="H2602" s="6">
        <v>42361.416493055556</v>
      </c>
    </row>
    <row r="2603" spans="1:8" x14ac:dyDescent="0.2">
      <c r="A2603" s="20"/>
      <c r="D2603" s="6"/>
      <c r="H2603" s="6">
        <v>42374.746249999997</v>
      </c>
    </row>
    <row r="2604" spans="1:8" x14ac:dyDescent="0.2">
      <c r="A2604" s="20"/>
      <c r="D2604" s="6"/>
      <c r="H2604" s="6">
        <v>42374.746249999997</v>
      </c>
    </row>
    <row r="2605" spans="1:8" x14ac:dyDescent="0.2">
      <c r="A2605" s="20"/>
      <c r="D2605" s="6"/>
      <c r="H2605" s="6">
        <v>42374.746249999997</v>
      </c>
    </row>
    <row r="2606" spans="1:8" x14ac:dyDescent="0.2">
      <c r="A2606" s="20"/>
      <c r="D2606" s="6"/>
      <c r="H2606" s="6">
        <v>42374.746249999997</v>
      </c>
    </row>
    <row r="2607" spans="1:8" x14ac:dyDescent="0.2">
      <c r="A2607" s="20"/>
      <c r="D2607" s="6"/>
      <c r="H2607" s="6">
        <v>42374.746249999997</v>
      </c>
    </row>
    <row r="2608" spans="1:8" x14ac:dyDescent="0.2">
      <c r="A2608" s="20"/>
      <c r="D2608" s="6"/>
      <c r="H2608" s="6">
        <v>42374.746249999997</v>
      </c>
    </row>
    <row r="2609" spans="1:8" x14ac:dyDescent="0.2">
      <c r="A2609" s="20"/>
      <c r="D2609" s="6"/>
      <c r="H2609" s="6">
        <v>42374.746249999997</v>
      </c>
    </row>
    <row r="2610" spans="1:8" x14ac:dyDescent="0.2">
      <c r="A2610" s="20"/>
      <c r="D2610" s="6"/>
      <c r="H2610" s="6">
        <v>42374.746249999997</v>
      </c>
    </row>
    <row r="2611" spans="1:8" x14ac:dyDescent="0.2">
      <c r="A2611" s="20"/>
      <c r="D2611" s="6"/>
      <c r="H2611" s="6">
        <v>42374.746249999997</v>
      </c>
    </row>
    <row r="2612" spans="1:8" x14ac:dyDescent="0.2">
      <c r="A2612" s="20"/>
      <c r="D2612" s="6"/>
      <c r="H2612" s="6">
        <v>42374.746249999997</v>
      </c>
    </row>
    <row r="2613" spans="1:8" x14ac:dyDescent="0.2">
      <c r="A2613" s="20"/>
      <c r="D2613" s="6"/>
      <c r="H2613" s="6">
        <v>42374.746249999997</v>
      </c>
    </row>
    <row r="2614" spans="1:8" x14ac:dyDescent="0.2">
      <c r="A2614" s="20"/>
      <c r="D2614" s="6"/>
      <c r="H2614" s="6">
        <v>42381.524328703701</v>
      </c>
    </row>
    <row r="2615" spans="1:8" x14ac:dyDescent="0.2">
      <c r="D2615" s="6"/>
      <c r="H2615" s="6">
        <v>42382.495150462964</v>
      </c>
    </row>
    <row r="2616" spans="1:8" x14ac:dyDescent="0.2">
      <c r="D2616" s="6"/>
      <c r="H2616" s="6">
        <v>42383.623761574076</v>
      </c>
    </row>
    <row r="2617" spans="1:8" x14ac:dyDescent="0.2">
      <c r="D2617" s="6"/>
      <c r="H2617" s="6">
        <v>42387.433182870373</v>
      </c>
    </row>
    <row r="2618" spans="1:8" x14ac:dyDescent="0.2">
      <c r="D2618" s="6"/>
      <c r="H2618" s="6">
        <v>42387.433182870373</v>
      </c>
    </row>
    <row r="2619" spans="1:8" x14ac:dyDescent="0.2">
      <c r="D2619" s="6"/>
      <c r="H2619" s="6">
        <v>42387.433182870373</v>
      </c>
    </row>
    <row r="2620" spans="1:8" x14ac:dyDescent="0.2">
      <c r="D2620" s="6"/>
      <c r="H2620" s="6">
        <v>42387.433182870373</v>
      </c>
    </row>
    <row r="2621" spans="1:8" x14ac:dyDescent="0.2">
      <c r="D2621" s="6"/>
      <c r="H2621" s="6">
        <v>42387.433194444442</v>
      </c>
    </row>
    <row r="2622" spans="1:8" x14ac:dyDescent="0.2">
      <c r="D2622" s="6"/>
      <c r="H2622" s="6">
        <v>42387.433194444442</v>
      </c>
    </row>
    <row r="2623" spans="1:8" x14ac:dyDescent="0.2">
      <c r="D2623" s="6"/>
      <c r="H2623" s="6">
        <v>42387.433194444442</v>
      </c>
    </row>
    <row r="2624" spans="1:8" x14ac:dyDescent="0.2">
      <c r="D2624" s="6"/>
      <c r="H2624" s="6">
        <v>42387.433194444442</v>
      </c>
    </row>
    <row r="2625" spans="1:8" x14ac:dyDescent="0.2">
      <c r="D2625" s="6"/>
      <c r="H2625" s="6">
        <v>42388.701307870368</v>
      </c>
    </row>
    <row r="2626" spans="1:8" x14ac:dyDescent="0.2">
      <c r="D2626" s="6"/>
      <c r="H2626" s="6">
        <v>42388.701307870368</v>
      </c>
    </row>
    <row r="2627" spans="1:8" x14ac:dyDescent="0.2">
      <c r="D2627" s="6"/>
      <c r="H2627" s="6">
        <v>42388.729756944442</v>
      </c>
    </row>
    <row r="2628" spans="1:8" x14ac:dyDescent="0.2">
      <c r="D2628" s="6"/>
      <c r="H2628" s="6">
        <v>42389.489259259259</v>
      </c>
    </row>
    <row r="2629" spans="1:8" x14ac:dyDescent="0.2">
      <c r="D2629" s="6"/>
      <c r="H2629" s="6">
        <v>42389.489224537036</v>
      </c>
    </row>
    <row r="2630" spans="1:8" x14ac:dyDescent="0.2">
      <c r="A2630" s="20"/>
      <c r="D2630" s="6"/>
      <c r="H2630" s="6">
        <v>42391.667280092595</v>
      </c>
    </row>
    <row r="2631" spans="1:8" x14ac:dyDescent="0.2">
      <c r="A2631" s="20"/>
      <c r="D2631" s="6"/>
      <c r="H2631" s="6">
        <v>42391.705081018517</v>
      </c>
    </row>
    <row r="2632" spans="1:8" x14ac:dyDescent="0.2">
      <c r="A2632" s="20"/>
      <c r="D2632" s="6"/>
      <c r="H2632" s="6">
        <v>42394.442071759258</v>
      </c>
    </row>
    <row r="2633" spans="1:8" x14ac:dyDescent="0.2">
      <c r="A2633" s="20"/>
      <c r="D2633" s="6"/>
      <c r="H2633" s="6">
        <v>42394.442071759258</v>
      </c>
    </row>
    <row r="2634" spans="1:8" x14ac:dyDescent="0.2">
      <c r="A2634" s="20"/>
      <c r="D2634" s="6"/>
      <c r="H2634" s="6">
        <v>42394.442071759258</v>
      </c>
    </row>
    <row r="2635" spans="1:8" x14ac:dyDescent="0.2">
      <c r="A2635" s="20"/>
      <c r="D2635" s="6"/>
      <c r="H2635" s="6">
        <v>42394.442071759258</v>
      </c>
    </row>
    <row r="2636" spans="1:8" x14ac:dyDescent="0.2">
      <c r="A2636" s="20"/>
      <c r="D2636" s="6"/>
      <c r="H2636" s="6">
        <v>42394.442071759258</v>
      </c>
    </row>
    <row r="2637" spans="1:8" x14ac:dyDescent="0.2">
      <c r="A2637" s="20"/>
      <c r="D2637" s="6"/>
      <c r="H2637" s="6">
        <v>42394.442071759258</v>
      </c>
    </row>
    <row r="2638" spans="1:8" x14ac:dyDescent="0.2">
      <c r="A2638" s="20"/>
      <c r="D2638" s="6"/>
      <c r="H2638" s="6">
        <v>42394.499201388891</v>
      </c>
    </row>
    <row r="2639" spans="1:8" x14ac:dyDescent="0.2">
      <c r="A2639" s="20"/>
      <c r="D2639" s="6"/>
      <c r="H2639" s="6">
        <v>42394.499155092592</v>
      </c>
    </row>
    <row r="2640" spans="1:8" x14ac:dyDescent="0.2">
      <c r="A2640" s="20"/>
      <c r="D2640" s="6"/>
      <c r="H2640" s="6">
        <v>42396.515173611115</v>
      </c>
    </row>
    <row r="2641" spans="1:8" x14ac:dyDescent="0.2">
      <c r="A2641" s="20"/>
      <c r="D2641" s="6"/>
      <c r="H2641" s="6">
        <v>42396.515069444446</v>
      </c>
    </row>
    <row r="2642" spans="1:8" x14ac:dyDescent="0.2">
      <c r="A2642" s="20"/>
      <c r="D2642" s="6"/>
      <c r="H2642" s="6">
        <v>42397.651250000003</v>
      </c>
    </row>
    <row r="2643" spans="1:8" x14ac:dyDescent="0.2">
      <c r="A2643" s="20"/>
      <c r="D2643" s="6"/>
      <c r="H2643" s="6">
        <v>42398.72216435185</v>
      </c>
    </row>
    <row r="2644" spans="1:8" x14ac:dyDescent="0.2">
      <c r="A2644" s="20"/>
      <c r="D2644" s="6"/>
      <c r="H2644" s="6">
        <v>42398.72216435185</v>
      </c>
    </row>
    <row r="2645" spans="1:8" x14ac:dyDescent="0.2">
      <c r="A2645" s="20"/>
      <c r="D2645" s="6"/>
      <c r="H2645" s="6">
        <v>42398.72216435185</v>
      </c>
    </row>
    <row r="2646" spans="1:8" x14ac:dyDescent="0.2">
      <c r="A2646" s="20"/>
      <c r="D2646" s="6"/>
      <c r="H2646" s="6">
        <v>42398.72216435185</v>
      </c>
    </row>
    <row r="2647" spans="1:8" x14ac:dyDescent="0.2">
      <c r="D2647" s="6"/>
      <c r="H2647" s="6">
        <v>42402.759953703702</v>
      </c>
    </row>
    <row r="2648" spans="1:8" x14ac:dyDescent="0.2">
      <c r="D2648" s="6"/>
      <c r="H2648" s="6">
        <v>42409.745347222219</v>
      </c>
    </row>
    <row r="2649" spans="1:8" x14ac:dyDescent="0.2">
      <c r="D2649" s="6"/>
      <c r="H2649" s="6">
        <v>42409.745312500003</v>
      </c>
    </row>
    <row r="2650" spans="1:8" x14ac:dyDescent="0.2">
      <c r="D2650" s="6"/>
      <c r="H2650" s="6">
        <v>42415.46980324074</v>
      </c>
    </row>
    <row r="2651" spans="1:8" x14ac:dyDescent="0.2">
      <c r="D2651" s="6"/>
      <c r="H2651" s="6">
        <v>42415.432939814818</v>
      </c>
    </row>
    <row r="2652" spans="1:8" x14ac:dyDescent="0.2">
      <c r="D2652" s="6"/>
      <c r="H2652" s="6">
        <v>42415.656712962962</v>
      </c>
    </row>
    <row r="2653" spans="1:8" x14ac:dyDescent="0.2">
      <c r="D2653" s="6"/>
      <c r="H2653" s="6">
        <v>42415.656712962962</v>
      </c>
    </row>
    <row r="2654" spans="1:8" x14ac:dyDescent="0.2">
      <c r="D2654" s="6"/>
      <c r="H2654" s="6">
        <v>42415.656712962962</v>
      </c>
    </row>
    <row r="2655" spans="1:8" x14ac:dyDescent="0.2">
      <c r="D2655" s="6"/>
      <c r="H2655" s="6">
        <v>42415.656724537039</v>
      </c>
    </row>
    <row r="2656" spans="1:8" x14ac:dyDescent="0.2">
      <c r="D2656" s="6"/>
      <c r="H2656" s="6">
        <v>42415.656724537039</v>
      </c>
    </row>
    <row r="2657" spans="4:8" x14ac:dyDescent="0.2">
      <c r="D2657" s="6"/>
      <c r="H2657" s="6">
        <v>42415.656724537039</v>
      </c>
    </row>
    <row r="2658" spans="4:8" x14ac:dyDescent="0.2">
      <c r="D2658" s="6"/>
      <c r="H2658" s="6">
        <v>42415.656724537039</v>
      </c>
    </row>
    <row r="2659" spans="4:8" x14ac:dyDescent="0.2">
      <c r="D2659" s="6"/>
      <c r="H2659" s="6">
        <v>42415.656712962962</v>
      </c>
    </row>
    <row r="2660" spans="4:8" x14ac:dyDescent="0.2">
      <c r="D2660" s="6"/>
      <c r="H2660" s="6">
        <v>42416.724328703705</v>
      </c>
    </row>
    <row r="2661" spans="4:8" x14ac:dyDescent="0.2">
      <c r="D2661" s="6"/>
      <c r="H2661" s="6">
        <v>42416.724282407406</v>
      </c>
    </row>
    <row r="2662" spans="4:8" x14ac:dyDescent="0.2">
      <c r="D2662" s="6"/>
      <c r="H2662" s="6">
        <v>42418.418715277781</v>
      </c>
    </row>
    <row r="2663" spans="4:8" x14ac:dyDescent="0.2">
      <c r="D2663" s="6"/>
      <c r="H2663" s="6">
        <v>42418.418715277781</v>
      </c>
    </row>
    <row r="2664" spans="4:8" x14ac:dyDescent="0.2">
      <c r="D2664" s="6"/>
      <c r="H2664" s="6">
        <v>42418.418715277781</v>
      </c>
    </row>
    <row r="2665" spans="4:8" x14ac:dyDescent="0.2">
      <c r="D2665" s="6"/>
      <c r="H2665" s="6">
        <v>42418.418715277781</v>
      </c>
    </row>
    <row r="2666" spans="4:8" x14ac:dyDescent="0.2">
      <c r="D2666" s="6"/>
      <c r="H2666" s="6">
        <v>42418.418715277781</v>
      </c>
    </row>
    <row r="2667" spans="4:8" x14ac:dyDescent="0.2">
      <c r="D2667" s="6"/>
      <c r="H2667" s="6">
        <v>42418.418715277781</v>
      </c>
    </row>
    <row r="2668" spans="4:8" x14ac:dyDescent="0.2">
      <c r="D2668" s="6"/>
      <c r="H2668" s="6">
        <v>42418.418715277781</v>
      </c>
    </row>
    <row r="2669" spans="4:8" x14ac:dyDescent="0.2">
      <c r="D2669" s="6"/>
      <c r="H2669" s="6">
        <v>42425.750208333331</v>
      </c>
    </row>
    <row r="2670" spans="4:8" x14ac:dyDescent="0.2">
      <c r="D2670" s="6"/>
      <c r="H2670" s="6">
        <v>42425.750208333331</v>
      </c>
    </row>
    <row r="2671" spans="4:8" x14ac:dyDescent="0.2">
      <c r="D2671" s="6"/>
      <c r="H2671" s="6">
        <v>42425.750208333331</v>
      </c>
    </row>
    <row r="2672" spans="4:8" x14ac:dyDescent="0.2">
      <c r="D2672" s="6"/>
      <c r="H2672" s="6">
        <v>42429.514618055553</v>
      </c>
    </row>
    <row r="2673" spans="4:8" x14ac:dyDescent="0.2">
      <c r="D2673" s="6"/>
      <c r="H2673" s="6">
        <v>42433.504999999997</v>
      </c>
    </row>
    <row r="2674" spans="4:8" x14ac:dyDescent="0.2">
      <c r="D2674" s="6"/>
      <c r="H2674" s="6">
        <v>42437.595833333333</v>
      </c>
    </row>
    <row r="2675" spans="4:8" x14ac:dyDescent="0.2">
      <c r="D2675" s="6"/>
      <c r="H2675" s="6">
        <v>42437.595833333333</v>
      </c>
    </row>
    <row r="2676" spans="4:8" x14ac:dyDescent="0.2">
      <c r="D2676" s="6"/>
      <c r="H2676" s="6">
        <v>42437.595833333333</v>
      </c>
    </row>
    <row r="2677" spans="4:8" x14ac:dyDescent="0.2">
      <c r="D2677" s="6"/>
      <c r="H2677" s="6">
        <v>42439.482905092591</v>
      </c>
    </row>
    <row r="2678" spans="4:8" x14ac:dyDescent="0.2">
      <c r="D2678" s="6"/>
      <c r="H2678" s="6">
        <v>42439.483090277776</v>
      </c>
    </row>
    <row r="2679" spans="4:8" x14ac:dyDescent="0.2">
      <c r="D2679" s="6"/>
      <c r="H2679" s="6">
        <v>42439.483344907407</v>
      </c>
    </row>
    <row r="2680" spans="4:8" x14ac:dyDescent="0.2">
      <c r="D2680" s="6"/>
      <c r="H2680" s="6">
        <v>42445.650138888886</v>
      </c>
    </row>
    <row r="2681" spans="4:8" x14ac:dyDescent="0.2">
      <c r="D2681" s="6"/>
      <c r="H2681" s="6">
        <v>42445.650138888886</v>
      </c>
    </row>
    <row r="2682" spans="4:8" x14ac:dyDescent="0.2">
      <c r="D2682" s="6"/>
      <c r="H2682" s="6">
        <v>42445.650138888886</v>
      </c>
    </row>
    <row r="2683" spans="4:8" x14ac:dyDescent="0.2">
      <c r="D2683" s="6"/>
      <c r="H2683" s="6">
        <v>42445.650138888886</v>
      </c>
    </row>
    <row r="2684" spans="4:8" x14ac:dyDescent="0.2">
      <c r="D2684" s="6"/>
      <c r="H2684" s="6">
        <v>42445.650138888886</v>
      </c>
    </row>
    <row r="2685" spans="4:8" x14ac:dyDescent="0.2">
      <c r="D2685" s="6"/>
      <c r="H2685" s="6">
        <v>42445.650138888886</v>
      </c>
    </row>
    <row r="2686" spans="4:8" x14ac:dyDescent="0.2">
      <c r="D2686" s="6"/>
      <c r="H2686" s="6">
        <v>42445.650138888886</v>
      </c>
    </row>
    <row r="2687" spans="4:8" x14ac:dyDescent="0.2">
      <c r="D2687" s="6"/>
      <c r="H2687" s="6">
        <v>42450.760231481479</v>
      </c>
    </row>
    <row r="2688" spans="4:8" x14ac:dyDescent="0.2">
      <c r="D2688" s="6"/>
      <c r="H2688" s="6">
        <v>42450.760231481479</v>
      </c>
    </row>
    <row r="2689" spans="4:8" x14ac:dyDescent="0.2">
      <c r="D2689" s="6"/>
      <c r="H2689" s="6">
        <v>42450.760231481479</v>
      </c>
    </row>
    <row r="2690" spans="4:8" x14ac:dyDescent="0.2">
      <c r="D2690" s="6"/>
      <c r="H2690" s="6">
        <v>42450.760231481479</v>
      </c>
    </row>
    <row r="2691" spans="4:8" x14ac:dyDescent="0.2">
      <c r="D2691" s="6"/>
      <c r="H2691" s="6">
        <v>42450.640474537038</v>
      </c>
    </row>
    <row r="2692" spans="4:8" x14ac:dyDescent="0.2">
      <c r="D2692" s="6"/>
      <c r="H2692" s="6">
        <v>42450.640474537038</v>
      </c>
    </row>
    <row r="2693" spans="4:8" x14ac:dyDescent="0.2">
      <c r="D2693" s="6"/>
      <c r="H2693" s="6">
        <v>42450.640474537038</v>
      </c>
    </row>
    <row r="2694" spans="4:8" x14ac:dyDescent="0.2">
      <c r="D2694" s="6"/>
      <c r="H2694" s="6">
        <v>42450.640474537038</v>
      </c>
    </row>
    <row r="2695" spans="4:8" x14ac:dyDescent="0.2">
      <c r="D2695" s="6"/>
      <c r="H2695" s="6">
        <v>42450.640474537038</v>
      </c>
    </row>
    <row r="2696" spans="4:8" x14ac:dyDescent="0.2">
      <c r="D2696" s="6"/>
      <c r="H2696" s="6">
        <v>42450.640474537038</v>
      </c>
    </row>
    <row r="2697" spans="4:8" x14ac:dyDescent="0.2">
      <c r="D2697" s="6"/>
      <c r="H2697" s="6">
        <v>42450.640474537038</v>
      </c>
    </row>
    <row r="2698" spans="4:8" x14ac:dyDescent="0.2">
      <c r="D2698" s="6"/>
      <c r="H2698" s="6">
        <v>42450.640474537038</v>
      </c>
    </row>
    <row r="2699" spans="4:8" x14ac:dyDescent="0.2">
      <c r="D2699" s="6"/>
      <c r="H2699" s="6">
        <v>42450.640474537038</v>
      </c>
    </row>
    <row r="2700" spans="4:8" x14ac:dyDescent="0.2">
      <c r="D2700" s="6"/>
      <c r="H2700" s="6">
        <v>42450.621238425927</v>
      </c>
    </row>
    <row r="2701" spans="4:8" x14ac:dyDescent="0.2">
      <c r="D2701" s="6"/>
      <c r="H2701" s="6">
        <v>42450.621238425927</v>
      </c>
    </row>
    <row r="2702" spans="4:8" x14ac:dyDescent="0.2">
      <c r="D2702" s="6"/>
      <c r="H2702" s="6">
        <v>42450.621249999997</v>
      </c>
    </row>
    <row r="2703" spans="4:8" x14ac:dyDescent="0.2">
      <c r="D2703" s="6"/>
      <c r="H2703" s="6">
        <v>42452.416689814818</v>
      </c>
    </row>
    <row r="2704" spans="4:8" x14ac:dyDescent="0.2">
      <c r="D2704" s="6"/>
      <c r="H2704" s="6">
        <v>42452.416689814818</v>
      </c>
    </row>
    <row r="2705" spans="4:8" x14ac:dyDescent="0.2">
      <c r="D2705" s="6"/>
      <c r="H2705" s="6">
        <v>42452.416689814818</v>
      </c>
    </row>
    <row r="2706" spans="4:8" x14ac:dyDescent="0.2">
      <c r="D2706" s="6"/>
      <c r="H2706" s="6">
        <v>42452.416701388887</v>
      </c>
    </row>
    <row r="2707" spans="4:8" x14ac:dyDescent="0.2">
      <c r="D2707" s="6"/>
      <c r="H2707" s="6">
        <v>42452.416701388887</v>
      </c>
    </row>
    <row r="2708" spans="4:8" x14ac:dyDescent="0.2">
      <c r="D2708" s="6"/>
      <c r="H2708" s="6">
        <v>42452.416701388887</v>
      </c>
    </row>
    <row r="2709" spans="4:8" x14ac:dyDescent="0.2">
      <c r="D2709" s="6"/>
      <c r="H2709" s="6">
        <v>42452.416701388887</v>
      </c>
    </row>
    <row r="2710" spans="4:8" x14ac:dyDescent="0.2">
      <c r="D2710" s="6"/>
      <c r="H2710" s="6">
        <v>42452.416701388887</v>
      </c>
    </row>
    <row r="2711" spans="4:8" x14ac:dyDescent="0.2">
      <c r="D2711" s="6"/>
      <c r="H2711" s="6">
        <v>42452.416689814818</v>
      </c>
    </row>
    <row r="2712" spans="4:8" x14ac:dyDescent="0.2">
      <c r="D2712" s="6"/>
      <c r="H2712" s="6">
        <v>42452.416689814818</v>
      </c>
    </row>
    <row r="2713" spans="4:8" x14ac:dyDescent="0.2">
      <c r="D2713" s="6"/>
      <c r="H2713" s="6">
        <v>42452.416689814818</v>
      </c>
    </row>
    <row r="2714" spans="4:8" x14ac:dyDescent="0.2">
      <c r="D2714" s="6"/>
      <c r="H2714" s="6">
        <v>42453.44939814815</v>
      </c>
    </row>
    <row r="2715" spans="4:8" x14ac:dyDescent="0.2">
      <c r="D2715" s="6"/>
      <c r="H2715" s="6">
        <v>42453.44939814815</v>
      </c>
    </row>
    <row r="2716" spans="4:8" x14ac:dyDescent="0.2">
      <c r="D2716" s="6"/>
      <c r="H2716" s="6">
        <v>42453.44939814815</v>
      </c>
    </row>
    <row r="2717" spans="4:8" x14ac:dyDescent="0.2">
      <c r="D2717" s="6"/>
      <c r="H2717" s="6">
        <v>42453.44939814815</v>
      </c>
    </row>
    <row r="2718" spans="4:8" x14ac:dyDescent="0.2">
      <c r="D2718" s="6"/>
      <c r="H2718" s="6">
        <v>42453.44939814815</v>
      </c>
    </row>
    <row r="2719" spans="4:8" x14ac:dyDescent="0.2">
      <c r="D2719" s="6"/>
      <c r="H2719" s="6">
        <v>42458.710462962961</v>
      </c>
    </row>
    <row r="2720" spans="4:8" x14ac:dyDescent="0.2">
      <c r="D2720" s="6"/>
      <c r="H2720" s="6">
        <v>42459.364942129629</v>
      </c>
    </row>
    <row r="2721" spans="4:8" x14ac:dyDescent="0.2">
      <c r="D2721" s="6"/>
      <c r="H2721" s="6">
        <v>42459.364942129629</v>
      </c>
    </row>
    <row r="2722" spans="4:8" x14ac:dyDescent="0.2">
      <c r="D2722" s="6"/>
      <c r="H2722" s="6">
        <v>42459.364942129629</v>
      </c>
    </row>
    <row r="2723" spans="4:8" x14ac:dyDescent="0.2">
      <c r="D2723" s="6"/>
      <c r="H2723" s="6">
        <v>42459.364942129629</v>
      </c>
    </row>
    <row r="2724" spans="4:8" x14ac:dyDescent="0.2">
      <c r="D2724" s="6"/>
      <c r="H2724" s="6">
        <v>42459.364942129629</v>
      </c>
    </row>
    <row r="2725" spans="4:8" x14ac:dyDescent="0.2">
      <c r="D2725" s="6"/>
      <c r="H2725" s="6">
        <v>42459.728043981479</v>
      </c>
    </row>
    <row r="2726" spans="4:8" x14ac:dyDescent="0.2">
      <c r="D2726" s="6"/>
      <c r="H2726" s="6">
        <v>42459.728043981479</v>
      </c>
    </row>
    <row r="2727" spans="4:8" x14ac:dyDescent="0.2">
      <c r="D2727" s="6"/>
      <c r="H2727" s="6">
        <v>42459.728043981479</v>
      </c>
    </row>
    <row r="2728" spans="4:8" x14ac:dyDescent="0.2">
      <c r="D2728" s="6"/>
      <c r="H2728" s="6">
        <v>42459.728043981479</v>
      </c>
    </row>
    <row r="2729" spans="4:8" x14ac:dyDescent="0.2">
      <c r="D2729" s="6"/>
      <c r="H2729" s="6">
        <v>42459.728043981479</v>
      </c>
    </row>
    <row r="2730" spans="4:8" x14ac:dyDescent="0.2">
      <c r="D2730" s="6"/>
      <c r="H2730" s="6">
        <v>42459.728043981479</v>
      </c>
    </row>
    <row r="2731" spans="4:8" x14ac:dyDescent="0.2">
      <c r="D2731" s="6"/>
      <c r="H2731" s="6">
        <v>42459.728043981479</v>
      </c>
    </row>
    <row r="2732" spans="4:8" x14ac:dyDescent="0.2">
      <c r="D2732" s="6"/>
      <c r="H2732" s="6">
        <v>42459.728043981479</v>
      </c>
    </row>
    <row r="2733" spans="4:8" x14ac:dyDescent="0.2">
      <c r="D2733" s="6"/>
      <c r="H2733" s="6">
        <v>42459.728043981479</v>
      </c>
    </row>
    <row r="2734" spans="4:8" x14ac:dyDescent="0.2">
      <c r="D2734" s="6"/>
      <c r="H2734" s="6">
        <v>42459.728043981479</v>
      </c>
    </row>
    <row r="2735" spans="4:8" x14ac:dyDescent="0.2">
      <c r="D2735" s="6"/>
      <c r="H2735" s="6">
        <v>42459.728043981479</v>
      </c>
    </row>
    <row r="2736" spans="4:8" x14ac:dyDescent="0.2">
      <c r="D2736" s="6"/>
      <c r="H2736" s="6">
        <v>42459.728043981479</v>
      </c>
    </row>
    <row r="2737" spans="4:8" x14ac:dyDescent="0.2">
      <c r="D2737" s="6"/>
      <c r="H2737" s="6">
        <v>42459.728043981479</v>
      </c>
    </row>
    <row r="2738" spans="4:8" x14ac:dyDescent="0.2">
      <c r="D2738" s="6"/>
      <c r="H2738" s="6">
        <v>42459.714768518519</v>
      </c>
    </row>
    <row r="2739" spans="4:8" x14ac:dyDescent="0.2">
      <c r="D2739" s="6"/>
      <c r="H2739" s="6">
        <v>42459.714768518519</v>
      </c>
    </row>
    <row r="2740" spans="4:8" x14ac:dyDescent="0.2">
      <c r="D2740" s="6"/>
      <c r="H2740" s="6">
        <v>42459.714768518519</v>
      </c>
    </row>
    <row r="2741" spans="4:8" x14ac:dyDescent="0.2">
      <c r="D2741" s="6"/>
      <c r="H2741" s="6">
        <v>42459.714768518519</v>
      </c>
    </row>
    <row r="2742" spans="4:8" x14ac:dyDescent="0.2">
      <c r="D2742" s="6"/>
      <c r="H2742" s="6">
        <v>42459.714768518519</v>
      </c>
    </row>
    <row r="2743" spans="4:8" x14ac:dyDescent="0.2">
      <c r="D2743" s="6"/>
      <c r="H2743" s="6">
        <v>42459.714768518519</v>
      </c>
    </row>
    <row r="2744" spans="4:8" x14ac:dyDescent="0.2">
      <c r="D2744" s="6"/>
      <c r="H2744" s="6">
        <v>42459.714768518519</v>
      </c>
    </row>
    <row r="2745" spans="4:8" x14ac:dyDescent="0.2">
      <c r="D2745" s="6"/>
      <c r="H2745" s="6">
        <v>42461.428553240738</v>
      </c>
    </row>
    <row r="2746" spans="4:8" x14ac:dyDescent="0.2">
      <c r="D2746" s="6"/>
      <c r="H2746" s="6">
        <v>42461.428553240738</v>
      </c>
    </row>
    <row r="2747" spans="4:8" x14ac:dyDescent="0.2">
      <c r="D2747" s="6"/>
      <c r="H2747" s="6">
        <v>42461.428553240738</v>
      </c>
    </row>
    <row r="2748" spans="4:8" x14ac:dyDescent="0.2">
      <c r="D2748" s="6"/>
      <c r="H2748" s="6">
        <v>42461.428553240738</v>
      </c>
    </row>
    <row r="2749" spans="4:8" x14ac:dyDescent="0.2">
      <c r="D2749" s="6"/>
      <c r="H2749" s="6">
        <v>42461.428553240738</v>
      </c>
    </row>
    <row r="2750" spans="4:8" x14ac:dyDescent="0.2">
      <c r="D2750" s="6"/>
      <c r="H2750" s="6">
        <v>42461.428553240738</v>
      </c>
    </row>
    <row r="2751" spans="4:8" x14ac:dyDescent="0.2">
      <c r="D2751" s="6"/>
      <c r="H2751" s="6">
        <v>42461.428553240738</v>
      </c>
    </row>
    <row r="2752" spans="4:8" x14ac:dyDescent="0.2">
      <c r="D2752" s="6"/>
      <c r="H2752" s="6">
        <v>42461.428553240738</v>
      </c>
    </row>
    <row r="2753" spans="4:8" x14ac:dyDescent="0.2">
      <c r="D2753" s="6"/>
      <c r="H2753" s="6">
        <v>42461.428564814814</v>
      </c>
    </row>
    <row r="2754" spans="4:8" x14ac:dyDescent="0.2">
      <c r="D2754" s="6"/>
      <c r="H2754" s="6">
        <v>42461.428564814814</v>
      </c>
    </row>
    <row r="2755" spans="4:8" x14ac:dyDescent="0.2">
      <c r="D2755" s="6"/>
      <c r="H2755" s="6">
        <v>42461.428564814814</v>
      </c>
    </row>
    <row r="2756" spans="4:8" x14ac:dyDescent="0.2">
      <c r="D2756" s="6"/>
      <c r="H2756" s="6">
        <v>42465.493449074071</v>
      </c>
    </row>
    <row r="2757" spans="4:8" x14ac:dyDescent="0.2">
      <c r="D2757" s="6"/>
      <c r="H2757" s="6">
        <v>42465.493449074071</v>
      </c>
    </row>
    <row r="2758" spans="4:8" x14ac:dyDescent="0.2">
      <c r="D2758" s="6"/>
      <c r="H2758" s="6">
        <v>42465.589837962965</v>
      </c>
    </row>
    <row r="2759" spans="4:8" x14ac:dyDescent="0.2">
      <c r="D2759" s="6"/>
      <c r="H2759" s="6">
        <v>42465.589837962965</v>
      </c>
    </row>
    <row r="2760" spans="4:8" x14ac:dyDescent="0.2">
      <c r="D2760" s="6"/>
      <c r="H2760" s="6">
        <v>42465.589837962965</v>
      </c>
    </row>
    <row r="2761" spans="4:8" x14ac:dyDescent="0.2">
      <c r="D2761" s="6"/>
      <c r="H2761" s="6">
        <v>42465.589837962965</v>
      </c>
    </row>
    <row r="2762" spans="4:8" x14ac:dyDescent="0.2">
      <c r="D2762" s="6"/>
      <c r="H2762" s="6">
        <v>42465.589837962965</v>
      </c>
    </row>
    <row r="2763" spans="4:8" x14ac:dyDescent="0.2">
      <c r="D2763" s="6"/>
      <c r="H2763" s="6">
        <v>42465.589837962965</v>
      </c>
    </row>
    <row r="2764" spans="4:8" x14ac:dyDescent="0.2">
      <c r="D2764" s="6"/>
      <c r="H2764" s="6">
        <v>42465.589837962965</v>
      </c>
    </row>
    <row r="2765" spans="4:8" x14ac:dyDescent="0.2">
      <c r="D2765" s="6"/>
      <c r="H2765" s="6">
        <v>42465.672395833331</v>
      </c>
    </row>
    <row r="2766" spans="4:8" x14ac:dyDescent="0.2">
      <c r="D2766" s="6"/>
      <c r="H2766" s="6">
        <v>42465.672395833331</v>
      </c>
    </row>
    <row r="2767" spans="4:8" x14ac:dyDescent="0.2">
      <c r="D2767" s="6"/>
      <c r="H2767" s="6">
        <v>42465.672395833331</v>
      </c>
    </row>
    <row r="2768" spans="4:8" x14ac:dyDescent="0.2">
      <c r="D2768" s="6"/>
      <c r="H2768" s="6">
        <v>42465.672395833331</v>
      </c>
    </row>
    <row r="2769" spans="4:8" x14ac:dyDescent="0.2">
      <c r="D2769" s="6"/>
      <c r="H2769" s="6">
        <v>42465.672395833331</v>
      </c>
    </row>
    <row r="2770" spans="4:8" x14ac:dyDescent="0.2">
      <c r="D2770" s="6"/>
      <c r="H2770" s="6">
        <v>42465.672395833331</v>
      </c>
    </row>
    <row r="2771" spans="4:8" x14ac:dyDescent="0.2">
      <c r="D2771" s="6"/>
      <c r="H2771" s="6">
        <v>42465.672395833331</v>
      </c>
    </row>
    <row r="2772" spans="4:8" x14ac:dyDescent="0.2">
      <c r="D2772" s="6"/>
      <c r="H2772" s="6">
        <v>42465.672395833331</v>
      </c>
    </row>
    <row r="2773" spans="4:8" x14ac:dyDescent="0.2">
      <c r="D2773" s="6"/>
      <c r="H2773" s="6">
        <v>42465.672395833331</v>
      </c>
    </row>
    <row r="2774" spans="4:8" x14ac:dyDescent="0.2">
      <c r="D2774" s="6"/>
      <c r="H2774" s="6">
        <v>42465.672395833331</v>
      </c>
    </row>
    <row r="2775" spans="4:8" x14ac:dyDescent="0.2">
      <c r="D2775" s="6"/>
      <c r="H2775" s="6">
        <v>42465.672395833331</v>
      </c>
    </row>
    <row r="2776" spans="4:8" x14ac:dyDescent="0.2">
      <c r="D2776" s="6"/>
      <c r="H2776" s="6">
        <v>42465.738564814812</v>
      </c>
    </row>
    <row r="2777" spans="4:8" x14ac:dyDescent="0.2">
      <c r="D2777" s="6"/>
      <c r="H2777" s="6">
        <v>42465.738576388889</v>
      </c>
    </row>
    <row r="2778" spans="4:8" x14ac:dyDescent="0.2">
      <c r="D2778" s="6"/>
      <c r="H2778" s="6">
        <v>42466.448587962965</v>
      </c>
    </row>
    <row r="2779" spans="4:8" x14ac:dyDescent="0.2">
      <c r="D2779" s="6"/>
      <c r="H2779" s="6">
        <v>42468.348113425927</v>
      </c>
    </row>
    <row r="2780" spans="4:8" x14ac:dyDescent="0.2">
      <c r="D2780" s="6"/>
      <c r="H2780" s="6">
        <v>42468.348113425927</v>
      </c>
    </row>
    <row r="2781" spans="4:8" x14ac:dyDescent="0.2">
      <c r="D2781" s="6"/>
      <c r="H2781" s="6">
        <v>42468.348113425927</v>
      </c>
    </row>
    <row r="2782" spans="4:8" x14ac:dyDescent="0.2">
      <c r="D2782" s="6"/>
      <c r="H2782" s="6">
        <v>42468.348113425927</v>
      </c>
    </row>
    <row r="2783" spans="4:8" x14ac:dyDescent="0.2">
      <c r="D2783" s="6"/>
      <c r="H2783" s="6">
        <v>42468.348124999997</v>
      </c>
    </row>
    <row r="2784" spans="4:8" x14ac:dyDescent="0.2">
      <c r="D2784" s="6"/>
      <c r="H2784" s="6">
        <v>42468.348124999997</v>
      </c>
    </row>
    <row r="2785" spans="4:8" x14ac:dyDescent="0.2">
      <c r="D2785" s="6"/>
      <c r="H2785" s="6">
        <v>42468.348124999997</v>
      </c>
    </row>
    <row r="2786" spans="4:8" x14ac:dyDescent="0.2">
      <c r="D2786" s="6"/>
      <c r="H2786" s="6">
        <v>42468.345590277779</v>
      </c>
    </row>
    <row r="2787" spans="4:8" x14ac:dyDescent="0.2">
      <c r="D2787" s="6"/>
      <c r="H2787" s="6">
        <v>42468.345590277779</v>
      </c>
    </row>
    <row r="2788" spans="4:8" x14ac:dyDescent="0.2">
      <c r="D2788" s="6"/>
      <c r="H2788" s="6">
        <v>42468.345590277779</v>
      </c>
    </row>
    <row r="2789" spans="4:8" x14ac:dyDescent="0.2">
      <c r="D2789" s="6"/>
      <c r="H2789" s="6">
        <v>42468.345590277779</v>
      </c>
    </row>
    <row r="2790" spans="4:8" x14ac:dyDescent="0.2">
      <c r="D2790" s="6"/>
      <c r="H2790" s="6">
        <v>42468.345590277779</v>
      </c>
    </row>
    <row r="2791" spans="4:8" x14ac:dyDescent="0.2">
      <c r="D2791" s="6"/>
      <c r="H2791" s="6">
        <v>42468.345590277779</v>
      </c>
    </row>
    <row r="2792" spans="4:8" x14ac:dyDescent="0.2">
      <c r="D2792" s="6"/>
      <c r="H2792" s="6">
        <v>42468.345590277779</v>
      </c>
    </row>
    <row r="2793" spans="4:8" x14ac:dyDescent="0.2">
      <c r="D2793" s="6"/>
      <c r="H2793" s="6">
        <v>42468.352858796294</v>
      </c>
    </row>
    <row r="2794" spans="4:8" x14ac:dyDescent="0.2">
      <c r="D2794" s="6"/>
      <c r="H2794" s="6">
        <v>42468.352858796294</v>
      </c>
    </row>
    <row r="2795" spans="4:8" x14ac:dyDescent="0.2">
      <c r="D2795" s="6"/>
      <c r="H2795" s="6">
        <v>42468.352858796294</v>
      </c>
    </row>
    <row r="2796" spans="4:8" x14ac:dyDescent="0.2">
      <c r="D2796" s="6"/>
      <c r="H2796" s="6">
        <v>42468.352858796294</v>
      </c>
    </row>
    <row r="2797" spans="4:8" x14ac:dyDescent="0.2">
      <c r="D2797" s="6"/>
      <c r="H2797" s="6">
        <v>42468.352858796294</v>
      </c>
    </row>
    <row r="2798" spans="4:8" x14ac:dyDescent="0.2">
      <c r="D2798" s="6"/>
      <c r="H2798" s="6">
        <v>42468.352858796294</v>
      </c>
    </row>
    <row r="2799" spans="4:8" x14ac:dyDescent="0.2">
      <c r="D2799" s="6"/>
      <c r="H2799" s="6">
        <v>42468.352858796294</v>
      </c>
    </row>
    <row r="2800" spans="4:8" x14ac:dyDescent="0.2">
      <c r="D2800" s="6"/>
      <c r="H2800" s="6">
        <v>42468.352858796294</v>
      </c>
    </row>
    <row r="2801" spans="4:8" x14ac:dyDescent="0.2">
      <c r="D2801" s="6"/>
      <c r="H2801" s="6">
        <v>42468.352858796294</v>
      </c>
    </row>
    <row r="2802" spans="4:8" x14ac:dyDescent="0.2">
      <c r="D2802" s="6"/>
      <c r="H2802" s="6">
        <v>42468.352858796294</v>
      </c>
    </row>
    <row r="2803" spans="4:8" x14ac:dyDescent="0.2">
      <c r="D2803" s="6"/>
      <c r="H2803" s="6">
        <v>42472.712685185186</v>
      </c>
    </row>
    <row r="2804" spans="4:8" x14ac:dyDescent="0.2">
      <c r="D2804" s="6"/>
      <c r="H2804" s="6">
        <v>42472.712685185186</v>
      </c>
    </row>
    <row r="2805" spans="4:8" x14ac:dyDescent="0.2">
      <c r="D2805" s="6"/>
      <c r="H2805" s="6">
        <v>42472.712685185186</v>
      </c>
    </row>
    <row r="2806" spans="4:8" x14ac:dyDescent="0.2">
      <c r="D2806" s="6"/>
      <c r="H2806" s="6">
        <v>42472.712685185186</v>
      </c>
    </row>
    <row r="2807" spans="4:8" x14ac:dyDescent="0.2">
      <c r="D2807" s="6"/>
      <c r="H2807" s="6">
        <v>42472.712685185186</v>
      </c>
    </row>
    <row r="2808" spans="4:8" x14ac:dyDescent="0.2">
      <c r="D2808" s="6"/>
      <c r="H2808" s="6">
        <v>42472.712685185186</v>
      </c>
    </row>
    <row r="2809" spans="4:8" x14ac:dyDescent="0.2">
      <c r="D2809" s="6"/>
      <c r="H2809" s="6">
        <v>42472.712685185186</v>
      </c>
    </row>
    <row r="2810" spans="4:8" x14ac:dyDescent="0.2">
      <c r="D2810" s="6"/>
      <c r="H2810" s="6">
        <v>42472.712777777779</v>
      </c>
    </row>
    <row r="2811" spans="4:8" x14ac:dyDescent="0.2">
      <c r="D2811" s="6"/>
      <c r="H2811" s="6">
        <v>42472.712777777779</v>
      </c>
    </row>
    <row r="2812" spans="4:8" x14ac:dyDescent="0.2">
      <c r="D2812" s="6"/>
      <c r="H2812" s="6">
        <v>42472.712777777779</v>
      </c>
    </row>
    <row r="2813" spans="4:8" x14ac:dyDescent="0.2">
      <c r="D2813" s="6"/>
      <c r="H2813" s="6">
        <v>42472.712777777779</v>
      </c>
    </row>
    <row r="2814" spans="4:8" x14ac:dyDescent="0.2">
      <c r="D2814" s="6"/>
      <c r="H2814" s="6">
        <v>42472.712777777779</v>
      </c>
    </row>
    <row r="2815" spans="4:8" x14ac:dyDescent="0.2">
      <c r="D2815" s="6"/>
      <c r="H2815" s="6">
        <v>42473.416620370372</v>
      </c>
    </row>
    <row r="2816" spans="4:8" x14ac:dyDescent="0.2">
      <c r="D2816" s="6"/>
      <c r="H2816" s="6">
        <v>42473.416620370372</v>
      </c>
    </row>
    <row r="2817" spans="4:8" x14ac:dyDescent="0.2">
      <c r="D2817" s="6"/>
      <c r="H2817" s="6">
        <v>42473.416620370372</v>
      </c>
    </row>
    <row r="2818" spans="4:8" x14ac:dyDescent="0.2">
      <c r="D2818" s="6"/>
      <c r="H2818" s="6">
        <v>42473.416620370372</v>
      </c>
    </row>
    <row r="2819" spans="4:8" x14ac:dyDescent="0.2">
      <c r="D2819" s="6"/>
      <c r="H2819" s="6">
        <v>42473.416620370372</v>
      </c>
    </row>
    <row r="2820" spans="4:8" x14ac:dyDescent="0.2">
      <c r="D2820" s="6"/>
      <c r="H2820" s="6">
        <v>42473.506261574075</v>
      </c>
    </row>
    <row r="2821" spans="4:8" x14ac:dyDescent="0.2">
      <c r="D2821" s="6"/>
      <c r="H2821" s="6">
        <v>42473.506261574075</v>
      </c>
    </row>
    <row r="2822" spans="4:8" x14ac:dyDescent="0.2">
      <c r="D2822" s="6"/>
      <c r="H2822" s="6">
        <v>42473.506261574075</v>
      </c>
    </row>
    <row r="2823" spans="4:8" x14ac:dyDescent="0.2">
      <c r="D2823" s="6"/>
      <c r="H2823" s="6">
        <v>42473.506261574075</v>
      </c>
    </row>
    <row r="2824" spans="4:8" x14ac:dyDescent="0.2">
      <c r="D2824" s="6"/>
      <c r="H2824" s="6">
        <v>42473.506261574075</v>
      </c>
    </row>
    <row r="2825" spans="4:8" x14ac:dyDescent="0.2">
      <c r="D2825" s="6"/>
      <c r="H2825" s="6">
        <v>42473.506261574075</v>
      </c>
    </row>
    <row r="2826" spans="4:8" x14ac:dyDescent="0.2">
      <c r="D2826" s="6"/>
      <c r="H2826" s="6">
        <v>42473.506273148145</v>
      </c>
    </row>
    <row r="2827" spans="4:8" x14ac:dyDescent="0.2">
      <c r="D2827" s="6"/>
      <c r="H2827" s="6">
        <v>42473.506273148145</v>
      </c>
    </row>
    <row r="2828" spans="4:8" x14ac:dyDescent="0.2">
      <c r="D2828" s="6"/>
      <c r="H2828" s="6">
        <v>42473.506273148145</v>
      </c>
    </row>
    <row r="2829" spans="4:8" x14ac:dyDescent="0.2">
      <c r="D2829" s="6"/>
      <c r="H2829" s="6">
        <v>42473.506458333337</v>
      </c>
    </row>
    <row r="2830" spans="4:8" x14ac:dyDescent="0.2">
      <c r="D2830" s="6"/>
      <c r="H2830" s="6">
        <v>42473.506458333337</v>
      </c>
    </row>
    <row r="2831" spans="4:8" x14ac:dyDescent="0.2">
      <c r="D2831" s="6"/>
      <c r="H2831" s="6">
        <v>42473.506458333337</v>
      </c>
    </row>
    <row r="2832" spans="4:8" x14ac:dyDescent="0.2">
      <c r="D2832" s="6"/>
      <c r="H2832" s="6">
        <v>42473.506469907406</v>
      </c>
    </row>
    <row r="2833" spans="4:8" x14ac:dyDescent="0.2">
      <c r="D2833" s="6"/>
      <c r="H2833" s="6">
        <v>42473.506469907406</v>
      </c>
    </row>
    <row r="2834" spans="4:8" x14ac:dyDescent="0.2">
      <c r="D2834" s="6"/>
      <c r="H2834" s="6">
        <v>42473.506469907406</v>
      </c>
    </row>
    <row r="2835" spans="4:8" x14ac:dyDescent="0.2">
      <c r="D2835" s="6"/>
      <c r="H2835" s="6">
        <v>42473.506469907406</v>
      </c>
    </row>
    <row r="2836" spans="4:8" x14ac:dyDescent="0.2">
      <c r="D2836" s="6"/>
      <c r="H2836" s="6">
        <v>42473.506469907406</v>
      </c>
    </row>
    <row r="2837" spans="4:8" x14ac:dyDescent="0.2">
      <c r="D2837" s="6"/>
      <c r="H2837" s="6">
        <v>42473.506469907406</v>
      </c>
    </row>
    <row r="2838" spans="4:8" x14ac:dyDescent="0.2">
      <c r="D2838" s="6"/>
      <c r="H2838" s="6">
        <v>42473.506469907406</v>
      </c>
    </row>
    <row r="2839" spans="4:8" x14ac:dyDescent="0.2">
      <c r="D2839" s="6"/>
      <c r="H2839" s="6">
        <v>42474.398981481485</v>
      </c>
    </row>
    <row r="2840" spans="4:8" x14ac:dyDescent="0.2">
      <c r="D2840" s="6"/>
      <c r="H2840" s="6">
        <v>42474.398981481485</v>
      </c>
    </row>
    <row r="2841" spans="4:8" x14ac:dyDescent="0.2">
      <c r="D2841" s="6"/>
      <c r="H2841" s="6">
        <v>42474.398981481485</v>
      </c>
    </row>
    <row r="2842" spans="4:8" x14ac:dyDescent="0.2">
      <c r="D2842" s="6"/>
      <c r="H2842" s="6">
        <v>42474.398981481485</v>
      </c>
    </row>
    <row r="2843" spans="4:8" x14ac:dyDescent="0.2">
      <c r="D2843" s="6"/>
      <c r="H2843" s="6">
        <v>42474.398981481485</v>
      </c>
    </row>
    <row r="2844" spans="4:8" x14ac:dyDescent="0.2">
      <c r="D2844" s="6"/>
      <c r="H2844" s="6">
        <v>42474.398981481485</v>
      </c>
    </row>
    <row r="2845" spans="4:8" x14ac:dyDescent="0.2">
      <c r="D2845" s="6"/>
      <c r="H2845" s="6">
        <v>42474.398981481485</v>
      </c>
    </row>
    <row r="2846" spans="4:8" x14ac:dyDescent="0.2">
      <c r="D2846" s="6"/>
      <c r="H2846" s="6">
        <v>42474.398981481485</v>
      </c>
    </row>
    <row r="2847" spans="4:8" x14ac:dyDescent="0.2">
      <c r="D2847" s="6"/>
      <c r="H2847" s="6">
        <v>42474.398981481485</v>
      </c>
    </row>
    <row r="2848" spans="4:8" x14ac:dyDescent="0.2">
      <c r="D2848" s="6"/>
      <c r="H2848" s="6">
        <v>42474.398981481485</v>
      </c>
    </row>
    <row r="2849" spans="4:8" x14ac:dyDescent="0.2">
      <c r="D2849" s="6"/>
      <c r="H2849" s="6">
        <v>42474.397407407407</v>
      </c>
    </row>
    <row r="2850" spans="4:8" x14ac:dyDescent="0.2">
      <c r="D2850" s="6"/>
      <c r="H2850" s="6">
        <v>42474.397407407407</v>
      </c>
    </row>
    <row r="2851" spans="4:8" x14ac:dyDescent="0.2">
      <c r="D2851" s="6"/>
      <c r="H2851" s="6">
        <v>42474.397407407407</v>
      </c>
    </row>
    <row r="2852" spans="4:8" x14ac:dyDescent="0.2">
      <c r="D2852" s="6"/>
      <c r="H2852" s="6">
        <v>42474.397407407407</v>
      </c>
    </row>
    <row r="2853" spans="4:8" x14ac:dyDescent="0.2">
      <c r="D2853" s="6"/>
      <c r="H2853" s="6">
        <v>42474.42082175926</v>
      </c>
    </row>
    <row r="2854" spans="4:8" x14ac:dyDescent="0.2">
      <c r="D2854" s="6"/>
      <c r="H2854" s="6">
        <v>42474.42082175926</v>
      </c>
    </row>
    <row r="2855" spans="4:8" x14ac:dyDescent="0.2">
      <c r="D2855" s="6"/>
      <c r="H2855" s="6">
        <v>42474.42082175926</v>
      </c>
    </row>
    <row r="2856" spans="4:8" x14ac:dyDescent="0.2">
      <c r="D2856" s="6"/>
      <c r="H2856" s="6">
        <v>42474.42082175926</v>
      </c>
    </row>
    <row r="2857" spans="4:8" x14ac:dyDescent="0.2">
      <c r="D2857" s="6"/>
      <c r="H2857" s="6">
        <v>42475.38486111111</v>
      </c>
    </row>
    <row r="2858" spans="4:8" x14ac:dyDescent="0.2">
      <c r="D2858" s="6"/>
      <c r="H2858" s="6">
        <v>42475.38486111111</v>
      </c>
    </row>
    <row r="2859" spans="4:8" x14ac:dyDescent="0.2">
      <c r="D2859" s="6"/>
      <c r="H2859" s="6">
        <v>42475.38486111111</v>
      </c>
    </row>
    <row r="2860" spans="4:8" x14ac:dyDescent="0.2">
      <c r="D2860" s="6"/>
      <c r="H2860" s="6">
        <v>42475.38486111111</v>
      </c>
    </row>
    <row r="2861" spans="4:8" x14ac:dyDescent="0.2">
      <c r="D2861" s="6"/>
      <c r="H2861" s="6">
        <v>42475.38486111111</v>
      </c>
    </row>
    <row r="2862" spans="4:8" x14ac:dyDescent="0.2">
      <c r="D2862" s="6"/>
      <c r="H2862" s="6">
        <v>42475.38486111111</v>
      </c>
    </row>
    <row r="2863" spans="4:8" x14ac:dyDescent="0.2">
      <c r="D2863" s="6"/>
      <c r="H2863" s="6">
        <v>42475.365995370368</v>
      </c>
    </row>
    <row r="2864" spans="4:8" x14ac:dyDescent="0.2">
      <c r="D2864" s="6"/>
      <c r="H2864" s="6">
        <v>42475.365995370368</v>
      </c>
    </row>
    <row r="2865" spans="4:8" x14ac:dyDescent="0.2">
      <c r="D2865" s="6"/>
      <c r="H2865" s="6">
        <v>42475.365995370368</v>
      </c>
    </row>
    <row r="2866" spans="4:8" x14ac:dyDescent="0.2">
      <c r="D2866" s="6"/>
      <c r="H2866" s="6">
        <v>42475.365995370368</v>
      </c>
    </row>
    <row r="2867" spans="4:8" x14ac:dyDescent="0.2">
      <c r="D2867" s="6"/>
      <c r="H2867" s="6">
        <v>42475.366006944445</v>
      </c>
    </row>
    <row r="2868" spans="4:8" x14ac:dyDescent="0.2">
      <c r="D2868" s="6"/>
      <c r="H2868" s="6">
        <v>42475.366006944445</v>
      </c>
    </row>
    <row r="2869" spans="4:8" x14ac:dyDescent="0.2">
      <c r="D2869" s="6"/>
      <c r="H2869" s="6">
        <v>42475.366006944445</v>
      </c>
    </row>
    <row r="2870" spans="4:8" x14ac:dyDescent="0.2">
      <c r="D2870" s="6"/>
      <c r="H2870" s="6">
        <v>42475.366006944445</v>
      </c>
    </row>
    <row r="2871" spans="4:8" x14ac:dyDescent="0.2">
      <c r="D2871" s="6"/>
      <c r="H2871" s="6">
        <v>42475.366006944445</v>
      </c>
    </row>
    <row r="2872" spans="4:8" x14ac:dyDescent="0.2">
      <c r="D2872" s="6"/>
      <c r="H2872" s="6">
        <v>42475.364236111112</v>
      </c>
    </row>
    <row r="2873" spans="4:8" x14ac:dyDescent="0.2">
      <c r="D2873" s="6"/>
      <c r="H2873" s="6">
        <v>42475.364236111112</v>
      </c>
    </row>
    <row r="2874" spans="4:8" x14ac:dyDescent="0.2">
      <c r="D2874" s="6"/>
      <c r="H2874" s="6">
        <v>42475.364236111112</v>
      </c>
    </row>
    <row r="2875" spans="4:8" x14ac:dyDescent="0.2">
      <c r="D2875" s="6"/>
      <c r="H2875" s="6">
        <v>42475.364236111112</v>
      </c>
    </row>
    <row r="2876" spans="4:8" x14ac:dyDescent="0.2">
      <c r="D2876" s="6"/>
      <c r="H2876" s="6">
        <v>42475.364236111112</v>
      </c>
    </row>
    <row r="2877" spans="4:8" x14ac:dyDescent="0.2">
      <c r="D2877" s="6"/>
      <c r="H2877" s="6">
        <v>42475.364236111112</v>
      </c>
    </row>
    <row r="2878" spans="4:8" x14ac:dyDescent="0.2">
      <c r="D2878" s="6"/>
      <c r="H2878" s="6">
        <v>42475.364236111112</v>
      </c>
    </row>
    <row r="2879" spans="4:8" x14ac:dyDescent="0.2">
      <c r="D2879" s="6"/>
      <c r="H2879" s="6">
        <v>42475.364236111112</v>
      </c>
    </row>
    <row r="2880" spans="4:8" x14ac:dyDescent="0.2">
      <c r="D2880" s="6"/>
      <c r="H2880" s="6">
        <v>42475.364236111112</v>
      </c>
    </row>
    <row r="2881" spans="4:8" x14ac:dyDescent="0.2">
      <c r="D2881" s="6"/>
      <c r="H2881" s="6">
        <v>42475.364236111112</v>
      </c>
    </row>
    <row r="2882" spans="4:8" x14ac:dyDescent="0.2">
      <c r="D2882" s="6"/>
      <c r="H2882" s="6">
        <v>42480.416122685187</v>
      </c>
    </row>
    <row r="2883" spans="4:8" x14ac:dyDescent="0.2">
      <c r="D2883" s="6"/>
      <c r="H2883" s="6">
        <v>42480.416122685187</v>
      </c>
    </row>
    <row r="2884" spans="4:8" x14ac:dyDescent="0.2">
      <c r="D2884" s="6"/>
      <c r="H2884" s="6">
        <v>42480.416122685187</v>
      </c>
    </row>
    <row r="2885" spans="4:8" x14ac:dyDescent="0.2">
      <c r="D2885" s="6"/>
      <c r="H2885" s="6">
        <v>42480.416122685187</v>
      </c>
    </row>
    <row r="2886" spans="4:8" x14ac:dyDescent="0.2">
      <c r="D2886" s="6"/>
      <c r="H2886" s="6">
        <v>42480.416122685187</v>
      </c>
    </row>
    <row r="2887" spans="4:8" x14ac:dyDescent="0.2">
      <c r="D2887" s="6"/>
      <c r="H2887" s="6">
        <v>42480.416122685187</v>
      </c>
    </row>
    <row r="2888" spans="4:8" x14ac:dyDescent="0.2">
      <c r="D2888" s="6"/>
      <c r="H2888" s="6">
        <v>42480.416122685187</v>
      </c>
    </row>
    <row r="2889" spans="4:8" x14ac:dyDescent="0.2">
      <c r="D2889" s="6"/>
      <c r="H2889" s="6">
        <v>42480.416122685187</v>
      </c>
    </row>
    <row r="2890" spans="4:8" x14ac:dyDescent="0.2">
      <c r="D2890" s="6"/>
      <c r="H2890" s="6">
        <v>42480.416122685187</v>
      </c>
    </row>
    <row r="2891" spans="4:8" x14ac:dyDescent="0.2">
      <c r="D2891" s="6"/>
      <c r="H2891" s="6">
        <v>42480.416122685187</v>
      </c>
    </row>
    <row r="2892" spans="4:8" x14ac:dyDescent="0.2">
      <c r="D2892" s="6"/>
      <c r="H2892" s="6">
        <v>42480.412858796299</v>
      </c>
    </row>
    <row r="2893" spans="4:8" x14ac:dyDescent="0.2">
      <c r="D2893" s="6"/>
      <c r="H2893" s="6">
        <v>42480.412858796299</v>
      </c>
    </row>
    <row r="2894" spans="4:8" x14ac:dyDescent="0.2">
      <c r="D2894" s="6"/>
      <c r="H2894" s="6">
        <v>42480.412858796299</v>
      </c>
    </row>
    <row r="2895" spans="4:8" x14ac:dyDescent="0.2">
      <c r="D2895" s="6"/>
      <c r="H2895" s="6">
        <v>42480.412870370368</v>
      </c>
    </row>
    <row r="2896" spans="4:8" x14ac:dyDescent="0.2">
      <c r="D2896" s="6"/>
      <c r="H2896" s="6">
        <v>42480.412870370368</v>
      </c>
    </row>
    <row r="2897" spans="4:8" x14ac:dyDescent="0.2">
      <c r="D2897" s="6"/>
      <c r="H2897" s="6">
        <v>42480.412870370368</v>
      </c>
    </row>
    <row r="2898" spans="4:8" x14ac:dyDescent="0.2">
      <c r="D2898" s="6"/>
      <c r="H2898" s="6">
        <v>42480.412870370368</v>
      </c>
    </row>
    <row r="2899" spans="4:8" x14ac:dyDescent="0.2">
      <c r="D2899" s="6"/>
      <c r="H2899" s="6">
        <v>42480.412870370368</v>
      </c>
    </row>
    <row r="2900" spans="4:8" x14ac:dyDescent="0.2">
      <c r="D2900" s="6"/>
      <c r="H2900" s="6">
        <v>42480.412870370368</v>
      </c>
    </row>
    <row r="2901" spans="4:8" x14ac:dyDescent="0.2">
      <c r="D2901" s="6"/>
      <c r="H2901" s="6">
        <v>42480.411273148151</v>
      </c>
    </row>
    <row r="2902" spans="4:8" x14ac:dyDescent="0.2">
      <c r="D2902" s="6"/>
      <c r="H2902" s="6">
        <v>42480.402013888888</v>
      </c>
    </row>
    <row r="2903" spans="4:8" x14ac:dyDescent="0.2">
      <c r="D2903" s="6"/>
      <c r="H2903" s="6">
        <v>42480.402013888888</v>
      </c>
    </row>
    <row r="2904" spans="4:8" x14ac:dyDescent="0.2">
      <c r="D2904" s="6"/>
      <c r="H2904" s="6">
        <v>42481.720763888887</v>
      </c>
    </row>
    <row r="2905" spans="4:8" x14ac:dyDescent="0.2">
      <c r="D2905" s="6"/>
      <c r="H2905" s="6">
        <v>42481.720763888887</v>
      </c>
    </row>
    <row r="2906" spans="4:8" x14ac:dyDescent="0.2">
      <c r="D2906" s="6"/>
      <c r="H2906" s="6">
        <v>42481.720763888887</v>
      </c>
    </row>
    <row r="2907" spans="4:8" x14ac:dyDescent="0.2">
      <c r="D2907" s="6"/>
      <c r="H2907" s="6">
        <v>42481.720763888887</v>
      </c>
    </row>
    <row r="2908" spans="4:8" x14ac:dyDescent="0.2">
      <c r="D2908" s="6"/>
      <c r="H2908" s="6">
        <v>42481.720775462964</v>
      </c>
    </row>
    <row r="2909" spans="4:8" x14ac:dyDescent="0.2">
      <c r="D2909" s="6"/>
      <c r="H2909" s="6">
        <v>42481.720775462964</v>
      </c>
    </row>
    <row r="2910" spans="4:8" x14ac:dyDescent="0.2">
      <c r="D2910" s="6"/>
      <c r="H2910" s="6">
        <v>42482.437395833331</v>
      </c>
    </row>
    <row r="2911" spans="4:8" x14ac:dyDescent="0.2">
      <c r="D2911" s="6"/>
      <c r="H2911" s="6">
        <v>42482.437395833331</v>
      </c>
    </row>
    <row r="2912" spans="4:8" x14ac:dyDescent="0.2">
      <c r="D2912" s="6"/>
      <c r="H2912" s="6">
        <v>42482.437395833331</v>
      </c>
    </row>
    <row r="2913" spans="4:8" x14ac:dyDescent="0.2">
      <c r="D2913" s="6"/>
      <c r="H2913" s="6">
        <v>42482.437407407408</v>
      </c>
    </row>
    <row r="2914" spans="4:8" x14ac:dyDescent="0.2">
      <c r="D2914" s="6"/>
      <c r="H2914" s="6">
        <v>42485.373888888891</v>
      </c>
    </row>
    <row r="2915" spans="4:8" x14ac:dyDescent="0.2">
      <c r="D2915" s="6"/>
      <c r="H2915" s="6">
        <v>42485.373888888891</v>
      </c>
    </row>
    <row r="2916" spans="4:8" x14ac:dyDescent="0.2">
      <c r="D2916" s="6"/>
      <c r="H2916" s="6">
        <v>42485.373888888891</v>
      </c>
    </row>
    <row r="2917" spans="4:8" x14ac:dyDescent="0.2">
      <c r="D2917" s="6"/>
      <c r="H2917" s="6">
        <v>42485.373900462961</v>
      </c>
    </row>
    <row r="2918" spans="4:8" x14ac:dyDescent="0.2">
      <c r="D2918" s="6"/>
      <c r="H2918" s="6">
        <v>42485.373900462961</v>
      </c>
    </row>
    <row r="2919" spans="4:8" x14ac:dyDescent="0.2">
      <c r="D2919" s="6"/>
      <c r="H2919" s="6">
        <v>42485.373900462961</v>
      </c>
    </row>
    <row r="2920" spans="4:8" x14ac:dyDescent="0.2">
      <c r="D2920" s="6"/>
      <c r="H2920" s="6">
        <v>42485.373900462961</v>
      </c>
    </row>
    <row r="2921" spans="4:8" x14ac:dyDescent="0.2">
      <c r="D2921" s="6"/>
      <c r="H2921" s="6">
        <v>42485.373900462961</v>
      </c>
    </row>
    <row r="2922" spans="4:8" x14ac:dyDescent="0.2">
      <c r="D2922" s="6"/>
      <c r="H2922" s="6">
        <v>42485.373900462961</v>
      </c>
    </row>
    <row r="2923" spans="4:8" x14ac:dyDescent="0.2">
      <c r="D2923" s="6"/>
      <c r="H2923" s="6">
        <v>42485.373900462961</v>
      </c>
    </row>
    <row r="2924" spans="4:8" x14ac:dyDescent="0.2">
      <c r="D2924" s="6"/>
      <c r="H2924" s="6">
        <v>42487.40792824074</v>
      </c>
    </row>
    <row r="2925" spans="4:8" x14ac:dyDescent="0.2">
      <c r="D2925" s="6"/>
      <c r="H2925" s="6">
        <v>42487.40792824074</v>
      </c>
    </row>
    <row r="2926" spans="4:8" x14ac:dyDescent="0.2">
      <c r="D2926" s="6"/>
      <c r="H2926" s="6">
        <v>42489.405624999999</v>
      </c>
    </row>
    <row r="2927" spans="4:8" x14ac:dyDescent="0.2">
      <c r="D2927" s="6"/>
      <c r="H2927" s="6">
        <v>42489.424293981479</v>
      </c>
    </row>
    <row r="2928" spans="4:8" x14ac:dyDescent="0.2">
      <c r="D2928" s="6"/>
      <c r="H2928" s="6">
        <v>42489.424293981479</v>
      </c>
    </row>
    <row r="2929" spans="4:8" x14ac:dyDescent="0.2">
      <c r="D2929" s="6"/>
      <c r="H2929" s="6">
        <v>42489.5621875</v>
      </c>
    </row>
    <row r="2930" spans="4:8" x14ac:dyDescent="0.2">
      <c r="D2930" s="6"/>
      <c r="H2930" s="6">
        <v>42489.5621875</v>
      </c>
    </row>
    <row r="2931" spans="4:8" x14ac:dyDescent="0.2">
      <c r="D2931" s="6"/>
      <c r="H2931" s="6">
        <v>42489.5621875</v>
      </c>
    </row>
    <row r="2932" spans="4:8" x14ac:dyDescent="0.2">
      <c r="D2932" s="6"/>
      <c r="H2932" s="6">
        <v>42489.5621875</v>
      </c>
    </row>
    <row r="2933" spans="4:8" x14ac:dyDescent="0.2">
      <c r="D2933" s="6"/>
      <c r="H2933" s="6">
        <v>42489.5621875</v>
      </c>
    </row>
    <row r="2934" spans="4:8" x14ac:dyDescent="0.2">
      <c r="D2934" s="6"/>
      <c r="H2934" s="6">
        <v>42489.5621875</v>
      </c>
    </row>
    <row r="2935" spans="4:8" x14ac:dyDescent="0.2">
      <c r="D2935" s="6"/>
      <c r="H2935" s="6">
        <v>42291.499131944445</v>
      </c>
    </row>
    <row r="2936" spans="4:8" x14ac:dyDescent="0.2">
      <c r="D2936" s="6"/>
      <c r="H2936" s="6">
        <v>42347.498599537037</v>
      </c>
    </row>
    <row r="2937" spans="4:8" x14ac:dyDescent="0.2">
      <c r="D2937" s="6"/>
      <c r="H2937" s="6">
        <v>42291.499131944445</v>
      </c>
    </row>
    <row r="2938" spans="4:8" x14ac:dyDescent="0.2">
      <c r="D2938" s="6"/>
      <c r="H2938" s="6">
        <v>42291.499131944445</v>
      </c>
    </row>
    <row r="2939" spans="4:8" x14ac:dyDescent="0.2">
      <c r="D2939" s="6"/>
      <c r="H2939" s="6">
        <v>42347.504548611112</v>
      </c>
    </row>
    <row r="2940" spans="4:8" x14ac:dyDescent="0.2">
      <c r="D2940" s="6"/>
      <c r="H2940" s="6">
        <v>42347.505752314813</v>
      </c>
    </row>
    <row r="2941" spans="4:8" x14ac:dyDescent="0.2">
      <c r="D2941" s="6"/>
      <c r="H2941" s="6">
        <v>42347.505567129629</v>
      </c>
    </row>
    <row r="2942" spans="4:8" x14ac:dyDescent="0.2">
      <c r="D2942" s="6"/>
      <c r="H2942" s="6">
        <v>42347.505567129629</v>
      </c>
    </row>
    <row r="2943" spans="4:8" x14ac:dyDescent="0.2">
      <c r="D2943" s="6"/>
      <c r="H2943" s="6">
        <v>41990.785324074073</v>
      </c>
    </row>
    <row r="2944" spans="4:8" x14ac:dyDescent="0.2">
      <c r="D2944" s="6"/>
      <c r="H2944" s="6">
        <v>41990.742719907408</v>
      </c>
    </row>
    <row r="2945" spans="4:8" x14ac:dyDescent="0.2">
      <c r="D2945" s="6"/>
      <c r="H2945" s="6">
        <v>42072.715092592596</v>
      </c>
    </row>
    <row r="2946" spans="4:8" x14ac:dyDescent="0.2">
      <c r="D2946" s="6"/>
      <c r="H2946" s="6">
        <v>42095.347650462965</v>
      </c>
    </row>
    <row r="2947" spans="4:8" x14ac:dyDescent="0.2">
      <c r="D2947" s="6"/>
      <c r="H2947" s="6">
        <v>41668.742881944447</v>
      </c>
    </row>
    <row r="2948" spans="4:8" x14ac:dyDescent="0.2">
      <c r="D2948" s="6"/>
      <c r="H2948" s="6">
        <v>41785.662488425929</v>
      </c>
    </row>
    <row r="2949" spans="4:8" x14ac:dyDescent="0.2">
      <c r="D2949" s="6"/>
      <c r="H2949" s="6">
        <v>42206.79146990741</v>
      </c>
    </row>
    <row r="2950" spans="4:8" x14ac:dyDescent="0.2">
      <c r="D2950" s="6"/>
      <c r="H2950" s="6">
        <v>41736.437060185184</v>
      </c>
    </row>
    <row r="2951" spans="4:8" x14ac:dyDescent="0.2">
      <c r="D2951" s="6"/>
      <c r="H2951" s="6">
        <v>41751.393518518518</v>
      </c>
    </row>
    <row r="2952" spans="4:8" x14ac:dyDescent="0.2">
      <c r="D2952" s="6"/>
      <c r="H2952" s="6">
        <v>41733.494189814817</v>
      </c>
    </row>
    <row r="2953" spans="4:8" x14ac:dyDescent="0.2">
      <c r="D2953" s="6"/>
      <c r="H2953" s="6">
        <v>41736.596145833333</v>
      </c>
    </row>
    <row r="2954" spans="4:8" x14ac:dyDescent="0.2">
      <c r="D2954" s="6"/>
      <c r="H2954" s="6">
        <v>41751.567499999997</v>
      </c>
    </row>
    <row r="2955" spans="4:8" x14ac:dyDescent="0.2">
      <c r="D2955" s="6"/>
      <c r="H2955" s="6">
        <v>41753.352569444447</v>
      </c>
    </row>
    <row r="2956" spans="4:8" x14ac:dyDescent="0.2">
      <c r="D2956" s="6"/>
      <c r="H2956" s="6">
        <v>41992.420092592591</v>
      </c>
    </row>
    <row r="2957" spans="4:8" x14ac:dyDescent="0.2">
      <c r="D2957" s="6"/>
      <c r="H2957" s="6">
        <v>41151.482858796298</v>
      </c>
    </row>
    <row r="2958" spans="4:8" x14ac:dyDescent="0.2">
      <c r="D2958" s="6"/>
      <c r="H2958" s="6">
        <v>42361.518703703703</v>
      </c>
    </row>
    <row r="2959" spans="4:8" x14ac:dyDescent="0.2">
      <c r="D2959" s="6"/>
      <c r="H2959" s="6">
        <v>42060.576516203706</v>
      </c>
    </row>
    <row r="2960" spans="4:8" x14ac:dyDescent="0.2">
      <c r="D2960" s="6"/>
      <c r="H2960" s="6">
        <v>42095.630486111113</v>
      </c>
    </row>
    <row r="2961" spans="1:8" x14ac:dyDescent="0.2">
      <c r="A2961" s="10"/>
      <c r="D2961" s="6"/>
      <c r="H2961" s="6">
        <v>42475.609895833331</v>
      </c>
    </row>
    <row r="2962" spans="1:8" x14ac:dyDescent="0.2">
      <c r="D2962" s="6"/>
      <c r="H2962" s="6">
        <v>42473.489259259259</v>
      </c>
    </row>
    <row r="2963" spans="1:8" x14ac:dyDescent="0.2">
      <c r="D2963" s="6"/>
      <c r="H2963" s="6">
        <v>42235.343726851854</v>
      </c>
    </row>
    <row r="2964" spans="1:8" x14ac:dyDescent="0.2">
      <c r="D2964" s="6"/>
      <c r="H2964" s="6">
        <v>41694.393113425926</v>
      </c>
    </row>
    <row r="2965" spans="1:8" x14ac:dyDescent="0.2">
      <c r="D2965" s="6"/>
      <c r="H2965" s="6">
        <v>41703.736967592595</v>
      </c>
    </row>
    <row r="2966" spans="1:8" x14ac:dyDescent="0.2">
      <c r="D2966" s="6"/>
      <c r="H2966" s="6">
        <v>41740.482395833336</v>
      </c>
    </row>
    <row r="2967" spans="1:8" x14ac:dyDescent="0.2">
      <c r="D2967" s="6"/>
      <c r="H2967" s="6">
        <v>41907.401469907411</v>
      </c>
    </row>
    <row r="2968" spans="1:8" x14ac:dyDescent="0.2">
      <c r="D2968" s="6"/>
      <c r="H2968" s="6">
        <v>42060.450798611113</v>
      </c>
    </row>
    <row r="2969" spans="1:8" x14ac:dyDescent="0.2">
      <c r="D2969" s="6"/>
      <c r="H2969" s="6">
        <v>41929.511516203704</v>
      </c>
    </row>
    <row r="2970" spans="1:8" x14ac:dyDescent="0.2">
      <c r="D2970" s="6"/>
      <c r="H2970" s="6">
        <v>41960.5155787037</v>
      </c>
    </row>
    <row r="2971" spans="1:8" x14ac:dyDescent="0.2">
      <c r="D2971" s="6"/>
      <c r="H2971" s="6">
        <v>41978.396666666667</v>
      </c>
    </row>
    <row r="2972" spans="1:8" x14ac:dyDescent="0.2">
      <c r="D2972" s="6"/>
      <c r="H2972" s="6">
        <v>41752.686076388891</v>
      </c>
    </row>
    <row r="2973" spans="1:8" x14ac:dyDescent="0.2">
      <c r="D2973" s="6"/>
      <c r="H2973" s="6">
        <v>41788.627789351849</v>
      </c>
    </row>
    <row r="2974" spans="1:8" x14ac:dyDescent="0.2">
      <c r="D2974" s="6"/>
      <c r="H2974" s="6">
        <v>42069.412881944445</v>
      </c>
    </row>
    <row r="2975" spans="1:8" x14ac:dyDescent="0.2">
      <c r="D2975" s="6"/>
      <c r="H2975" s="6">
        <v>42058.675821759258</v>
      </c>
    </row>
    <row r="2976" spans="1:8" x14ac:dyDescent="0.2">
      <c r="D2976" s="6"/>
      <c r="H2976" s="6">
        <v>42055.756863425922</v>
      </c>
    </row>
    <row r="2977" spans="4:8" x14ac:dyDescent="0.2">
      <c r="D2977" s="6"/>
      <c r="H2977" s="6">
        <v>42094.626828703702</v>
      </c>
    </row>
    <row r="2978" spans="4:8" x14ac:dyDescent="0.2">
      <c r="D2978" s="6"/>
      <c r="H2978" s="6">
        <v>41899.434282407405</v>
      </c>
    </row>
    <row r="2979" spans="4:8" x14ac:dyDescent="0.2">
      <c r="D2979" s="6"/>
      <c r="H2979" s="6">
        <v>41795.400312500002</v>
      </c>
    </row>
    <row r="2980" spans="4:8" x14ac:dyDescent="0.2">
      <c r="D2980" s="6"/>
      <c r="H2980" s="6">
        <v>41795.400324074071</v>
      </c>
    </row>
    <row r="2981" spans="4:8" x14ac:dyDescent="0.2">
      <c r="D2981" s="6"/>
      <c r="H2981" s="6">
        <v>41795.400324074071</v>
      </c>
    </row>
    <row r="2982" spans="4:8" x14ac:dyDescent="0.2">
      <c r="D2982" s="6"/>
      <c r="H2982" s="6">
        <v>41795.400324074071</v>
      </c>
    </row>
    <row r="2983" spans="4:8" x14ac:dyDescent="0.2">
      <c r="D2983" s="6"/>
      <c r="H2983" s="6">
        <v>41795.400324074071</v>
      </c>
    </row>
    <row r="2984" spans="4:8" x14ac:dyDescent="0.2">
      <c r="D2984" s="6"/>
      <c r="H2984" s="6">
        <v>41795.40048611111</v>
      </c>
    </row>
    <row r="2985" spans="4:8" x14ac:dyDescent="0.2">
      <c r="D2985" s="6"/>
      <c r="H2985" s="6">
        <v>41795.400543981479</v>
      </c>
    </row>
    <row r="2986" spans="4:8" x14ac:dyDescent="0.2">
      <c r="D2986" s="6"/>
      <c r="H2986" s="6">
        <v>41795.400543981479</v>
      </c>
    </row>
    <row r="2987" spans="4:8" x14ac:dyDescent="0.2">
      <c r="D2987" s="6"/>
      <c r="H2987" s="6">
        <v>41795.400555555556</v>
      </c>
    </row>
    <row r="2988" spans="4:8" x14ac:dyDescent="0.2">
      <c r="D2988" s="6"/>
      <c r="H2988" s="6">
        <v>41795.400555555556</v>
      </c>
    </row>
    <row r="2989" spans="4:8" x14ac:dyDescent="0.2">
      <c r="D2989" s="6"/>
      <c r="H2989" s="6">
        <v>41795.400555555556</v>
      </c>
    </row>
    <row r="2990" spans="4:8" x14ac:dyDescent="0.2">
      <c r="D2990" s="6"/>
      <c r="H2990" s="6">
        <v>41795.400567129633</v>
      </c>
    </row>
    <row r="2991" spans="4:8" x14ac:dyDescent="0.2">
      <c r="D2991" s="6"/>
      <c r="H2991" s="6">
        <v>41795.400567129633</v>
      </c>
    </row>
    <row r="2992" spans="4:8" x14ac:dyDescent="0.2">
      <c r="D2992" s="6"/>
      <c r="H2992" s="6">
        <v>41795.400578703702</v>
      </c>
    </row>
    <row r="2993" spans="4:8" x14ac:dyDescent="0.2">
      <c r="D2993" s="6"/>
      <c r="H2993" s="6">
        <v>41795.400578703702</v>
      </c>
    </row>
    <row r="2994" spans="4:8" x14ac:dyDescent="0.2">
      <c r="D2994" s="6"/>
      <c r="H2994" s="6">
        <v>41795.400578703702</v>
      </c>
    </row>
    <row r="2995" spans="4:8" x14ac:dyDescent="0.2">
      <c r="D2995" s="6"/>
      <c r="H2995" s="6">
        <v>41795.400590277779</v>
      </c>
    </row>
    <row r="2996" spans="4:8" x14ac:dyDescent="0.2">
      <c r="D2996" s="6"/>
      <c r="H2996" s="6">
        <v>41795.400590277779</v>
      </c>
    </row>
    <row r="2997" spans="4:8" x14ac:dyDescent="0.2">
      <c r="D2997" s="6"/>
      <c r="H2997" s="6">
        <v>41795.400601851848</v>
      </c>
    </row>
    <row r="2998" spans="4:8" x14ac:dyDescent="0.2">
      <c r="D2998" s="6"/>
      <c r="H2998" s="6">
        <v>41795.400601851848</v>
      </c>
    </row>
    <row r="2999" spans="4:8" x14ac:dyDescent="0.2">
      <c r="D2999" s="6"/>
      <c r="H2999" s="6">
        <v>41795.400601851848</v>
      </c>
    </row>
    <row r="3000" spans="4:8" x14ac:dyDescent="0.2">
      <c r="D3000" s="6"/>
      <c r="H3000" s="6">
        <v>41795.400613425925</v>
      </c>
    </row>
    <row r="3001" spans="4:8" x14ac:dyDescent="0.2">
      <c r="D3001" s="6"/>
      <c r="H3001" s="6">
        <v>41795.400613425925</v>
      </c>
    </row>
    <row r="3002" spans="4:8" x14ac:dyDescent="0.2">
      <c r="D3002" s="6"/>
      <c r="H3002" s="6">
        <v>41795.400613425925</v>
      </c>
    </row>
    <row r="3003" spans="4:8" x14ac:dyDescent="0.2">
      <c r="D3003" s="6"/>
      <c r="H3003" s="6">
        <v>41795.400625000002</v>
      </c>
    </row>
    <row r="3004" spans="4:8" x14ac:dyDescent="0.2">
      <c r="D3004" s="6"/>
      <c r="H3004" s="6">
        <v>41795.400625000002</v>
      </c>
    </row>
    <row r="3005" spans="4:8" x14ac:dyDescent="0.2">
      <c r="D3005" s="6"/>
      <c r="H3005" s="6">
        <v>41795.400636574072</v>
      </c>
    </row>
    <row r="3006" spans="4:8" x14ac:dyDescent="0.2">
      <c r="D3006" s="6"/>
      <c r="H3006" s="6">
        <v>41795.400636574072</v>
      </c>
    </row>
    <row r="3007" spans="4:8" x14ac:dyDescent="0.2">
      <c r="D3007" s="6"/>
      <c r="H3007" s="6">
        <v>41795.400729166664</v>
      </c>
    </row>
    <row r="3008" spans="4:8" x14ac:dyDescent="0.2">
      <c r="D3008" s="6"/>
      <c r="H3008" s="6">
        <v>41795.400729166664</v>
      </c>
    </row>
    <row r="3009" spans="4:8" x14ac:dyDescent="0.2">
      <c r="D3009" s="6"/>
      <c r="H3009" s="6">
        <v>41795.400729166664</v>
      </c>
    </row>
    <row r="3010" spans="4:8" x14ac:dyDescent="0.2">
      <c r="D3010" s="6"/>
      <c r="H3010" s="6">
        <v>41795.400729166664</v>
      </c>
    </row>
    <row r="3011" spans="4:8" x14ac:dyDescent="0.2">
      <c r="D3011" s="6"/>
      <c r="H3011" s="6">
        <v>41795.400740740741</v>
      </c>
    </row>
    <row r="3012" spans="4:8" x14ac:dyDescent="0.2">
      <c r="D3012" s="6"/>
      <c r="H3012" s="6">
        <v>41795.400740740741</v>
      </c>
    </row>
    <row r="3013" spans="4:8" x14ac:dyDescent="0.2">
      <c r="D3013" s="6"/>
      <c r="H3013" s="6">
        <v>41795.400740740741</v>
      </c>
    </row>
    <row r="3014" spans="4:8" x14ac:dyDescent="0.2">
      <c r="D3014" s="6"/>
      <c r="H3014" s="6">
        <v>41795.400740740741</v>
      </c>
    </row>
    <row r="3015" spans="4:8" x14ac:dyDescent="0.2">
      <c r="D3015" s="6"/>
      <c r="H3015" s="6">
        <v>41795.400740740741</v>
      </c>
    </row>
    <row r="3016" spans="4:8" x14ac:dyDescent="0.2">
      <c r="D3016" s="6"/>
      <c r="H3016" s="6">
        <v>41795.400740740741</v>
      </c>
    </row>
    <row r="3017" spans="4:8" x14ac:dyDescent="0.2">
      <c r="D3017" s="6"/>
      <c r="H3017" s="6">
        <v>41795.400752314818</v>
      </c>
    </row>
    <row r="3018" spans="4:8" x14ac:dyDescent="0.2">
      <c r="D3018" s="6"/>
      <c r="H3018" s="6">
        <v>41795.400752314818</v>
      </c>
    </row>
    <row r="3019" spans="4:8" x14ac:dyDescent="0.2">
      <c r="D3019" s="6"/>
      <c r="H3019" s="6">
        <v>41795.400752314818</v>
      </c>
    </row>
    <row r="3020" spans="4:8" x14ac:dyDescent="0.2">
      <c r="D3020" s="6"/>
      <c r="H3020" s="6">
        <v>41795.400752314818</v>
      </c>
    </row>
    <row r="3021" spans="4:8" x14ac:dyDescent="0.2">
      <c r="D3021" s="6"/>
      <c r="H3021" s="6">
        <v>41795.400752314818</v>
      </c>
    </row>
    <row r="3022" spans="4:8" x14ac:dyDescent="0.2">
      <c r="D3022" s="6"/>
      <c r="H3022" s="6">
        <v>41795.400752314818</v>
      </c>
    </row>
    <row r="3023" spans="4:8" x14ac:dyDescent="0.2">
      <c r="D3023" s="6"/>
      <c r="H3023" s="6">
        <v>41795.400763888887</v>
      </c>
    </row>
    <row r="3024" spans="4:8" x14ac:dyDescent="0.2">
      <c r="D3024" s="6"/>
      <c r="H3024" s="6">
        <v>41795.400763888887</v>
      </c>
    </row>
    <row r="3025" spans="4:8" x14ac:dyDescent="0.2">
      <c r="D3025" s="6"/>
      <c r="H3025" s="6">
        <v>41795.400763888887</v>
      </c>
    </row>
    <row r="3026" spans="4:8" x14ac:dyDescent="0.2">
      <c r="D3026" s="6"/>
      <c r="H3026" s="6">
        <v>41795.400763888887</v>
      </c>
    </row>
    <row r="3027" spans="4:8" x14ac:dyDescent="0.2">
      <c r="D3027" s="6"/>
      <c r="H3027" s="6">
        <v>41795.400763888887</v>
      </c>
    </row>
    <row r="3028" spans="4:8" x14ac:dyDescent="0.2">
      <c r="D3028" s="6"/>
      <c r="H3028" s="6">
        <v>41795.400763888887</v>
      </c>
    </row>
    <row r="3029" spans="4:8" x14ac:dyDescent="0.2">
      <c r="D3029" s="6"/>
      <c r="H3029" s="6">
        <v>41795.400763888887</v>
      </c>
    </row>
    <row r="3030" spans="4:8" x14ac:dyDescent="0.2">
      <c r="D3030" s="6"/>
      <c r="H3030" s="6">
        <v>41795.400775462964</v>
      </c>
    </row>
    <row r="3031" spans="4:8" x14ac:dyDescent="0.2">
      <c r="D3031" s="6"/>
      <c r="H3031" s="6">
        <v>41795.400775462964</v>
      </c>
    </row>
    <row r="3032" spans="4:8" x14ac:dyDescent="0.2">
      <c r="D3032" s="6"/>
      <c r="H3032" s="6">
        <v>41795.400775462964</v>
      </c>
    </row>
    <row r="3033" spans="4:8" x14ac:dyDescent="0.2">
      <c r="D3033" s="6"/>
      <c r="H3033" s="6">
        <v>41795.400775462964</v>
      </c>
    </row>
    <row r="3034" spans="4:8" x14ac:dyDescent="0.2">
      <c r="D3034" s="6"/>
      <c r="H3034" s="6">
        <v>41795.400821759256</v>
      </c>
    </row>
    <row r="3035" spans="4:8" x14ac:dyDescent="0.2">
      <c r="D3035" s="6"/>
      <c r="H3035" s="6">
        <v>41795.400821759256</v>
      </c>
    </row>
    <row r="3036" spans="4:8" x14ac:dyDescent="0.2">
      <c r="D3036" s="6"/>
      <c r="H3036" s="6">
        <v>41795.400821759256</v>
      </c>
    </row>
    <row r="3037" spans="4:8" x14ac:dyDescent="0.2">
      <c r="D3037" s="6"/>
      <c r="H3037" s="6">
        <v>41795.400821759256</v>
      </c>
    </row>
    <row r="3038" spans="4:8" x14ac:dyDescent="0.2">
      <c r="D3038" s="6"/>
      <c r="H3038" s="6">
        <v>41795.400833333333</v>
      </c>
    </row>
    <row r="3039" spans="4:8" x14ac:dyDescent="0.2">
      <c r="D3039" s="6"/>
      <c r="H3039" s="6">
        <v>41795.400833333333</v>
      </c>
    </row>
    <row r="3040" spans="4:8" x14ac:dyDescent="0.2">
      <c r="D3040" s="6"/>
      <c r="H3040" s="6">
        <v>41795.400833333333</v>
      </c>
    </row>
    <row r="3041" spans="4:8" x14ac:dyDescent="0.2">
      <c r="D3041" s="6"/>
      <c r="H3041" s="6">
        <v>41795.40084490741</v>
      </c>
    </row>
    <row r="3042" spans="4:8" x14ac:dyDescent="0.2">
      <c r="D3042" s="6"/>
      <c r="H3042" s="6">
        <v>41795.40084490741</v>
      </c>
    </row>
    <row r="3043" spans="4:8" x14ac:dyDescent="0.2">
      <c r="D3043" s="6"/>
      <c r="H3043" s="6">
        <v>41795.40084490741</v>
      </c>
    </row>
    <row r="3044" spans="4:8" x14ac:dyDescent="0.2">
      <c r="D3044" s="6"/>
      <c r="H3044" s="6">
        <v>41795.400856481479</v>
      </c>
    </row>
    <row r="3045" spans="4:8" x14ac:dyDescent="0.2">
      <c r="D3045" s="6"/>
      <c r="H3045" s="6">
        <v>41795.400856481479</v>
      </c>
    </row>
    <row r="3046" spans="4:8" x14ac:dyDescent="0.2">
      <c r="D3046" s="6"/>
      <c r="H3046" s="6">
        <v>41795.400868055556</v>
      </c>
    </row>
    <row r="3047" spans="4:8" x14ac:dyDescent="0.2">
      <c r="D3047" s="6"/>
      <c r="H3047" s="6">
        <v>41795.400868055556</v>
      </c>
    </row>
    <row r="3048" spans="4:8" x14ac:dyDescent="0.2">
      <c r="D3048" s="6"/>
      <c r="H3048" s="6">
        <v>41795.400868055556</v>
      </c>
    </row>
    <row r="3049" spans="4:8" x14ac:dyDescent="0.2">
      <c r="D3049" s="6"/>
      <c r="H3049" s="6">
        <v>41795.400879629633</v>
      </c>
    </row>
    <row r="3050" spans="4:8" x14ac:dyDescent="0.2">
      <c r="D3050" s="6"/>
      <c r="H3050" s="6">
        <v>41795.400879629633</v>
      </c>
    </row>
    <row r="3051" spans="4:8" x14ac:dyDescent="0.2">
      <c r="D3051" s="6"/>
      <c r="H3051" s="6">
        <v>41795.400879629633</v>
      </c>
    </row>
    <row r="3052" spans="4:8" x14ac:dyDescent="0.2">
      <c r="D3052" s="6"/>
      <c r="H3052" s="6">
        <v>41795.400891203702</v>
      </c>
    </row>
    <row r="3053" spans="4:8" x14ac:dyDescent="0.2">
      <c r="D3053" s="6"/>
      <c r="H3053" s="6">
        <v>41795.400891203702</v>
      </c>
    </row>
    <row r="3054" spans="4:8" x14ac:dyDescent="0.2">
      <c r="D3054" s="6"/>
      <c r="H3054" s="6">
        <v>41795.400902777779</v>
      </c>
    </row>
    <row r="3055" spans="4:8" x14ac:dyDescent="0.2">
      <c r="D3055" s="6"/>
      <c r="H3055" s="6">
        <v>41795.400902777779</v>
      </c>
    </row>
    <row r="3056" spans="4:8" x14ac:dyDescent="0.2">
      <c r="D3056" s="6"/>
      <c r="H3056" s="6">
        <v>41795.400902777779</v>
      </c>
    </row>
    <row r="3057" spans="4:8" x14ac:dyDescent="0.2">
      <c r="D3057" s="6"/>
      <c r="H3057" s="6">
        <v>41795.400914351849</v>
      </c>
    </row>
    <row r="3058" spans="4:8" x14ac:dyDescent="0.2">
      <c r="D3058" s="6"/>
      <c r="H3058" s="6">
        <v>41795.400914351849</v>
      </c>
    </row>
    <row r="3059" spans="4:8" x14ac:dyDescent="0.2">
      <c r="D3059" s="6"/>
      <c r="H3059" s="6">
        <v>41795.400914351849</v>
      </c>
    </row>
    <row r="3060" spans="4:8" x14ac:dyDescent="0.2">
      <c r="D3060" s="6"/>
      <c r="H3060" s="6">
        <v>41795.400914351849</v>
      </c>
    </row>
    <row r="3061" spans="4:8" x14ac:dyDescent="0.2">
      <c r="D3061" s="6"/>
      <c r="H3061" s="6">
        <v>41795.400914351849</v>
      </c>
    </row>
    <row r="3062" spans="4:8" x14ac:dyDescent="0.2">
      <c r="D3062" s="6"/>
      <c r="H3062" s="6">
        <v>41795.400914351849</v>
      </c>
    </row>
    <row r="3063" spans="4:8" x14ac:dyDescent="0.2">
      <c r="D3063" s="6"/>
      <c r="H3063" s="6">
        <v>41795.400914351849</v>
      </c>
    </row>
    <row r="3064" spans="4:8" x14ac:dyDescent="0.2">
      <c r="D3064" s="6"/>
      <c r="H3064" s="6">
        <v>41795.400914351849</v>
      </c>
    </row>
    <row r="3065" spans="4:8" x14ac:dyDescent="0.2">
      <c r="D3065" s="6"/>
      <c r="H3065" s="6">
        <v>41795.400914351849</v>
      </c>
    </row>
    <row r="3066" spans="4:8" x14ac:dyDescent="0.2">
      <c r="D3066" s="6"/>
      <c r="H3066" s="6">
        <v>41795.400914351849</v>
      </c>
    </row>
    <row r="3067" spans="4:8" x14ac:dyDescent="0.2">
      <c r="D3067" s="6"/>
      <c r="H3067" s="6">
        <v>41795.400925925926</v>
      </c>
    </row>
    <row r="3068" spans="4:8" x14ac:dyDescent="0.2">
      <c r="D3068" s="6"/>
      <c r="H3068" s="6">
        <v>41795.400925925926</v>
      </c>
    </row>
    <row r="3069" spans="4:8" x14ac:dyDescent="0.2">
      <c r="D3069" s="6"/>
      <c r="H3069" s="6">
        <v>41795.400925925926</v>
      </c>
    </row>
    <row r="3070" spans="4:8" x14ac:dyDescent="0.2">
      <c r="D3070" s="6"/>
      <c r="H3070" s="6">
        <v>41795.400925925926</v>
      </c>
    </row>
    <row r="3071" spans="4:8" x14ac:dyDescent="0.2">
      <c r="D3071" s="6"/>
      <c r="H3071" s="6">
        <v>41795.400925925926</v>
      </c>
    </row>
    <row r="3072" spans="4:8" x14ac:dyDescent="0.2">
      <c r="D3072" s="6"/>
      <c r="H3072" s="6">
        <v>41795.400925925926</v>
      </c>
    </row>
    <row r="3073" spans="4:8" x14ac:dyDescent="0.2">
      <c r="D3073" s="6"/>
      <c r="H3073" s="6">
        <v>41795.400925925926</v>
      </c>
    </row>
    <row r="3074" spans="4:8" x14ac:dyDescent="0.2">
      <c r="D3074" s="6"/>
      <c r="H3074" s="6">
        <v>41795.400925925926</v>
      </c>
    </row>
    <row r="3075" spans="4:8" x14ac:dyDescent="0.2">
      <c r="D3075" s="6"/>
      <c r="H3075" s="6">
        <v>41795.400925925926</v>
      </c>
    </row>
    <row r="3076" spans="4:8" x14ac:dyDescent="0.2">
      <c r="D3076" s="6"/>
      <c r="H3076" s="6">
        <v>41795.400925925926</v>
      </c>
    </row>
    <row r="3077" spans="4:8" x14ac:dyDescent="0.2">
      <c r="D3077" s="6"/>
      <c r="H3077" s="6">
        <v>41795.400925925926</v>
      </c>
    </row>
    <row r="3078" spans="4:8" x14ac:dyDescent="0.2">
      <c r="D3078" s="6"/>
      <c r="H3078" s="6">
        <v>41795.400925925926</v>
      </c>
    </row>
    <row r="3079" spans="4:8" x14ac:dyDescent="0.2">
      <c r="D3079" s="6"/>
      <c r="H3079" s="6">
        <v>41795.400925925926</v>
      </c>
    </row>
    <row r="3080" spans="4:8" x14ac:dyDescent="0.2">
      <c r="D3080" s="6"/>
      <c r="H3080" s="6">
        <v>41795.400925925926</v>
      </c>
    </row>
    <row r="3081" spans="4:8" x14ac:dyDescent="0.2">
      <c r="D3081" s="6"/>
      <c r="H3081" s="6">
        <v>41795.400925925926</v>
      </c>
    </row>
    <row r="3082" spans="4:8" x14ac:dyDescent="0.2">
      <c r="D3082" s="6"/>
      <c r="H3082" s="6">
        <v>41795.400937500002</v>
      </c>
    </row>
    <row r="3083" spans="4:8" x14ac:dyDescent="0.2">
      <c r="D3083" s="6"/>
      <c r="H3083" s="6">
        <v>41795.400937500002</v>
      </c>
    </row>
    <row r="3084" spans="4:8" x14ac:dyDescent="0.2">
      <c r="D3084" s="6"/>
      <c r="H3084" s="6">
        <v>41795.400937500002</v>
      </c>
    </row>
    <row r="3085" spans="4:8" x14ac:dyDescent="0.2">
      <c r="D3085" s="6"/>
      <c r="H3085" s="6">
        <v>41795.400937500002</v>
      </c>
    </row>
    <row r="3086" spans="4:8" x14ac:dyDescent="0.2">
      <c r="D3086" s="6"/>
      <c r="H3086" s="6">
        <v>41795.400937500002</v>
      </c>
    </row>
    <row r="3087" spans="4:8" x14ac:dyDescent="0.2">
      <c r="D3087" s="6"/>
      <c r="H3087" s="6">
        <v>41795.400937500002</v>
      </c>
    </row>
    <row r="3088" spans="4:8" x14ac:dyDescent="0.2">
      <c r="D3088" s="6"/>
      <c r="H3088" s="6">
        <v>41795.400937500002</v>
      </c>
    </row>
    <row r="3089" spans="1:8" x14ac:dyDescent="0.2">
      <c r="D3089" s="6"/>
      <c r="H3089" s="6">
        <v>41795.400937500002</v>
      </c>
    </row>
    <row r="3090" spans="1:8" x14ac:dyDescent="0.2">
      <c r="D3090" s="6"/>
      <c r="H3090" s="6">
        <v>41795.400949074072</v>
      </c>
    </row>
    <row r="3091" spans="1:8" x14ac:dyDescent="0.2">
      <c r="D3091" s="6"/>
      <c r="H3091" s="6">
        <v>41795.400949074072</v>
      </c>
    </row>
    <row r="3092" spans="1:8" x14ac:dyDescent="0.2">
      <c r="D3092" s="6"/>
      <c r="H3092" s="6">
        <v>41795.400960648149</v>
      </c>
    </row>
    <row r="3093" spans="1:8" x14ac:dyDescent="0.2">
      <c r="D3093" s="6"/>
      <c r="H3093" s="6">
        <v>41795.400960648149</v>
      </c>
    </row>
    <row r="3094" spans="1:8" x14ac:dyDescent="0.2">
      <c r="D3094" s="6"/>
      <c r="H3094" s="6">
        <v>41795.400960648149</v>
      </c>
    </row>
    <row r="3095" spans="1:8" x14ac:dyDescent="0.2">
      <c r="D3095" s="6"/>
      <c r="H3095" s="6">
        <v>41795.400960648149</v>
      </c>
    </row>
    <row r="3096" spans="1:8" x14ac:dyDescent="0.2">
      <c r="D3096" s="6"/>
      <c r="H3096" s="6">
        <v>41795.400960648149</v>
      </c>
    </row>
    <row r="3097" spans="1:8" x14ac:dyDescent="0.2">
      <c r="D3097" s="6"/>
      <c r="H3097" s="6">
        <v>41795.400960648149</v>
      </c>
    </row>
    <row r="3098" spans="1:8" x14ac:dyDescent="0.2">
      <c r="D3098" s="6"/>
      <c r="H3098" s="6">
        <v>41795.400972222225</v>
      </c>
    </row>
    <row r="3099" spans="1:8" x14ac:dyDescent="0.2">
      <c r="A3099" s="20"/>
      <c r="D3099" s="6"/>
      <c r="H3099" s="6">
        <v>41795.400972222225</v>
      </c>
    </row>
    <row r="3100" spans="1:8" x14ac:dyDescent="0.2">
      <c r="A3100" s="20"/>
      <c r="D3100" s="6"/>
      <c r="H3100" s="6">
        <v>41795.400972222225</v>
      </c>
    </row>
    <row r="3101" spans="1:8" x14ac:dyDescent="0.2">
      <c r="A3101" s="20"/>
      <c r="D3101" s="6"/>
      <c r="H3101" s="6">
        <v>41795.400972222225</v>
      </c>
    </row>
    <row r="3102" spans="1:8" x14ac:dyDescent="0.2">
      <c r="A3102" s="20"/>
      <c r="D3102" s="6"/>
      <c r="H3102" s="6">
        <v>41795.400972222225</v>
      </c>
    </row>
    <row r="3103" spans="1:8" x14ac:dyDescent="0.2">
      <c r="A3103" s="20"/>
      <c r="D3103" s="6"/>
      <c r="H3103" s="6">
        <v>41795.400972222225</v>
      </c>
    </row>
    <row r="3104" spans="1:8" x14ac:dyDescent="0.2">
      <c r="A3104" s="20"/>
      <c r="D3104" s="6"/>
      <c r="H3104" s="6">
        <v>41795.400983796295</v>
      </c>
    </row>
    <row r="3105" spans="1:8" x14ac:dyDescent="0.2">
      <c r="A3105" s="20"/>
      <c r="D3105" s="6"/>
      <c r="H3105" s="6">
        <v>41795.400995370372</v>
      </c>
    </row>
    <row r="3106" spans="1:8" x14ac:dyDescent="0.2">
      <c r="A3106" s="20"/>
      <c r="D3106" s="6"/>
      <c r="H3106" s="6">
        <v>41795.400995370372</v>
      </c>
    </row>
    <row r="3107" spans="1:8" x14ac:dyDescent="0.2">
      <c r="A3107" s="20"/>
      <c r="D3107" s="6"/>
      <c r="H3107" s="6">
        <v>41795.400995370372</v>
      </c>
    </row>
    <row r="3108" spans="1:8" x14ac:dyDescent="0.2">
      <c r="A3108" s="20"/>
      <c r="D3108" s="6"/>
      <c r="H3108" s="6">
        <v>41795.401006944441</v>
      </c>
    </row>
    <row r="3109" spans="1:8" x14ac:dyDescent="0.2">
      <c r="A3109" s="20"/>
      <c r="D3109" s="6"/>
      <c r="H3109" s="6">
        <v>41795.401006944441</v>
      </c>
    </row>
    <row r="3110" spans="1:8" x14ac:dyDescent="0.2">
      <c r="A3110" s="20"/>
      <c r="D3110" s="6"/>
      <c r="H3110" s="6">
        <v>41795.401006944441</v>
      </c>
    </row>
    <row r="3111" spans="1:8" x14ac:dyDescent="0.2">
      <c r="A3111" s="20"/>
      <c r="D3111" s="6"/>
      <c r="H3111" s="6">
        <v>41795.401006944441</v>
      </c>
    </row>
    <row r="3112" spans="1:8" x14ac:dyDescent="0.2">
      <c r="A3112" s="20"/>
      <c r="D3112" s="6"/>
      <c r="H3112" s="6">
        <v>41795.401006944441</v>
      </c>
    </row>
    <row r="3113" spans="1:8" x14ac:dyDescent="0.2">
      <c r="D3113" s="6"/>
      <c r="H3113" s="6">
        <v>41795.401006944441</v>
      </c>
    </row>
    <row r="3114" spans="1:8" x14ac:dyDescent="0.2">
      <c r="D3114" s="6"/>
      <c r="H3114" s="6">
        <v>41795.401018518518</v>
      </c>
    </row>
    <row r="3115" spans="1:8" x14ac:dyDescent="0.2">
      <c r="D3115" s="6"/>
      <c r="H3115" s="6">
        <v>41795.401018518518</v>
      </c>
    </row>
    <row r="3116" spans="1:8" x14ac:dyDescent="0.2">
      <c r="D3116" s="6"/>
      <c r="H3116" s="6">
        <v>41795.401018518518</v>
      </c>
    </row>
    <row r="3117" spans="1:8" x14ac:dyDescent="0.2">
      <c r="D3117" s="6"/>
      <c r="H3117" s="6">
        <v>41795.401018518518</v>
      </c>
    </row>
    <row r="3118" spans="1:8" x14ac:dyDescent="0.2">
      <c r="D3118" s="6"/>
      <c r="H3118" s="6">
        <v>41795.401018518518</v>
      </c>
    </row>
    <row r="3119" spans="1:8" x14ac:dyDescent="0.2">
      <c r="D3119" s="6"/>
      <c r="H3119" s="6">
        <v>41795.401018518518</v>
      </c>
    </row>
    <row r="3120" spans="1:8" x14ac:dyDescent="0.2">
      <c r="D3120" s="6"/>
      <c r="H3120" s="6">
        <v>41795.401018518518</v>
      </c>
    </row>
    <row r="3121" spans="4:8" x14ac:dyDescent="0.2">
      <c r="D3121" s="6"/>
      <c r="H3121" s="6">
        <v>41795.401018518518</v>
      </c>
    </row>
    <row r="3122" spans="4:8" x14ac:dyDescent="0.2">
      <c r="D3122" s="6"/>
      <c r="H3122" s="6">
        <v>41795.401018518518</v>
      </c>
    </row>
    <row r="3123" spans="4:8" x14ac:dyDescent="0.2">
      <c r="D3123" s="6"/>
      <c r="H3123" s="6">
        <v>41795.401018518518</v>
      </c>
    </row>
    <row r="3124" spans="4:8" x14ac:dyDescent="0.2">
      <c r="D3124" s="6"/>
      <c r="H3124" s="6">
        <v>41795.401018518518</v>
      </c>
    </row>
    <row r="3125" spans="4:8" x14ac:dyDescent="0.2">
      <c r="D3125" s="6"/>
      <c r="H3125" s="6">
        <v>41795.401018518518</v>
      </c>
    </row>
    <row r="3126" spans="4:8" x14ac:dyDescent="0.2">
      <c r="D3126" s="6"/>
      <c r="H3126" s="6">
        <v>41795.401018518518</v>
      </c>
    </row>
    <row r="3127" spans="4:8" x14ac:dyDescent="0.2">
      <c r="D3127" s="6"/>
      <c r="H3127" s="6">
        <v>41795.401018518518</v>
      </c>
    </row>
    <row r="3128" spans="4:8" x14ac:dyDescent="0.2">
      <c r="D3128" s="6"/>
      <c r="H3128" s="6">
        <v>41795.401018518518</v>
      </c>
    </row>
    <row r="3129" spans="4:8" x14ac:dyDescent="0.2">
      <c r="D3129" s="6"/>
      <c r="H3129" s="6">
        <v>41795.401018518518</v>
      </c>
    </row>
    <row r="3130" spans="4:8" x14ac:dyDescent="0.2">
      <c r="D3130" s="6"/>
      <c r="H3130" s="6">
        <v>41795.401018518518</v>
      </c>
    </row>
    <row r="3131" spans="4:8" x14ac:dyDescent="0.2">
      <c r="D3131" s="6"/>
      <c r="H3131" s="6">
        <v>41795.401018518518</v>
      </c>
    </row>
    <row r="3132" spans="4:8" x14ac:dyDescent="0.2">
      <c r="D3132" s="6"/>
      <c r="H3132" s="6">
        <v>41795.401018518518</v>
      </c>
    </row>
    <row r="3133" spans="4:8" x14ac:dyDescent="0.2">
      <c r="D3133" s="6"/>
      <c r="H3133" s="6">
        <v>41795.401030092595</v>
      </c>
    </row>
    <row r="3134" spans="4:8" x14ac:dyDescent="0.2">
      <c r="D3134" s="6"/>
      <c r="H3134" s="6">
        <v>41795.401030092595</v>
      </c>
    </row>
    <row r="3135" spans="4:8" x14ac:dyDescent="0.2">
      <c r="D3135" s="6"/>
      <c r="H3135" s="6">
        <v>41795.401030092595</v>
      </c>
    </row>
    <row r="3136" spans="4:8" x14ac:dyDescent="0.2">
      <c r="D3136" s="6"/>
      <c r="H3136" s="6">
        <v>41795.401030092595</v>
      </c>
    </row>
    <row r="3137" spans="4:8" x14ac:dyDescent="0.2">
      <c r="D3137" s="6"/>
      <c r="H3137" s="6">
        <v>41795.401030092595</v>
      </c>
    </row>
    <row r="3138" spans="4:8" x14ac:dyDescent="0.2">
      <c r="D3138" s="6"/>
      <c r="H3138" s="6">
        <v>41795.401030092595</v>
      </c>
    </row>
    <row r="3139" spans="4:8" x14ac:dyDescent="0.2">
      <c r="D3139" s="6"/>
      <c r="H3139" s="6">
        <v>41795.401030092595</v>
      </c>
    </row>
    <row r="3140" spans="4:8" x14ac:dyDescent="0.2">
      <c r="D3140" s="6"/>
      <c r="H3140" s="6">
        <v>41795.401030092595</v>
      </c>
    </row>
    <row r="3141" spans="4:8" x14ac:dyDescent="0.2">
      <c r="D3141" s="6"/>
      <c r="H3141" s="6">
        <v>41795.401041666664</v>
      </c>
    </row>
    <row r="3142" spans="4:8" x14ac:dyDescent="0.2">
      <c r="D3142" s="6"/>
      <c r="H3142" s="6">
        <v>41795.401041666664</v>
      </c>
    </row>
    <row r="3143" spans="4:8" x14ac:dyDescent="0.2">
      <c r="D3143" s="6"/>
      <c r="H3143" s="6">
        <v>41795.401041666664</v>
      </c>
    </row>
    <row r="3144" spans="4:8" x14ac:dyDescent="0.2">
      <c r="D3144" s="6"/>
      <c r="H3144" s="6">
        <v>41795.401041666664</v>
      </c>
    </row>
    <row r="3145" spans="4:8" x14ac:dyDescent="0.2">
      <c r="D3145" s="6"/>
      <c r="H3145" s="6">
        <v>41795.401041666664</v>
      </c>
    </row>
    <row r="3146" spans="4:8" x14ac:dyDescent="0.2">
      <c r="D3146" s="6"/>
      <c r="H3146" s="6">
        <v>41795.401041666664</v>
      </c>
    </row>
    <row r="3147" spans="4:8" x14ac:dyDescent="0.2">
      <c r="D3147" s="6"/>
      <c r="H3147" s="6">
        <v>41795.401041666664</v>
      </c>
    </row>
    <row r="3148" spans="4:8" x14ac:dyDescent="0.2">
      <c r="D3148" s="6"/>
      <c r="H3148" s="6">
        <v>41795.401064814818</v>
      </c>
    </row>
    <row r="3149" spans="4:8" x14ac:dyDescent="0.2">
      <c r="D3149" s="6"/>
      <c r="H3149" s="6">
        <v>41795.401064814818</v>
      </c>
    </row>
    <row r="3150" spans="4:8" x14ac:dyDescent="0.2">
      <c r="D3150" s="6"/>
      <c r="H3150" s="6">
        <v>41795.401064814818</v>
      </c>
    </row>
    <row r="3151" spans="4:8" x14ac:dyDescent="0.2">
      <c r="D3151" s="6"/>
      <c r="H3151" s="6">
        <v>41795.401064814818</v>
      </c>
    </row>
    <row r="3152" spans="4:8" x14ac:dyDescent="0.2">
      <c r="D3152" s="6"/>
      <c r="H3152" s="6">
        <v>41795.401064814818</v>
      </c>
    </row>
    <row r="3153" spans="4:8" x14ac:dyDescent="0.2">
      <c r="D3153" s="6"/>
      <c r="H3153" s="6">
        <v>41795.401064814818</v>
      </c>
    </row>
    <row r="3154" spans="4:8" x14ac:dyDescent="0.2">
      <c r="D3154" s="6"/>
      <c r="H3154" s="6">
        <v>41795.401064814818</v>
      </c>
    </row>
    <row r="3155" spans="4:8" x14ac:dyDescent="0.2">
      <c r="D3155" s="6"/>
      <c r="H3155" s="6">
        <v>41795.401076388887</v>
      </c>
    </row>
    <row r="3156" spans="4:8" x14ac:dyDescent="0.2">
      <c r="D3156" s="6"/>
      <c r="H3156" s="6">
        <v>41795.401076388887</v>
      </c>
    </row>
    <row r="3157" spans="4:8" x14ac:dyDescent="0.2">
      <c r="D3157" s="6"/>
      <c r="H3157" s="6">
        <v>41795.401076388887</v>
      </c>
    </row>
    <row r="3158" spans="4:8" x14ac:dyDescent="0.2">
      <c r="D3158" s="6"/>
      <c r="H3158" s="6">
        <v>41795.401076388887</v>
      </c>
    </row>
    <row r="3159" spans="4:8" x14ac:dyDescent="0.2">
      <c r="D3159" s="6"/>
      <c r="H3159" s="6">
        <v>41795.401076388887</v>
      </c>
    </row>
    <row r="3160" spans="4:8" x14ac:dyDescent="0.2">
      <c r="D3160" s="6"/>
      <c r="H3160" s="6">
        <v>41795.401076388887</v>
      </c>
    </row>
    <row r="3161" spans="4:8" x14ac:dyDescent="0.2">
      <c r="D3161" s="6"/>
      <c r="H3161" s="6">
        <v>41795.401076388887</v>
      </c>
    </row>
    <row r="3162" spans="4:8" x14ac:dyDescent="0.2">
      <c r="D3162" s="6"/>
      <c r="H3162" s="6">
        <v>41795.401076388887</v>
      </c>
    </row>
    <row r="3163" spans="4:8" x14ac:dyDescent="0.2">
      <c r="D3163" s="6"/>
      <c r="H3163" s="6">
        <v>41795.401087962964</v>
      </c>
    </row>
    <row r="3164" spans="4:8" x14ac:dyDescent="0.2">
      <c r="D3164" s="6"/>
      <c r="H3164" s="6">
        <v>41795.401087962964</v>
      </c>
    </row>
    <row r="3165" spans="4:8" x14ac:dyDescent="0.2">
      <c r="D3165" s="6"/>
      <c r="H3165" s="6">
        <v>41795.401087962964</v>
      </c>
    </row>
    <row r="3166" spans="4:8" x14ac:dyDescent="0.2">
      <c r="D3166" s="6"/>
      <c r="H3166" s="6">
        <v>41795.401087962964</v>
      </c>
    </row>
    <row r="3167" spans="4:8" x14ac:dyDescent="0.2">
      <c r="D3167" s="6"/>
      <c r="H3167" s="6">
        <v>41795.401087962964</v>
      </c>
    </row>
    <row r="3168" spans="4:8" x14ac:dyDescent="0.2">
      <c r="D3168" s="6"/>
      <c r="H3168" s="6">
        <v>41795.401087962964</v>
      </c>
    </row>
    <row r="3169" spans="4:8" x14ac:dyDescent="0.2">
      <c r="D3169" s="6"/>
      <c r="H3169" s="6">
        <v>41795.401087962964</v>
      </c>
    </row>
    <row r="3170" spans="4:8" x14ac:dyDescent="0.2">
      <c r="D3170" s="6"/>
      <c r="H3170" s="6">
        <v>41795.401087962964</v>
      </c>
    </row>
    <row r="3171" spans="4:8" x14ac:dyDescent="0.2">
      <c r="D3171" s="6"/>
      <c r="H3171" s="6">
        <v>41795.401087962964</v>
      </c>
    </row>
    <row r="3172" spans="4:8" x14ac:dyDescent="0.2">
      <c r="D3172" s="6"/>
      <c r="H3172" s="6">
        <v>41795.401099537034</v>
      </c>
    </row>
    <row r="3173" spans="4:8" x14ac:dyDescent="0.2">
      <c r="D3173" s="6"/>
      <c r="H3173" s="6">
        <v>41795.401099537034</v>
      </c>
    </row>
    <row r="3174" spans="4:8" x14ac:dyDescent="0.2">
      <c r="D3174" s="6"/>
      <c r="H3174" s="6">
        <v>41795.401099537034</v>
      </c>
    </row>
    <row r="3175" spans="4:8" x14ac:dyDescent="0.2">
      <c r="D3175" s="6"/>
      <c r="H3175" s="6">
        <v>41795.401099537034</v>
      </c>
    </row>
    <row r="3176" spans="4:8" x14ac:dyDescent="0.2">
      <c r="D3176" s="6"/>
      <c r="H3176" s="6">
        <v>41795.401099537034</v>
      </c>
    </row>
    <row r="3177" spans="4:8" x14ac:dyDescent="0.2">
      <c r="D3177" s="6"/>
      <c r="H3177" s="6">
        <v>41795.401099537034</v>
      </c>
    </row>
    <row r="3178" spans="4:8" x14ac:dyDescent="0.2">
      <c r="D3178" s="6"/>
      <c r="H3178" s="6">
        <v>41795.40111111111</v>
      </c>
    </row>
    <row r="3179" spans="4:8" x14ac:dyDescent="0.2">
      <c r="D3179" s="6"/>
      <c r="H3179" s="6">
        <v>41795.40111111111</v>
      </c>
    </row>
    <row r="3180" spans="4:8" x14ac:dyDescent="0.2">
      <c r="D3180" s="6"/>
      <c r="H3180" s="6">
        <v>41795.40111111111</v>
      </c>
    </row>
    <row r="3181" spans="4:8" x14ac:dyDescent="0.2">
      <c r="D3181" s="6"/>
      <c r="H3181" s="6">
        <v>41795.40111111111</v>
      </c>
    </row>
    <row r="3182" spans="4:8" x14ac:dyDescent="0.2">
      <c r="D3182" s="6"/>
      <c r="H3182" s="6">
        <v>41795.40111111111</v>
      </c>
    </row>
    <row r="3183" spans="4:8" x14ac:dyDescent="0.2">
      <c r="D3183" s="6"/>
      <c r="H3183" s="6">
        <v>41795.40111111111</v>
      </c>
    </row>
    <row r="3184" spans="4:8" x14ac:dyDescent="0.2">
      <c r="D3184" s="6"/>
      <c r="H3184" s="6">
        <v>41795.40111111111</v>
      </c>
    </row>
    <row r="3185" spans="4:8" x14ac:dyDescent="0.2">
      <c r="D3185" s="6"/>
      <c r="H3185" s="6">
        <v>41795.401122685187</v>
      </c>
    </row>
    <row r="3186" spans="4:8" x14ac:dyDescent="0.2">
      <c r="D3186" s="6"/>
      <c r="H3186" s="6">
        <v>41795.401122685187</v>
      </c>
    </row>
    <row r="3187" spans="4:8" x14ac:dyDescent="0.2">
      <c r="D3187" s="6"/>
      <c r="H3187" s="6">
        <v>41795.401122685187</v>
      </c>
    </row>
    <row r="3188" spans="4:8" x14ac:dyDescent="0.2">
      <c r="D3188" s="6"/>
      <c r="H3188" s="6">
        <v>41795.401122685187</v>
      </c>
    </row>
    <row r="3189" spans="4:8" x14ac:dyDescent="0.2">
      <c r="D3189" s="6"/>
      <c r="H3189" s="6">
        <v>41795.401122685187</v>
      </c>
    </row>
    <row r="3190" spans="4:8" x14ac:dyDescent="0.2">
      <c r="D3190" s="6"/>
      <c r="H3190" s="6">
        <v>41795.401122685187</v>
      </c>
    </row>
    <row r="3191" spans="4:8" x14ac:dyDescent="0.2">
      <c r="D3191" s="6"/>
      <c r="H3191" s="6">
        <v>41795.401122685187</v>
      </c>
    </row>
    <row r="3192" spans="4:8" x14ac:dyDescent="0.2">
      <c r="D3192" s="6"/>
      <c r="H3192" s="6">
        <v>41795.401122685187</v>
      </c>
    </row>
    <row r="3193" spans="4:8" x14ac:dyDescent="0.2">
      <c r="D3193" s="6"/>
      <c r="H3193" s="6">
        <v>41795.401122685187</v>
      </c>
    </row>
    <row r="3194" spans="4:8" x14ac:dyDescent="0.2">
      <c r="D3194" s="6"/>
      <c r="H3194" s="6">
        <v>41795.401122685187</v>
      </c>
    </row>
    <row r="3195" spans="4:8" x14ac:dyDescent="0.2">
      <c r="D3195" s="6"/>
      <c r="H3195" s="6">
        <v>41795.401122685187</v>
      </c>
    </row>
    <row r="3196" spans="4:8" x14ac:dyDescent="0.2">
      <c r="D3196" s="6"/>
      <c r="H3196" s="6">
        <v>41795.401122685187</v>
      </c>
    </row>
    <row r="3197" spans="4:8" x14ac:dyDescent="0.2">
      <c r="D3197" s="6"/>
      <c r="H3197" s="6">
        <v>41795.401134259257</v>
      </c>
    </row>
    <row r="3198" spans="4:8" x14ac:dyDescent="0.2">
      <c r="D3198" s="6"/>
      <c r="H3198" s="6">
        <v>41795.401134259257</v>
      </c>
    </row>
    <row r="3199" spans="4:8" x14ac:dyDescent="0.2">
      <c r="D3199" s="6"/>
      <c r="H3199" s="6">
        <v>41795.401134259257</v>
      </c>
    </row>
    <row r="3200" spans="4:8" x14ac:dyDescent="0.2">
      <c r="D3200" s="6"/>
      <c r="H3200" s="6">
        <v>41795.401134259257</v>
      </c>
    </row>
    <row r="3201" spans="4:8" x14ac:dyDescent="0.2">
      <c r="D3201" s="6"/>
      <c r="H3201" s="6">
        <v>41795.401134259257</v>
      </c>
    </row>
    <row r="3202" spans="4:8" x14ac:dyDescent="0.2">
      <c r="D3202" s="6"/>
      <c r="H3202" s="6">
        <v>41795.401134259257</v>
      </c>
    </row>
    <row r="3203" spans="4:8" x14ac:dyDescent="0.2">
      <c r="D3203" s="6"/>
      <c r="H3203" s="6">
        <v>41795.401134259257</v>
      </c>
    </row>
    <row r="3204" spans="4:8" x14ac:dyDescent="0.2">
      <c r="D3204" s="6"/>
      <c r="H3204" s="6">
        <v>41795.401145833333</v>
      </c>
    </row>
    <row r="3205" spans="4:8" x14ac:dyDescent="0.2">
      <c r="D3205" s="6"/>
      <c r="H3205" s="6">
        <v>41795.401145833333</v>
      </c>
    </row>
    <row r="3206" spans="4:8" x14ac:dyDescent="0.2">
      <c r="D3206" s="6"/>
      <c r="H3206" s="6">
        <v>41795.40116898148</v>
      </c>
    </row>
    <row r="3207" spans="4:8" x14ac:dyDescent="0.2">
      <c r="D3207" s="6"/>
      <c r="H3207" s="6">
        <v>41795.40116898148</v>
      </c>
    </row>
    <row r="3208" spans="4:8" x14ac:dyDescent="0.2">
      <c r="D3208" s="6"/>
      <c r="H3208" s="6">
        <v>41795.40116898148</v>
      </c>
    </row>
    <row r="3209" spans="4:8" x14ac:dyDescent="0.2">
      <c r="D3209" s="6"/>
      <c r="H3209" s="6">
        <v>41795.40116898148</v>
      </c>
    </row>
    <row r="3210" spans="4:8" x14ac:dyDescent="0.2">
      <c r="D3210" s="6"/>
      <c r="H3210" s="6">
        <v>41795.40116898148</v>
      </c>
    </row>
    <row r="3211" spans="4:8" x14ac:dyDescent="0.2">
      <c r="D3211" s="6"/>
      <c r="H3211" s="6">
        <v>41795.40116898148</v>
      </c>
    </row>
    <row r="3212" spans="4:8" x14ac:dyDescent="0.2">
      <c r="D3212" s="6"/>
      <c r="H3212" s="6">
        <v>41795.40116898148</v>
      </c>
    </row>
    <row r="3213" spans="4:8" x14ac:dyDescent="0.2">
      <c r="D3213" s="6"/>
      <c r="H3213" s="6">
        <v>41795.40116898148</v>
      </c>
    </row>
    <row r="3214" spans="4:8" x14ac:dyDescent="0.2">
      <c r="D3214" s="6"/>
      <c r="H3214" s="6">
        <v>41795.40116898148</v>
      </c>
    </row>
    <row r="3215" spans="4:8" x14ac:dyDescent="0.2">
      <c r="D3215" s="6"/>
      <c r="H3215" s="6">
        <v>41795.40116898148</v>
      </c>
    </row>
    <row r="3216" spans="4:8" x14ac:dyDescent="0.2">
      <c r="D3216" s="6"/>
      <c r="H3216" s="6">
        <v>41795.40116898148</v>
      </c>
    </row>
    <row r="3217" spans="4:8" x14ac:dyDescent="0.2">
      <c r="D3217" s="6"/>
      <c r="H3217" s="6">
        <v>41795.40116898148</v>
      </c>
    </row>
    <row r="3218" spans="4:8" x14ac:dyDescent="0.2">
      <c r="D3218" s="6"/>
      <c r="H3218" s="6">
        <v>41795.40116898148</v>
      </c>
    </row>
    <row r="3219" spans="4:8" x14ac:dyDescent="0.2">
      <c r="D3219" s="6"/>
      <c r="H3219" s="6">
        <v>41795.40116898148</v>
      </c>
    </row>
    <row r="3220" spans="4:8" x14ac:dyDescent="0.2">
      <c r="D3220" s="6"/>
      <c r="H3220" s="6">
        <v>41795.40116898148</v>
      </c>
    </row>
    <row r="3221" spans="4:8" x14ac:dyDescent="0.2">
      <c r="D3221" s="6"/>
      <c r="H3221" s="6">
        <v>41795.401180555556</v>
      </c>
    </row>
    <row r="3222" spans="4:8" x14ac:dyDescent="0.2">
      <c r="D3222" s="6"/>
      <c r="H3222" s="6">
        <v>41795.401180555556</v>
      </c>
    </row>
    <row r="3223" spans="4:8" x14ac:dyDescent="0.2">
      <c r="D3223" s="6"/>
      <c r="H3223" s="6">
        <v>41795.401180555556</v>
      </c>
    </row>
    <row r="3224" spans="4:8" x14ac:dyDescent="0.2">
      <c r="D3224" s="6"/>
      <c r="H3224" s="6">
        <v>41795.401180555556</v>
      </c>
    </row>
    <row r="3225" spans="4:8" x14ac:dyDescent="0.2">
      <c r="D3225" s="6"/>
      <c r="H3225" s="6">
        <v>41795.401180555556</v>
      </c>
    </row>
    <row r="3226" spans="4:8" x14ac:dyDescent="0.2">
      <c r="D3226" s="6"/>
      <c r="H3226" s="6">
        <v>41795.401180555556</v>
      </c>
    </row>
    <row r="3227" spans="4:8" x14ac:dyDescent="0.2">
      <c r="D3227" s="6"/>
      <c r="H3227" s="6">
        <v>41795.401180555556</v>
      </c>
    </row>
    <row r="3228" spans="4:8" x14ac:dyDescent="0.2">
      <c r="D3228" s="6"/>
      <c r="H3228" s="6">
        <v>41795.401180555556</v>
      </c>
    </row>
    <row r="3229" spans="4:8" x14ac:dyDescent="0.2">
      <c r="D3229" s="6"/>
      <c r="H3229" s="6">
        <v>41795.401180555556</v>
      </c>
    </row>
    <row r="3230" spans="4:8" x14ac:dyDescent="0.2">
      <c r="D3230" s="6"/>
      <c r="H3230" s="6">
        <v>41795.401180555556</v>
      </c>
    </row>
    <row r="3231" spans="4:8" x14ac:dyDescent="0.2">
      <c r="D3231" s="6"/>
      <c r="H3231" s="6">
        <v>41795.401180555556</v>
      </c>
    </row>
    <row r="3232" spans="4:8" x14ac:dyDescent="0.2">
      <c r="D3232" s="6"/>
      <c r="H3232" s="6">
        <v>41795.401180555556</v>
      </c>
    </row>
    <row r="3233" spans="4:8" x14ac:dyDescent="0.2">
      <c r="D3233" s="6"/>
      <c r="H3233" s="6">
        <v>41795.401180555556</v>
      </c>
    </row>
    <row r="3234" spans="4:8" x14ac:dyDescent="0.2">
      <c r="D3234" s="6"/>
      <c r="H3234" s="6">
        <v>41795.401180555556</v>
      </c>
    </row>
    <row r="3235" spans="4:8" x14ac:dyDescent="0.2">
      <c r="D3235" s="6"/>
      <c r="H3235" s="6">
        <v>41795.401203703703</v>
      </c>
    </row>
    <row r="3236" spans="4:8" x14ac:dyDescent="0.2">
      <c r="D3236" s="6"/>
      <c r="H3236" s="6">
        <v>41795.401203703703</v>
      </c>
    </row>
    <row r="3237" spans="4:8" x14ac:dyDescent="0.2">
      <c r="D3237" s="6"/>
      <c r="H3237" s="6">
        <v>41795.401203703703</v>
      </c>
    </row>
    <row r="3238" spans="4:8" x14ac:dyDescent="0.2">
      <c r="D3238" s="6"/>
      <c r="H3238" s="6">
        <v>41795.401203703703</v>
      </c>
    </row>
    <row r="3239" spans="4:8" x14ac:dyDescent="0.2">
      <c r="D3239" s="6"/>
      <c r="H3239" s="6">
        <v>41795.401203703703</v>
      </c>
    </row>
    <row r="3240" spans="4:8" x14ac:dyDescent="0.2">
      <c r="D3240" s="6"/>
      <c r="H3240" s="6">
        <v>41795.401203703703</v>
      </c>
    </row>
    <row r="3241" spans="4:8" x14ac:dyDescent="0.2">
      <c r="D3241" s="6"/>
      <c r="H3241" s="6">
        <v>41795.40121527778</v>
      </c>
    </row>
    <row r="3242" spans="4:8" x14ac:dyDescent="0.2">
      <c r="D3242" s="6"/>
      <c r="H3242" s="6">
        <v>41795.40121527778</v>
      </c>
    </row>
    <row r="3243" spans="4:8" x14ac:dyDescent="0.2">
      <c r="D3243" s="6"/>
      <c r="H3243" s="6">
        <v>41795.40121527778</v>
      </c>
    </row>
    <row r="3244" spans="4:8" x14ac:dyDescent="0.2">
      <c r="D3244" s="6"/>
      <c r="H3244" s="6">
        <v>41795.401296296295</v>
      </c>
    </row>
    <row r="3245" spans="4:8" x14ac:dyDescent="0.2">
      <c r="D3245" s="6"/>
      <c r="H3245" s="6">
        <v>41795.401296296295</v>
      </c>
    </row>
    <row r="3246" spans="4:8" x14ac:dyDescent="0.2">
      <c r="D3246" s="6"/>
      <c r="H3246" s="6">
        <v>41795.401296296295</v>
      </c>
    </row>
    <row r="3247" spans="4:8" x14ac:dyDescent="0.2">
      <c r="D3247" s="6"/>
      <c r="H3247" s="6">
        <v>41795.401296296295</v>
      </c>
    </row>
    <row r="3248" spans="4:8" x14ac:dyDescent="0.2">
      <c r="D3248" s="6"/>
      <c r="H3248" s="6">
        <v>41795.401296296295</v>
      </c>
    </row>
    <row r="3249" spans="4:8" x14ac:dyDescent="0.2">
      <c r="D3249" s="6"/>
      <c r="H3249" s="6">
        <v>41795.401296296295</v>
      </c>
    </row>
    <row r="3250" spans="4:8" x14ac:dyDescent="0.2">
      <c r="D3250" s="6"/>
      <c r="H3250" s="6">
        <v>41795.401307870372</v>
      </c>
    </row>
    <row r="3251" spans="4:8" x14ac:dyDescent="0.2">
      <c r="D3251" s="6"/>
      <c r="H3251" s="6">
        <v>41795.401307870372</v>
      </c>
    </row>
    <row r="3252" spans="4:8" x14ac:dyDescent="0.2">
      <c r="D3252" s="6"/>
      <c r="H3252" s="6">
        <v>41795.401307870372</v>
      </c>
    </row>
    <row r="3253" spans="4:8" x14ac:dyDescent="0.2">
      <c r="D3253" s="6"/>
      <c r="H3253" s="6">
        <v>41795.401307870372</v>
      </c>
    </row>
    <row r="3254" spans="4:8" x14ac:dyDescent="0.2">
      <c r="D3254" s="6"/>
      <c r="H3254" s="6">
        <v>41795.401307870372</v>
      </c>
    </row>
    <row r="3255" spans="4:8" x14ac:dyDescent="0.2">
      <c r="D3255" s="6"/>
      <c r="H3255" s="6">
        <v>41795.401307870372</v>
      </c>
    </row>
    <row r="3256" spans="4:8" x14ac:dyDescent="0.2">
      <c r="D3256" s="6"/>
      <c r="H3256" s="6">
        <v>41795.401307870372</v>
      </c>
    </row>
    <row r="3257" spans="4:8" x14ac:dyDescent="0.2">
      <c r="D3257" s="6"/>
      <c r="H3257" s="6">
        <v>41795.401307870372</v>
      </c>
    </row>
    <row r="3258" spans="4:8" x14ac:dyDescent="0.2">
      <c r="D3258" s="6"/>
      <c r="H3258" s="6">
        <v>41795.401307870372</v>
      </c>
    </row>
    <row r="3259" spans="4:8" x14ac:dyDescent="0.2">
      <c r="D3259" s="6"/>
      <c r="H3259" s="6">
        <v>41795.401307870372</v>
      </c>
    </row>
    <row r="3260" spans="4:8" x14ac:dyDescent="0.2">
      <c r="D3260" s="6"/>
      <c r="H3260" s="6">
        <v>41795.401307870372</v>
      </c>
    </row>
    <row r="3261" spans="4:8" x14ac:dyDescent="0.2">
      <c r="D3261" s="6"/>
      <c r="H3261" s="6">
        <v>41795.401307870372</v>
      </c>
    </row>
    <row r="3262" spans="4:8" x14ac:dyDescent="0.2">
      <c r="D3262" s="6"/>
      <c r="H3262" s="6">
        <v>41795.401307870372</v>
      </c>
    </row>
    <row r="3263" spans="4:8" x14ac:dyDescent="0.2">
      <c r="D3263" s="6"/>
      <c r="H3263" s="6">
        <v>41795.401307870372</v>
      </c>
    </row>
    <row r="3264" spans="4:8" x14ac:dyDescent="0.2">
      <c r="D3264" s="6"/>
      <c r="H3264" s="6">
        <v>41795.401319444441</v>
      </c>
    </row>
    <row r="3265" spans="4:8" x14ac:dyDescent="0.2">
      <c r="D3265" s="6"/>
      <c r="H3265" s="6">
        <v>41795.401319444441</v>
      </c>
    </row>
    <row r="3266" spans="4:8" x14ac:dyDescent="0.2">
      <c r="D3266" s="6"/>
      <c r="H3266" s="6">
        <v>41795.401319444441</v>
      </c>
    </row>
    <row r="3267" spans="4:8" x14ac:dyDescent="0.2">
      <c r="D3267" s="6"/>
      <c r="H3267" s="6">
        <v>41795.401319444441</v>
      </c>
    </row>
    <row r="3268" spans="4:8" x14ac:dyDescent="0.2">
      <c r="D3268" s="6"/>
      <c r="H3268" s="6">
        <v>41795.401319444441</v>
      </c>
    </row>
    <row r="3269" spans="4:8" x14ac:dyDescent="0.2">
      <c r="D3269" s="6"/>
      <c r="H3269" s="6">
        <v>41795.401331018518</v>
      </c>
    </row>
    <row r="3270" spans="4:8" x14ac:dyDescent="0.2">
      <c r="D3270" s="6"/>
      <c r="H3270" s="6">
        <v>41795.401342592595</v>
      </c>
    </row>
    <row r="3271" spans="4:8" x14ac:dyDescent="0.2">
      <c r="D3271" s="6"/>
      <c r="H3271" s="6">
        <v>41795.401342592595</v>
      </c>
    </row>
    <row r="3272" spans="4:8" x14ac:dyDescent="0.2">
      <c r="D3272" s="6"/>
      <c r="H3272" s="6">
        <v>41795.401342592595</v>
      </c>
    </row>
    <row r="3273" spans="4:8" x14ac:dyDescent="0.2">
      <c r="D3273" s="6"/>
      <c r="H3273" s="6">
        <v>41795.401354166665</v>
      </c>
    </row>
    <row r="3274" spans="4:8" x14ac:dyDescent="0.2">
      <c r="D3274" s="6"/>
      <c r="H3274" s="6">
        <v>41795.401354166665</v>
      </c>
    </row>
    <row r="3275" spans="4:8" x14ac:dyDescent="0.2">
      <c r="D3275" s="6"/>
      <c r="H3275" s="6">
        <v>41795.401354166665</v>
      </c>
    </row>
    <row r="3276" spans="4:8" x14ac:dyDescent="0.2">
      <c r="D3276" s="6"/>
      <c r="H3276" s="6">
        <v>41795.401354166665</v>
      </c>
    </row>
    <row r="3277" spans="4:8" x14ac:dyDescent="0.2">
      <c r="D3277" s="6"/>
      <c r="H3277" s="6">
        <v>41795.401365740741</v>
      </c>
    </row>
    <row r="3278" spans="4:8" x14ac:dyDescent="0.2">
      <c r="D3278" s="6"/>
      <c r="H3278" s="6">
        <v>41795.401365740741</v>
      </c>
    </row>
    <row r="3279" spans="4:8" x14ac:dyDescent="0.2">
      <c r="D3279" s="6"/>
      <c r="H3279" s="6">
        <v>41795.401365740741</v>
      </c>
    </row>
    <row r="3280" spans="4:8" x14ac:dyDescent="0.2">
      <c r="D3280" s="6"/>
      <c r="H3280" s="6">
        <v>42444.382951388892</v>
      </c>
    </row>
    <row r="3281" spans="1:8" x14ac:dyDescent="0.2">
      <c r="D3281" s="6"/>
      <c r="H3281" s="6">
        <v>42444.384502314817</v>
      </c>
    </row>
    <row r="3282" spans="1:8" x14ac:dyDescent="0.2">
      <c r="D3282" s="6"/>
      <c r="H3282" s="6">
        <v>42191.622233796297</v>
      </c>
    </row>
    <row r="3283" spans="1:8" x14ac:dyDescent="0.2">
      <c r="D3283" s="6"/>
      <c r="H3283" s="6">
        <v>42320.654988425929</v>
      </c>
    </row>
    <row r="3284" spans="1:8" x14ac:dyDescent="0.2">
      <c r="A3284" s="20"/>
      <c r="D3284" s="6"/>
      <c r="H3284" s="6">
        <v>41788.446157407408</v>
      </c>
    </row>
    <row r="3285" spans="1:8" x14ac:dyDescent="0.2">
      <c r="A3285" s="20"/>
      <c r="D3285" s="6"/>
      <c r="H3285" s="6">
        <v>41788.447152777779</v>
      </c>
    </row>
    <row r="3286" spans="1:8" x14ac:dyDescent="0.2">
      <c r="A3286" s="20"/>
      <c r="D3286" s="6"/>
      <c r="H3286" s="6">
        <v>41788.447662037041</v>
      </c>
    </row>
    <row r="3287" spans="1:8" x14ac:dyDescent="0.2">
      <c r="A3287" s="20"/>
      <c r="D3287" s="6"/>
      <c r="H3287" s="6">
        <v>41788.448252314818</v>
      </c>
    </row>
    <row r="3288" spans="1:8" x14ac:dyDescent="0.2">
      <c r="A3288" s="20"/>
      <c r="D3288" s="6"/>
      <c r="H3288" s="6">
        <v>41789.680856481478</v>
      </c>
    </row>
    <row r="3289" spans="1:8" x14ac:dyDescent="0.2">
      <c r="A3289" s="20"/>
      <c r="D3289" s="6"/>
      <c r="H3289" s="6">
        <v>41788.449988425928</v>
      </c>
    </row>
    <row r="3290" spans="1:8" x14ac:dyDescent="0.2">
      <c r="A3290" s="20"/>
      <c r="D3290" s="6"/>
      <c r="H3290" s="6">
        <v>41788.44908564815</v>
      </c>
    </row>
    <row r="3291" spans="1:8" x14ac:dyDescent="0.2">
      <c r="A3291" s="20"/>
      <c r="D3291" s="6"/>
      <c r="H3291" s="6">
        <v>41788.454594907409</v>
      </c>
    </row>
    <row r="3292" spans="1:8" x14ac:dyDescent="0.2">
      <c r="A3292" s="20"/>
      <c r="D3292" s="6"/>
      <c r="H3292" s="6">
        <v>41793.44939814815</v>
      </c>
    </row>
    <row r="3293" spans="1:8" x14ac:dyDescent="0.2">
      <c r="A3293" s="20"/>
      <c r="D3293" s="6"/>
      <c r="H3293" s="6">
        <v>41793.460590277777</v>
      </c>
    </row>
    <row r="3294" spans="1:8" x14ac:dyDescent="0.2">
      <c r="A3294" s="20"/>
      <c r="D3294" s="6"/>
      <c r="H3294" s="6">
        <v>41786.648032407407</v>
      </c>
    </row>
    <row r="3295" spans="1:8" x14ac:dyDescent="0.2">
      <c r="A3295" s="20"/>
      <c r="D3295" s="6"/>
      <c r="H3295" s="6">
        <v>41793.447152777779</v>
      </c>
    </row>
    <row r="3296" spans="1:8" x14ac:dyDescent="0.2">
      <c r="A3296" s="20"/>
      <c r="D3296" s="6"/>
      <c r="H3296" s="6">
        <v>41788.631782407407</v>
      </c>
    </row>
    <row r="3297" spans="1:8" x14ac:dyDescent="0.2">
      <c r="A3297" s="20"/>
      <c r="D3297" s="6"/>
      <c r="H3297" s="6">
        <v>41788.677615740744</v>
      </c>
    </row>
    <row r="3298" spans="1:8" x14ac:dyDescent="0.2">
      <c r="D3298" s="6"/>
      <c r="H3298" s="6">
        <v>42125.565601851849</v>
      </c>
    </row>
    <row r="3299" spans="1:8" x14ac:dyDescent="0.2">
      <c r="D3299" s="6"/>
      <c r="H3299" s="6">
        <v>41718.701678240737</v>
      </c>
    </row>
    <row r="3300" spans="1:8" x14ac:dyDescent="0.2">
      <c r="D3300" s="6"/>
      <c r="H3300" s="6">
        <v>41718.700798611113</v>
      </c>
    </row>
    <row r="3301" spans="1:8" x14ac:dyDescent="0.2">
      <c r="D3301" s="6"/>
      <c r="H3301" s="6">
        <v>41718.701412037037</v>
      </c>
    </row>
    <row r="3302" spans="1:8" x14ac:dyDescent="0.2">
      <c r="D3302" s="6"/>
      <c r="H3302" s="6">
        <v>41718.701736111114</v>
      </c>
    </row>
    <row r="3303" spans="1:8" x14ac:dyDescent="0.2">
      <c r="D3303" s="6"/>
      <c r="H3303" s="6">
        <v>41718.700891203705</v>
      </c>
    </row>
    <row r="3304" spans="1:8" x14ac:dyDescent="0.2">
      <c r="D3304" s="6"/>
      <c r="H3304" s="6">
        <v>41718.701574074075</v>
      </c>
    </row>
    <row r="3305" spans="1:8" x14ac:dyDescent="0.2">
      <c r="D3305" s="6"/>
      <c r="H3305" s="6">
        <v>41718.701527777775</v>
      </c>
    </row>
    <row r="3306" spans="1:8" x14ac:dyDescent="0.2">
      <c r="D3306" s="6"/>
      <c r="H3306" s="6">
        <v>41718.701782407406</v>
      </c>
    </row>
    <row r="3307" spans="1:8" x14ac:dyDescent="0.2">
      <c r="D3307" s="6"/>
      <c r="H3307" s="6">
        <v>41722.476631944446</v>
      </c>
    </row>
    <row r="3308" spans="1:8" x14ac:dyDescent="0.2">
      <c r="D3308" s="6"/>
      <c r="H3308" s="6">
        <v>41710.630324074074</v>
      </c>
    </row>
    <row r="3309" spans="1:8" x14ac:dyDescent="0.2">
      <c r="D3309" s="6"/>
      <c r="H3309" s="6">
        <v>41929.687615740739</v>
      </c>
    </row>
    <row r="3310" spans="1:8" x14ac:dyDescent="0.2">
      <c r="D3310" s="6"/>
      <c r="H3310" s="6">
        <v>41711.606550925928</v>
      </c>
    </row>
    <row r="3311" spans="1:8" x14ac:dyDescent="0.2">
      <c r="D3311" s="6"/>
      <c r="H3311" s="6">
        <v>41718.700983796298</v>
      </c>
    </row>
    <row r="3312" spans="1:8" x14ac:dyDescent="0.2">
      <c r="D3312" s="6"/>
      <c r="H3312" s="6">
        <v>41718.701192129629</v>
      </c>
    </row>
    <row r="3313" spans="4:8" x14ac:dyDescent="0.2">
      <c r="D3313" s="6"/>
      <c r="H3313" s="6">
        <v>41718.701481481483</v>
      </c>
    </row>
    <row r="3314" spans="4:8" x14ac:dyDescent="0.2">
      <c r="D3314" s="6"/>
      <c r="H3314" s="6">
        <v>41718.701238425929</v>
      </c>
    </row>
    <row r="3315" spans="4:8" x14ac:dyDescent="0.2">
      <c r="D3315" s="6"/>
      <c r="H3315" s="6">
        <v>41718.701307870368</v>
      </c>
    </row>
    <row r="3316" spans="4:8" x14ac:dyDescent="0.2">
      <c r="D3316" s="6"/>
      <c r="H3316" s="6">
        <v>41718.701631944445</v>
      </c>
    </row>
    <row r="3317" spans="4:8" x14ac:dyDescent="0.2">
      <c r="D3317" s="6"/>
      <c r="H3317" s="6">
        <v>42055.399953703702</v>
      </c>
    </row>
    <row r="3318" spans="4:8" x14ac:dyDescent="0.2">
      <c r="D3318" s="6"/>
      <c r="H3318" s="6">
        <v>41817.360937500001</v>
      </c>
    </row>
    <row r="3319" spans="4:8" x14ac:dyDescent="0.2">
      <c r="D3319" s="6"/>
      <c r="H3319" s="6">
        <v>41841.488032407404</v>
      </c>
    </row>
    <row r="3320" spans="4:8" x14ac:dyDescent="0.2">
      <c r="D3320" s="6"/>
      <c r="H3320" s="6">
        <v>41703.736967592595</v>
      </c>
    </row>
    <row r="3321" spans="4:8" x14ac:dyDescent="0.2">
      <c r="D3321" s="6"/>
      <c r="H3321" s="6">
        <v>41806.623032407406</v>
      </c>
    </row>
    <row r="3322" spans="4:8" x14ac:dyDescent="0.2">
      <c r="D3322" s="6"/>
      <c r="H3322" s="6">
        <v>41964.795891203707</v>
      </c>
    </row>
    <row r="3323" spans="4:8" x14ac:dyDescent="0.2">
      <c r="D3323" s="6"/>
      <c r="H3323" s="6">
        <v>41964.762557870374</v>
      </c>
    </row>
    <row r="3324" spans="4:8" x14ac:dyDescent="0.2">
      <c r="D3324" s="6"/>
      <c r="H3324" s="6">
        <v>41789.613518518519</v>
      </c>
    </row>
    <row r="3325" spans="4:8" x14ac:dyDescent="0.2">
      <c r="D3325" s="6"/>
      <c r="H3325" s="6">
        <v>42017.828587962962</v>
      </c>
    </row>
    <row r="3326" spans="4:8" x14ac:dyDescent="0.2">
      <c r="D3326" s="6"/>
      <c r="H3326" s="6">
        <v>42054.518460648149</v>
      </c>
    </row>
    <row r="3327" spans="4:8" x14ac:dyDescent="0.2">
      <c r="D3327" s="6"/>
      <c r="H3327" s="6">
        <v>41626.459444444445</v>
      </c>
    </row>
    <row r="3328" spans="4:8" x14ac:dyDescent="0.2">
      <c r="D3328" s="6"/>
      <c r="H3328" s="6">
        <v>42226.655115740738</v>
      </c>
    </row>
    <row r="3329" spans="4:8" x14ac:dyDescent="0.2">
      <c r="D3329" s="6"/>
      <c r="H3329" s="6">
        <v>41729.608425925922</v>
      </c>
    </row>
    <row r="3330" spans="4:8" x14ac:dyDescent="0.2">
      <c r="D3330" s="6"/>
      <c r="H3330" s="6">
        <v>41793.419756944444</v>
      </c>
    </row>
    <row r="3331" spans="4:8" x14ac:dyDescent="0.2">
      <c r="D3331" s="6"/>
      <c r="H3331" s="6">
        <v>42069.73940972222</v>
      </c>
    </row>
    <row r="3332" spans="4:8" x14ac:dyDescent="0.2">
      <c r="D3332" s="6"/>
      <c r="H3332" s="6">
        <v>42053.50613425926</v>
      </c>
    </row>
    <row r="3333" spans="4:8" x14ac:dyDescent="0.2">
      <c r="D3333" s="6"/>
      <c r="H3333" s="6">
        <v>42415.552858796298</v>
      </c>
    </row>
    <row r="3334" spans="4:8" x14ac:dyDescent="0.2">
      <c r="D3334" s="6"/>
      <c r="H3334" s="6">
        <v>42052.765613425923</v>
      </c>
    </row>
    <row r="3335" spans="4:8" x14ac:dyDescent="0.2">
      <c r="D3335" s="6"/>
      <c r="H3335" s="6">
        <v>42017.827881944446</v>
      </c>
    </row>
    <row r="3336" spans="4:8" x14ac:dyDescent="0.2">
      <c r="D3336" s="6"/>
      <c r="H3336" s="6">
        <v>42230.391064814816</v>
      </c>
    </row>
    <row r="3337" spans="4:8" x14ac:dyDescent="0.2">
      <c r="D3337" s="6"/>
      <c r="H3337" s="6">
        <v>42230.45175925926</v>
      </c>
    </row>
    <row r="3338" spans="4:8" x14ac:dyDescent="0.2">
      <c r="D3338" s="6"/>
      <c r="H3338" s="6">
        <v>42215.46</v>
      </c>
    </row>
    <row r="3339" spans="4:8" x14ac:dyDescent="0.2">
      <c r="D3339" s="6"/>
      <c r="H3339" s="6">
        <v>41711.704155092593</v>
      </c>
    </row>
    <row r="3340" spans="4:8" x14ac:dyDescent="0.2">
      <c r="D3340" s="6"/>
      <c r="H3340" s="6">
        <v>42019.618634259263</v>
      </c>
    </row>
    <row r="3341" spans="4:8" x14ac:dyDescent="0.2">
      <c r="D3341" s="6"/>
      <c r="H3341" s="6">
        <v>42019.587060185186</v>
      </c>
    </row>
    <row r="3342" spans="4:8" x14ac:dyDescent="0.2">
      <c r="D3342" s="6"/>
      <c r="H3342" s="6">
        <v>42019.588796296295</v>
      </c>
    </row>
    <row r="3343" spans="4:8" x14ac:dyDescent="0.2">
      <c r="D3343" s="6"/>
      <c r="H3343" s="6">
        <v>42019.590138888889</v>
      </c>
    </row>
    <row r="3344" spans="4:8" x14ac:dyDescent="0.2">
      <c r="D3344" s="6"/>
      <c r="H3344" s="6">
        <v>42019.529814814814</v>
      </c>
    </row>
    <row r="3345" spans="4:8" x14ac:dyDescent="0.2">
      <c r="D3345" s="6"/>
      <c r="H3345" s="6">
        <v>42019.552222222221</v>
      </c>
    </row>
    <row r="3346" spans="4:8" x14ac:dyDescent="0.2">
      <c r="D3346" s="6"/>
      <c r="H3346" s="6">
        <v>42019.572638888887</v>
      </c>
    </row>
    <row r="3347" spans="4:8" x14ac:dyDescent="0.2">
      <c r="D3347" s="6"/>
      <c r="H3347" s="6">
        <v>42019.574537037035</v>
      </c>
    </row>
    <row r="3348" spans="4:8" x14ac:dyDescent="0.2">
      <c r="D3348" s="6"/>
      <c r="H3348" s="6">
        <v>42019.578263888892</v>
      </c>
    </row>
    <row r="3349" spans="4:8" x14ac:dyDescent="0.2">
      <c r="D3349" s="6"/>
      <c r="H3349" s="6">
        <v>42019.580694444441</v>
      </c>
    </row>
    <row r="3350" spans="4:8" x14ac:dyDescent="0.2">
      <c r="D3350" s="6"/>
      <c r="H3350" s="6">
        <v>42019.591435185182</v>
      </c>
    </row>
    <row r="3351" spans="4:8" x14ac:dyDescent="0.2">
      <c r="D3351" s="6"/>
      <c r="H3351" s="6">
        <v>42019.581435185188</v>
      </c>
    </row>
    <row r="3352" spans="4:8" x14ac:dyDescent="0.2">
      <c r="D3352" s="6"/>
      <c r="H3352" s="6">
        <v>42019.582384259258</v>
      </c>
    </row>
    <row r="3353" spans="4:8" x14ac:dyDescent="0.2">
      <c r="D3353" s="6"/>
      <c r="H3353" s="6">
        <v>41927.753877314812</v>
      </c>
    </row>
    <row r="3354" spans="4:8" x14ac:dyDescent="0.2">
      <c r="D3354" s="6"/>
      <c r="H3354" s="6">
        <v>41712.541435185187</v>
      </c>
    </row>
    <row r="3355" spans="4:8" x14ac:dyDescent="0.2">
      <c r="D3355" s="6"/>
      <c r="H3355" s="6">
        <v>41726.739849537036</v>
      </c>
    </row>
    <row r="3356" spans="4:8" x14ac:dyDescent="0.2">
      <c r="D3356" s="6"/>
      <c r="H3356" s="6">
        <v>41726.774548611109</v>
      </c>
    </row>
    <row r="3357" spans="4:8" x14ac:dyDescent="0.2">
      <c r="D3357" s="6"/>
      <c r="H3357" s="6">
        <v>41988.768101851849</v>
      </c>
    </row>
    <row r="3358" spans="4:8" x14ac:dyDescent="0.2">
      <c r="D3358" s="6"/>
      <c r="H3358" s="6">
        <v>41789.613518518519</v>
      </c>
    </row>
    <row r="3359" spans="4:8" x14ac:dyDescent="0.2">
      <c r="D3359" s="6"/>
      <c r="H3359" s="6">
        <v>41992.570694444446</v>
      </c>
    </row>
    <row r="3360" spans="4:8" x14ac:dyDescent="0.2">
      <c r="D3360" s="6"/>
      <c r="H3360" s="6">
        <v>41865.707268518519</v>
      </c>
    </row>
    <row r="3361" spans="4:8" x14ac:dyDescent="0.2">
      <c r="D3361" s="6"/>
      <c r="H3361" s="6">
        <v>41571.500254629631</v>
      </c>
    </row>
    <row r="3362" spans="4:8" x14ac:dyDescent="0.2">
      <c r="D3362" s="6"/>
      <c r="H3362" s="6">
        <v>42114.483564814815</v>
      </c>
    </row>
    <row r="3363" spans="4:8" x14ac:dyDescent="0.2">
      <c r="D3363" s="6"/>
      <c r="H3363" s="6">
        <v>41705.742638888885</v>
      </c>
    </row>
    <row r="3364" spans="4:8" x14ac:dyDescent="0.2">
      <c r="D3364" s="6"/>
      <c r="H3364" s="6">
        <v>41765.470092592594</v>
      </c>
    </row>
    <row r="3365" spans="4:8" x14ac:dyDescent="0.2">
      <c r="D3365" s="6"/>
      <c r="H3365" s="6">
        <v>41771.422418981485</v>
      </c>
    </row>
    <row r="3366" spans="4:8" x14ac:dyDescent="0.2">
      <c r="D3366" s="6"/>
      <c r="H3366" s="6">
        <v>41859.335625</v>
      </c>
    </row>
    <row r="3367" spans="4:8" x14ac:dyDescent="0.2">
      <c r="D3367" s="6"/>
      <c r="H3367" s="6">
        <v>42283.469548611109</v>
      </c>
    </row>
    <row r="3368" spans="4:8" x14ac:dyDescent="0.2">
      <c r="D3368" s="6"/>
      <c r="H3368" s="6">
        <v>42388.719907407409</v>
      </c>
    </row>
    <row r="3369" spans="4:8" x14ac:dyDescent="0.2">
      <c r="D3369" s="6"/>
      <c r="H3369" s="6">
        <v>42396.713402777779</v>
      </c>
    </row>
    <row r="3370" spans="4:8" x14ac:dyDescent="0.2">
      <c r="D3370" s="6"/>
      <c r="H3370" s="6">
        <v>41949.765219907407</v>
      </c>
    </row>
    <row r="3371" spans="4:8" x14ac:dyDescent="0.2">
      <c r="D3371" s="6"/>
      <c r="H3371" s="6">
        <v>40913.469537037039</v>
      </c>
    </row>
    <row r="3372" spans="4:8" x14ac:dyDescent="0.2">
      <c r="D3372" s="6"/>
      <c r="H3372" s="6">
        <v>41771.39638888889</v>
      </c>
    </row>
    <row r="3373" spans="4:8" x14ac:dyDescent="0.2">
      <c r="D3373" s="6"/>
      <c r="H3373" s="6">
        <v>41761.730752314812</v>
      </c>
    </row>
    <row r="3374" spans="4:8" x14ac:dyDescent="0.2">
      <c r="D3374" s="6"/>
      <c r="H3374" s="6">
        <v>41929.574189814812</v>
      </c>
    </row>
    <row r="3375" spans="4:8" x14ac:dyDescent="0.2">
      <c r="D3375" s="6"/>
      <c r="H3375" s="6">
        <v>41765.459085648145</v>
      </c>
    </row>
    <row r="3376" spans="4:8" x14ac:dyDescent="0.2">
      <c r="D3376" s="6"/>
      <c r="H3376" s="6">
        <v>41908.718460648146</v>
      </c>
    </row>
    <row r="3377" spans="4:8" x14ac:dyDescent="0.2">
      <c r="D3377" s="6"/>
      <c r="H3377" s="6">
        <v>42345.620983796296</v>
      </c>
    </row>
    <row r="3378" spans="4:8" x14ac:dyDescent="0.2">
      <c r="D3378" s="6"/>
      <c r="H3378" s="6">
        <v>41841.525590277779</v>
      </c>
    </row>
    <row r="3379" spans="4:8" x14ac:dyDescent="0.2">
      <c r="D3379" s="6"/>
      <c r="H3379" s="6">
        <v>41626.54546296296</v>
      </c>
    </row>
    <row r="3380" spans="4:8" x14ac:dyDescent="0.2">
      <c r="D3380" s="6"/>
      <c r="H3380" s="6">
        <v>42327.436805555553</v>
      </c>
    </row>
    <row r="3381" spans="4:8" x14ac:dyDescent="0.2">
      <c r="D3381" s="6"/>
      <c r="H3381" s="6">
        <v>42174.375613425924</v>
      </c>
    </row>
    <row r="3382" spans="4:8" x14ac:dyDescent="0.2">
      <c r="D3382" s="6"/>
      <c r="H3382" s="6">
        <v>41593.552766203706</v>
      </c>
    </row>
    <row r="3383" spans="4:8" x14ac:dyDescent="0.2">
      <c r="D3383" s="6"/>
      <c r="H3383" s="6">
        <v>41761.734895833331</v>
      </c>
    </row>
    <row r="3384" spans="4:8" x14ac:dyDescent="0.2">
      <c r="D3384" s="6"/>
      <c r="H3384" s="6">
        <v>41876.487442129626</v>
      </c>
    </row>
    <row r="3385" spans="4:8" x14ac:dyDescent="0.2">
      <c r="D3385" s="6"/>
      <c r="H3385" s="6">
        <v>41911.457465277781</v>
      </c>
    </row>
    <row r="3386" spans="4:8" x14ac:dyDescent="0.2">
      <c r="D3386" s="6"/>
      <c r="H3386" s="6">
        <v>41929.434965277775</v>
      </c>
    </row>
    <row r="3387" spans="4:8" x14ac:dyDescent="0.2">
      <c r="D3387" s="6"/>
      <c r="H3387" s="6">
        <v>41995.748182870368</v>
      </c>
    </row>
    <row r="3388" spans="4:8" x14ac:dyDescent="0.2">
      <c r="D3388" s="6"/>
      <c r="H3388" s="6">
        <v>42135.581979166665</v>
      </c>
    </row>
    <row r="3389" spans="4:8" x14ac:dyDescent="0.2">
      <c r="D3389" s="6"/>
      <c r="H3389" s="6">
        <v>42318.73877314815</v>
      </c>
    </row>
    <row r="3390" spans="4:8" x14ac:dyDescent="0.2">
      <c r="D3390" s="6"/>
      <c r="H3390" s="6">
        <v>42318.729502314818</v>
      </c>
    </row>
    <row r="3391" spans="4:8" x14ac:dyDescent="0.2">
      <c r="D3391" s="6"/>
      <c r="H3391" s="6">
        <v>42318.741932870369</v>
      </c>
    </row>
    <row r="3392" spans="4:8" x14ac:dyDescent="0.2">
      <c r="D3392" s="6"/>
      <c r="H3392" s="6">
        <v>42318.738842592589</v>
      </c>
    </row>
    <row r="3393" spans="4:8" x14ac:dyDescent="0.2">
      <c r="D3393" s="6"/>
      <c r="H3393" s="6">
        <v>42394.651122685187</v>
      </c>
    </row>
    <row r="3394" spans="4:8" x14ac:dyDescent="0.2">
      <c r="D3394" s="6"/>
      <c r="H3394" s="6">
        <v>41788.638020833336</v>
      </c>
    </row>
    <row r="3395" spans="4:8" x14ac:dyDescent="0.2">
      <c r="D3395" s="6"/>
      <c r="H3395" s="6">
        <v>41810.516215277778</v>
      </c>
    </row>
    <row r="3396" spans="4:8" x14ac:dyDescent="0.2">
      <c r="D3396" s="6"/>
      <c r="H3396" s="6">
        <v>41844.482407407406</v>
      </c>
    </row>
    <row r="3397" spans="4:8" x14ac:dyDescent="0.2">
      <c r="D3397" s="6"/>
      <c r="H3397" s="6">
        <v>41949.449826388889</v>
      </c>
    </row>
    <row r="3398" spans="4:8" x14ac:dyDescent="0.2">
      <c r="D3398" s="6"/>
      <c r="H3398" s="6">
        <v>42202.585150462961</v>
      </c>
    </row>
    <row r="3399" spans="4:8" x14ac:dyDescent="0.2">
      <c r="D3399" s="6"/>
      <c r="H3399" s="6">
        <v>40913.469537037039</v>
      </c>
    </row>
    <row r="3400" spans="4:8" x14ac:dyDescent="0.2">
      <c r="D3400" s="6"/>
      <c r="H3400" s="6">
        <v>41823.698437500003</v>
      </c>
    </row>
    <row r="3401" spans="4:8" x14ac:dyDescent="0.2">
      <c r="D3401" s="6"/>
      <c r="H3401" s="6">
        <v>40913.469537037039</v>
      </c>
    </row>
    <row r="3402" spans="4:8" x14ac:dyDescent="0.2">
      <c r="D3402" s="6"/>
      <c r="H3402" s="6">
        <v>41900.711597222224</v>
      </c>
    </row>
    <row r="3403" spans="4:8" x14ac:dyDescent="0.2">
      <c r="D3403" s="6"/>
      <c r="H3403" s="6">
        <v>41900.712789351855</v>
      </c>
    </row>
    <row r="3404" spans="4:8" x14ac:dyDescent="0.2">
      <c r="D3404" s="6"/>
      <c r="H3404" s="6">
        <v>41900.713159722225</v>
      </c>
    </row>
    <row r="3405" spans="4:8" x14ac:dyDescent="0.2">
      <c r="D3405" s="6"/>
      <c r="H3405" s="6">
        <v>41900.713506944441</v>
      </c>
    </row>
    <row r="3406" spans="4:8" x14ac:dyDescent="0.2">
      <c r="D3406" s="6"/>
      <c r="H3406" s="6">
        <v>41900.713796296295</v>
      </c>
    </row>
    <row r="3407" spans="4:8" x14ac:dyDescent="0.2">
      <c r="D3407" s="6"/>
      <c r="H3407" s="6">
        <v>41900.714131944442</v>
      </c>
    </row>
    <row r="3408" spans="4:8" x14ac:dyDescent="0.2">
      <c r="D3408" s="6"/>
      <c r="H3408" s="6">
        <v>41900.711898148147</v>
      </c>
    </row>
    <row r="3409" spans="4:8" x14ac:dyDescent="0.2">
      <c r="D3409" s="6"/>
      <c r="H3409" s="6">
        <v>41900.711527777778</v>
      </c>
    </row>
    <row r="3410" spans="4:8" x14ac:dyDescent="0.2">
      <c r="D3410" s="6"/>
      <c r="H3410" s="6">
        <v>41900.711967592593</v>
      </c>
    </row>
    <row r="3411" spans="4:8" x14ac:dyDescent="0.2">
      <c r="D3411" s="6"/>
      <c r="H3411" s="6">
        <v>41808.400717592594</v>
      </c>
    </row>
    <row r="3412" spans="4:8" x14ac:dyDescent="0.2">
      <c r="D3412" s="6"/>
      <c r="H3412" s="6">
        <v>42054.640960648147</v>
      </c>
    </row>
    <row r="3413" spans="4:8" x14ac:dyDescent="0.2">
      <c r="D3413" s="6"/>
      <c r="H3413" s="6">
        <v>41820.483564814815</v>
      </c>
    </row>
    <row r="3414" spans="4:8" x14ac:dyDescent="0.2">
      <c r="D3414" s="6"/>
      <c r="H3414" s="6">
        <v>41820.483518518522</v>
      </c>
    </row>
    <row r="3415" spans="4:8" x14ac:dyDescent="0.2">
      <c r="D3415" s="6"/>
      <c r="H3415" s="6">
        <v>41796.401296296295</v>
      </c>
    </row>
    <row r="3416" spans="4:8" x14ac:dyDescent="0.2">
      <c r="D3416" s="6"/>
      <c r="H3416" s="6">
        <v>42409.677349537036</v>
      </c>
    </row>
    <row r="3417" spans="4:8" x14ac:dyDescent="0.2">
      <c r="D3417" s="6"/>
      <c r="H3417" s="6">
        <v>41872.314189814817</v>
      </c>
    </row>
    <row r="3418" spans="4:8" x14ac:dyDescent="0.2">
      <c r="D3418" s="6"/>
      <c r="H3418" s="6">
        <v>41872.31349537037</v>
      </c>
    </row>
    <row r="3419" spans="4:8" x14ac:dyDescent="0.2">
      <c r="D3419" s="6"/>
      <c r="H3419" s="6">
        <v>41869.4215625</v>
      </c>
    </row>
    <row r="3420" spans="4:8" x14ac:dyDescent="0.2">
      <c r="D3420" s="6"/>
      <c r="H3420" s="6">
        <v>42243.627696759257</v>
      </c>
    </row>
    <row r="3421" spans="4:8" x14ac:dyDescent="0.2">
      <c r="D3421" s="6"/>
      <c r="H3421" s="6">
        <v>42243.627696759257</v>
      </c>
    </row>
    <row r="3422" spans="4:8" x14ac:dyDescent="0.2">
      <c r="D3422" s="6"/>
      <c r="H3422" s="6">
        <v>42243.627696759257</v>
      </c>
    </row>
    <row r="3423" spans="4:8" x14ac:dyDescent="0.2">
      <c r="D3423" s="6"/>
      <c r="H3423" s="6">
        <v>42243.627708333333</v>
      </c>
    </row>
    <row r="3424" spans="4:8" x14ac:dyDescent="0.2">
      <c r="D3424" s="6"/>
      <c r="H3424" s="6">
        <v>42243.627708333333</v>
      </c>
    </row>
    <row r="3425" spans="4:8" x14ac:dyDescent="0.2">
      <c r="D3425" s="6"/>
      <c r="H3425" s="6">
        <v>42243.627708333333</v>
      </c>
    </row>
    <row r="3426" spans="4:8" x14ac:dyDescent="0.2">
      <c r="D3426" s="6"/>
      <c r="H3426" s="6">
        <v>42243.627708333333</v>
      </c>
    </row>
    <row r="3427" spans="4:8" x14ac:dyDescent="0.2">
      <c r="D3427" s="6"/>
      <c r="H3427" s="6">
        <v>42243.627708333333</v>
      </c>
    </row>
    <row r="3428" spans="4:8" x14ac:dyDescent="0.2">
      <c r="D3428" s="6"/>
      <c r="H3428" s="6">
        <v>42243.627708333333</v>
      </c>
    </row>
    <row r="3429" spans="4:8" x14ac:dyDescent="0.2">
      <c r="D3429" s="6"/>
      <c r="H3429" s="6">
        <v>42243.627708333333</v>
      </c>
    </row>
    <row r="3430" spans="4:8" x14ac:dyDescent="0.2">
      <c r="D3430" s="6"/>
      <c r="H3430" s="6">
        <v>42243.627708333333</v>
      </c>
    </row>
    <row r="3431" spans="4:8" x14ac:dyDescent="0.2">
      <c r="D3431" s="6"/>
      <c r="H3431" s="6">
        <v>42243.627708333333</v>
      </c>
    </row>
    <row r="3432" spans="4:8" x14ac:dyDescent="0.2">
      <c r="D3432" s="6"/>
      <c r="H3432" s="6">
        <v>42243.627708333333</v>
      </c>
    </row>
    <row r="3433" spans="4:8" x14ac:dyDescent="0.2">
      <c r="D3433" s="6"/>
      <c r="H3433" s="6">
        <v>42243.627708333333</v>
      </c>
    </row>
    <row r="3434" spans="4:8" x14ac:dyDescent="0.2">
      <c r="D3434" s="6"/>
      <c r="H3434" s="6">
        <v>42243.627708333333</v>
      </c>
    </row>
    <row r="3435" spans="4:8" x14ac:dyDescent="0.2">
      <c r="D3435" s="6"/>
      <c r="H3435" s="6">
        <v>42243.627708333333</v>
      </c>
    </row>
    <row r="3436" spans="4:8" x14ac:dyDescent="0.2">
      <c r="D3436" s="6"/>
      <c r="H3436" s="6">
        <v>42243.627708333333</v>
      </c>
    </row>
    <row r="3437" spans="4:8" x14ac:dyDescent="0.2">
      <c r="D3437" s="6"/>
      <c r="H3437" s="6">
        <v>42243.627708333333</v>
      </c>
    </row>
    <row r="3438" spans="4:8" x14ac:dyDescent="0.2">
      <c r="D3438" s="6"/>
      <c r="H3438" s="6">
        <v>42243.627708333333</v>
      </c>
    </row>
    <row r="3439" spans="4:8" x14ac:dyDescent="0.2">
      <c r="D3439" s="6"/>
      <c r="H3439" s="6">
        <v>42243.627708333333</v>
      </c>
    </row>
    <row r="3440" spans="4:8" x14ac:dyDescent="0.2">
      <c r="D3440" s="6"/>
      <c r="H3440" s="6">
        <v>42243.627708333333</v>
      </c>
    </row>
    <row r="3441" spans="4:8" x14ac:dyDescent="0.2">
      <c r="D3441" s="6"/>
      <c r="H3441" s="6">
        <v>42243.627708333333</v>
      </c>
    </row>
    <row r="3442" spans="4:8" x14ac:dyDescent="0.2">
      <c r="D3442" s="6"/>
      <c r="H3442" s="6">
        <v>42243.627708333333</v>
      </c>
    </row>
    <row r="3443" spans="4:8" x14ac:dyDescent="0.2">
      <c r="D3443" s="6"/>
      <c r="H3443" s="6">
        <v>42243.627708333333</v>
      </c>
    </row>
    <row r="3444" spans="4:8" x14ac:dyDescent="0.2">
      <c r="D3444" s="6"/>
      <c r="H3444" s="6">
        <v>42243.627708333333</v>
      </c>
    </row>
    <row r="3445" spans="4:8" x14ac:dyDescent="0.2">
      <c r="D3445" s="6"/>
      <c r="H3445" s="6">
        <v>42243.627708333333</v>
      </c>
    </row>
    <row r="3446" spans="4:8" x14ac:dyDescent="0.2">
      <c r="D3446" s="6"/>
      <c r="H3446" s="6">
        <v>42243.627708333333</v>
      </c>
    </row>
    <row r="3447" spans="4:8" x14ac:dyDescent="0.2">
      <c r="D3447" s="6"/>
      <c r="H3447" s="6">
        <v>42243.627708333333</v>
      </c>
    </row>
    <row r="3448" spans="4:8" x14ac:dyDescent="0.2">
      <c r="D3448" s="6"/>
      <c r="H3448" s="6">
        <v>42243.627708333333</v>
      </c>
    </row>
    <row r="3449" spans="4:8" x14ac:dyDescent="0.2">
      <c r="D3449" s="6"/>
      <c r="H3449" s="6">
        <v>42243.627708333333</v>
      </c>
    </row>
    <row r="3450" spans="4:8" x14ac:dyDescent="0.2">
      <c r="D3450" s="6"/>
      <c r="H3450" s="6">
        <v>42243.627708333333</v>
      </c>
    </row>
    <row r="3451" spans="4:8" x14ac:dyDescent="0.2">
      <c r="D3451" s="6"/>
      <c r="H3451" s="6">
        <v>42243.627708333333</v>
      </c>
    </row>
    <row r="3452" spans="4:8" x14ac:dyDescent="0.2">
      <c r="D3452" s="6"/>
      <c r="H3452" s="6">
        <v>42243.627708333333</v>
      </c>
    </row>
    <row r="3453" spans="4:8" x14ac:dyDescent="0.2">
      <c r="D3453" s="6"/>
      <c r="H3453" s="6">
        <v>42243.627708333333</v>
      </c>
    </row>
    <row r="3454" spans="4:8" x14ac:dyDescent="0.2">
      <c r="D3454" s="6"/>
      <c r="H3454" s="6">
        <v>41740.807187500002</v>
      </c>
    </row>
    <row r="3455" spans="4:8" x14ac:dyDescent="0.2">
      <c r="D3455" s="6"/>
      <c r="H3455" s="6">
        <v>41740.807245370372</v>
      </c>
    </row>
    <row r="3456" spans="4:8" x14ac:dyDescent="0.2">
      <c r="D3456" s="6"/>
      <c r="H3456" s="6">
        <v>41740.807326388887</v>
      </c>
    </row>
    <row r="3457" spans="4:8" x14ac:dyDescent="0.2">
      <c r="D3457" s="6"/>
      <c r="H3457" s="6">
        <v>41740.80746527778</v>
      </c>
    </row>
    <row r="3458" spans="4:8" x14ac:dyDescent="0.2">
      <c r="D3458" s="6"/>
      <c r="H3458" s="6">
        <v>41740.807523148149</v>
      </c>
    </row>
    <row r="3459" spans="4:8" x14ac:dyDescent="0.2">
      <c r="D3459" s="6"/>
      <c r="H3459" s="6">
        <v>41740.807581018518</v>
      </c>
    </row>
    <row r="3460" spans="4:8" x14ac:dyDescent="0.2">
      <c r="D3460" s="6"/>
      <c r="H3460" s="6">
        <v>41740.807627314818</v>
      </c>
    </row>
    <row r="3461" spans="4:8" x14ac:dyDescent="0.2">
      <c r="D3461" s="6"/>
      <c r="H3461" s="6">
        <v>41740.807662037034</v>
      </c>
    </row>
    <row r="3462" spans="4:8" x14ac:dyDescent="0.2">
      <c r="D3462" s="6"/>
      <c r="H3462" s="6">
        <v>42166.535428240742</v>
      </c>
    </row>
    <row r="3463" spans="4:8" x14ac:dyDescent="0.2">
      <c r="D3463" s="6"/>
      <c r="H3463" s="6">
        <v>42166.537106481483</v>
      </c>
    </row>
    <row r="3464" spans="4:8" x14ac:dyDescent="0.2">
      <c r="D3464" s="6"/>
      <c r="H3464" s="6">
        <v>41740.807800925926</v>
      </c>
    </row>
    <row r="3465" spans="4:8" x14ac:dyDescent="0.2">
      <c r="D3465" s="6"/>
      <c r="H3465" s="6">
        <v>41740.808564814812</v>
      </c>
    </row>
    <row r="3466" spans="4:8" x14ac:dyDescent="0.2">
      <c r="D3466" s="6"/>
      <c r="H3466" s="6">
        <v>41740.809027777781</v>
      </c>
    </row>
    <row r="3467" spans="4:8" x14ac:dyDescent="0.2">
      <c r="D3467" s="6"/>
      <c r="H3467" s="6">
        <v>41740.813784722224</v>
      </c>
    </row>
    <row r="3468" spans="4:8" x14ac:dyDescent="0.2">
      <c r="D3468" s="6"/>
      <c r="H3468" s="6">
        <v>41740.813969907409</v>
      </c>
    </row>
    <row r="3469" spans="4:8" x14ac:dyDescent="0.2">
      <c r="D3469" s="6"/>
      <c r="H3469" s="6">
        <v>41740.814930555556</v>
      </c>
    </row>
    <row r="3470" spans="4:8" x14ac:dyDescent="0.2">
      <c r="D3470" s="6"/>
      <c r="H3470" s="6">
        <v>41740.81517361111</v>
      </c>
    </row>
    <row r="3471" spans="4:8" x14ac:dyDescent="0.2">
      <c r="D3471" s="6"/>
      <c r="H3471" s="6">
        <v>41740.793993055559</v>
      </c>
    </row>
    <row r="3472" spans="4:8" x14ac:dyDescent="0.2">
      <c r="D3472" s="6"/>
      <c r="H3472" s="6">
        <v>42118.555127314816</v>
      </c>
    </row>
    <row r="3473" spans="4:8" x14ac:dyDescent="0.2">
      <c r="D3473" s="6"/>
      <c r="H3473" s="6">
        <v>42118.555462962962</v>
      </c>
    </row>
    <row r="3474" spans="4:8" x14ac:dyDescent="0.2">
      <c r="D3474" s="6"/>
      <c r="H3474" s="6">
        <v>42118.555763888886</v>
      </c>
    </row>
    <row r="3475" spans="4:8" x14ac:dyDescent="0.2">
      <c r="D3475" s="6"/>
      <c r="H3475" s="6">
        <v>42118.556608796294</v>
      </c>
    </row>
    <row r="3476" spans="4:8" x14ac:dyDescent="0.2">
      <c r="D3476" s="6"/>
      <c r="H3476" s="6">
        <v>42118.556921296295</v>
      </c>
    </row>
    <row r="3477" spans="4:8" x14ac:dyDescent="0.2">
      <c r="D3477" s="6"/>
      <c r="H3477" s="6">
        <v>42118.557002314818</v>
      </c>
    </row>
    <row r="3478" spans="4:8" x14ac:dyDescent="0.2">
      <c r="D3478" s="6"/>
      <c r="H3478" s="6">
        <v>42118.557800925926</v>
      </c>
    </row>
    <row r="3479" spans="4:8" x14ac:dyDescent="0.2">
      <c r="D3479" s="6"/>
      <c r="H3479" s="6">
        <v>42118.557893518519</v>
      </c>
    </row>
    <row r="3480" spans="4:8" x14ac:dyDescent="0.2">
      <c r="D3480" s="6"/>
      <c r="H3480" s="6">
        <v>42118.557951388888</v>
      </c>
    </row>
    <row r="3481" spans="4:8" x14ac:dyDescent="0.2">
      <c r="D3481" s="6"/>
      <c r="H3481" s="6">
        <v>42118.557986111111</v>
      </c>
    </row>
    <row r="3482" spans="4:8" x14ac:dyDescent="0.2">
      <c r="D3482" s="6"/>
      <c r="H3482" s="6">
        <v>42118.558078703703</v>
      </c>
    </row>
    <row r="3483" spans="4:8" x14ac:dyDescent="0.2">
      <c r="D3483" s="6"/>
      <c r="H3483" s="6">
        <v>42118.558449074073</v>
      </c>
    </row>
    <row r="3484" spans="4:8" x14ac:dyDescent="0.2">
      <c r="D3484" s="6"/>
      <c r="H3484" s="6">
        <v>42118.558506944442</v>
      </c>
    </row>
    <row r="3485" spans="4:8" x14ac:dyDescent="0.2">
      <c r="D3485" s="6"/>
      <c r="H3485" s="6">
        <v>42118.558553240742</v>
      </c>
    </row>
    <row r="3486" spans="4:8" x14ac:dyDescent="0.2">
      <c r="D3486" s="6"/>
      <c r="H3486" s="6">
        <v>42118.558634259258</v>
      </c>
    </row>
    <row r="3487" spans="4:8" x14ac:dyDescent="0.2">
      <c r="D3487" s="6"/>
      <c r="H3487" s="6">
        <v>42118.55978009259</v>
      </c>
    </row>
    <row r="3488" spans="4:8" x14ac:dyDescent="0.2">
      <c r="D3488" s="6"/>
      <c r="H3488" s="6">
        <v>42118.55982638889</v>
      </c>
    </row>
    <row r="3489" spans="4:8" x14ac:dyDescent="0.2">
      <c r="D3489" s="6"/>
      <c r="H3489" s="6">
        <v>42118.559849537036</v>
      </c>
    </row>
    <row r="3490" spans="4:8" x14ac:dyDescent="0.2">
      <c r="D3490" s="6"/>
      <c r="H3490" s="6">
        <v>42118.559861111113</v>
      </c>
    </row>
    <row r="3491" spans="4:8" x14ac:dyDescent="0.2">
      <c r="D3491" s="6"/>
      <c r="H3491" s="6">
        <v>42118.559942129628</v>
      </c>
    </row>
    <row r="3492" spans="4:8" x14ac:dyDescent="0.2">
      <c r="D3492" s="6"/>
      <c r="H3492" s="6">
        <v>42118.559976851851</v>
      </c>
    </row>
    <row r="3493" spans="4:8" x14ac:dyDescent="0.2">
      <c r="D3493" s="6"/>
      <c r="H3493" s="6">
        <v>42118.56113425926</v>
      </c>
    </row>
    <row r="3494" spans="4:8" x14ac:dyDescent="0.2">
      <c r="D3494" s="6"/>
      <c r="H3494" s="6">
        <v>42118.561921296299</v>
      </c>
    </row>
    <row r="3495" spans="4:8" x14ac:dyDescent="0.2">
      <c r="D3495" s="6"/>
      <c r="H3495" s="6">
        <v>42118.562025462961</v>
      </c>
    </row>
    <row r="3496" spans="4:8" x14ac:dyDescent="0.2">
      <c r="D3496" s="6"/>
      <c r="H3496" s="6">
        <v>42118.562696759262</v>
      </c>
    </row>
    <row r="3497" spans="4:8" x14ac:dyDescent="0.2">
      <c r="D3497" s="6"/>
      <c r="H3497" s="6">
        <v>42118.5628125</v>
      </c>
    </row>
    <row r="3498" spans="4:8" x14ac:dyDescent="0.2">
      <c r="D3498" s="6"/>
      <c r="H3498" s="6">
        <v>42118.56287037037</v>
      </c>
    </row>
    <row r="3499" spans="4:8" x14ac:dyDescent="0.2">
      <c r="D3499" s="6"/>
      <c r="H3499" s="6">
        <v>42118.563587962963</v>
      </c>
    </row>
    <row r="3500" spans="4:8" x14ac:dyDescent="0.2">
      <c r="D3500" s="6"/>
      <c r="H3500" s="6">
        <v>42118.563993055555</v>
      </c>
    </row>
    <row r="3501" spans="4:8" x14ac:dyDescent="0.2">
      <c r="D3501" s="6"/>
      <c r="H3501" s="6">
        <v>42118.564513888887</v>
      </c>
    </row>
    <row r="3502" spans="4:8" x14ac:dyDescent="0.2">
      <c r="D3502" s="6"/>
      <c r="H3502" s="6">
        <v>42118.56658564815</v>
      </c>
    </row>
    <row r="3503" spans="4:8" x14ac:dyDescent="0.2">
      <c r="D3503" s="6"/>
      <c r="H3503" s="6">
        <v>42118.567037037035</v>
      </c>
    </row>
    <row r="3504" spans="4:8" x14ac:dyDescent="0.2">
      <c r="D3504" s="6"/>
      <c r="H3504" s="6">
        <v>42118.567106481481</v>
      </c>
    </row>
    <row r="3505" spans="4:8" x14ac:dyDescent="0.2">
      <c r="D3505" s="6"/>
      <c r="H3505" s="6">
        <v>42118.567233796297</v>
      </c>
    </row>
    <row r="3506" spans="4:8" x14ac:dyDescent="0.2">
      <c r="D3506" s="6"/>
      <c r="H3506" s="6">
        <v>42118.56726851852</v>
      </c>
    </row>
    <row r="3507" spans="4:8" x14ac:dyDescent="0.2">
      <c r="D3507" s="6"/>
      <c r="H3507" s="6">
        <v>42118.567291666666</v>
      </c>
    </row>
    <row r="3508" spans="4:8" x14ac:dyDescent="0.2">
      <c r="D3508" s="6"/>
      <c r="H3508" s="6">
        <v>42118.567349537036</v>
      </c>
    </row>
    <row r="3509" spans="4:8" x14ac:dyDescent="0.2">
      <c r="D3509" s="6"/>
      <c r="H3509" s="6">
        <v>42118.567418981482</v>
      </c>
    </row>
    <row r="3510" spans="4:8" x14ac:dyDescent="0.2">
      <c r="D3510" s="6"/>
      <c r="H3510" s="6">
        <v>42118.555648148147</v>
      </c>
    </row>
    <row r="3511" spans="4:8" x14ac:dyDescent="0.2">
      <c r="D3511" s="6"/>
      <c r="H3511" s="6">
        <v>42118.556180555555</v>
      </c>
    </row>
    <row r="3512" spans="4:8" x14ac:dyDescent="0.2">
      <c r="D3512" s="6"/>
      <c r="H3512" s="6">
        <v>41698.642442129632</v>
      </c>
    </row>
    <row r="3513" spans="4:8" x14ac:dyDescent="0.2">
      <c r="D3513" s="6"/>
      <c r="H3513" s="6">
        <v>41698.644375000003</v>
      </c>
    </row>
    <row r="3514" spans="4:8" x14ac:dyDescent="0.2">
      <c r="D3514" s="6"/>
      <c r="H3514" s="6">
        <v>41698.645173611112</v>
      </c>
    </row>
    <row r="3515" spans="4:8" x14ac:dyDescent="0.2">
      <c r="D3515" s="6"/>
      <c r="H3515" s="6">
        <v>41698.645856481482</v>
      </c>
    </row>
    <row r="3516" spans="4:8" x14ac:dyDescent="0.2">
      <c r="D3516" s="6"/>
      <c r="H3516" s="6">
        <v>41698.647199074076</v>
      </c>
    </row>
    <row r="3517" spans="4:8" x14ac:dyDescent="0.2">
      <c r="D3517" s="6"/>
      <c r="H3517" s="6">
        <v>41698.647858796299</v>
      </c>
    </row>
    <row r="3518" spans="4:8" x14ac:dyDescent="0.2">
      <c r="D3518" s="6"/>
      <c r="H3518" s="6">
        <v>41698.648263888892</v>
      </c>
    </row>
    <row r="3519" spans="4:8" x14ac:dyDescent="0.2">
      <c r="D3519" s="6"/>
      <c r="H3519" s="6">
        <v>41698.64880787037</v>
      </c>
    </row>
    <row r="3520" spans="4:8" x14ac:dyDescent="0.2">
      <c r="D3520" s="6"/>
      <c r="H3520" s="6">
        <v>41698.649386574078</v>
      </c>
    </row>
    <row r="3521" spans="4:8" x14ac:dyDescent="0.2">
      <c r="D3521" s="6"/>
      <c r="H3521" s="6">
        <v>41698.650046296294</v>
      </c>
    </row>
    <row r="3522" spans="4:8" x14ac:dyDescent="0.2">
      <c r="D3522" s="6"/>
      <c r="H3522" s="6">
        <v>41698.653645833336</v>
      </c>
    </row>
    <row r="3523" spans="4:8" x14ac:dyDescent="0.2">
      <c r="D3523" s="6"/>
      <c r="H3523" s="6">
        <v>41698.654120370367</v>
      </c>
    </row>
    <row r="3524" spans="4:8" x14ac:dyDescent="0.2">
      <c r="D3524" s="6"/>
      <c r="H3524" s="6">
        <v>41698.654675925929</v>
      </c>
    </row>
    <row r="3525" spans="4:8" x14ac:dyDescent="0.2">
      <c r="D3525" s="6"/>
      <c r="H3525" s="6">
        <v>41485.725300925929</v>
      </c>
    </row>
    <row r="3526" spans="4:8" x14ac:dyDescent="0.2">
      <c r="D3526" s="6"/>
      <c r="H3526" s="6">
        <v>41536.637743055559</v>
      </c>
    </row>
    <row r="3527" spans="4:8" x14ac:dyDescent="0.2">
      <c r="D3527" s="6"/>
      <c r="H3527" s="6">
        <v>41536.637974537036</v>
      </c>
    </row>
    <row r="3528" spans="4:8" x14ac:dyDescent="0.2">
      <c r="D3528" s="6"/>
      <c r="H3528" s="6">
        <v>41569.615925925929</v>
      </c>
    </row>
    <row r="3529" spans="4:8" x14ac:dyDescent="0.2">
      <c r="D3529" s="6"/>
      <c r="H3529" s="6">
        <v>41521.404814814814</v>
      </c>
    </row>
    <row r="3530" spans="4:8" x14ac:dyDescent="0.2">
      <c r="D3530" s="6"/>
      <c r="H3530" s="6">
        <v>41485.395787037036</v>
      </c>
    </row>
    <row r="3531" spans="4:8" x14ac:dyDescent="0.2">
      <c r="D3531" s="6"/>
      <c r="H3531" s="6">
        <v>41485.397349537037</v>
      </c>
    </row>
    <row r="3532" spans="4:8" x14ac:dyDescent="0.2">
      <c r="D3532" s="6"/>
      <c r="H3532" s="6">
        <v>41521.404675925929</v>
      </c>
    </row>
    <row r="3533" spans="4:8" x14ac:dyDescent="0.2">
      <c r="D3533" s="6"/>
      <c r="H3533" s="6">
        <v>41521.404722222222</v>
      </c>
    </row>
    <row r="3534" spans="4:8" x14ac:dyDescent="0.2">
      <c r="D3534" s="6"/>
      <c r="H3534" s="6">
        <v>41521.404768518521</v>
      </c>
    </row>
    <row r="3535" spans="4:8" x14ac:dyDescent="0.2">
      <c r="D3535" s="6"/>
      <c r="H3535" s="6">
        <v>41521.404849537037</v>
      </c>
    </row>
    <row r="3536" spans="4:8" x14ac:dyDescent="0.2">
      <c r="D3536" s="6"/>
      <c r="H3536" s="6">
        <v>41865.679120370369</v>
      </c>
    </row>
    <row r="3537" spans="4:8" x14ac:dyDescent="0.2">
      <c r="D3537" s="6"/>
      <c r="H3537" s="6">
        <v>40738.324918981481</v>
      </c>
    </row>
    <row r="3538" spans="4:8" x14ac:dyDescent="0.2">
      <c r="D3538" s="6"/>
      <c r="H3538" s="6">
        <v>40738.325011574074</v>
      </c>
    </row>
    <row r="3539" spans="4:8" x14ac:dyDescent="0.2">
      <c r="D3539" s="6"/>
      <c r="H3539" s="6">
        <v>40738.324918981481</v>
      </c>
    </row>
    <row r="3540" spans="4:8" x14ac:dyDescent="0.2">
      <c r="D3540" s="6"/>
      <c r="H3540" s="6">
        <v>40738.324942129628</v>
      </c>
    </row>
    <row r="3541" spans="4:8" x14ac:dyDescent="0.2">
      <c r="D3541" s="6"/>
      <c r="H3541" s="6">
        <v>40738.324942129628</v>
      </c>
    </row>
    <row r="3542" spans="4:8" x14ac:dyDescent="0.2">
      <c r="D3542" s="6"/>
      <c r="H3542" s="6">
        <v>40738.324942129628</v>
      </c>
    </row>
    <row r="3543" spans="4:8" x14ac:dyDescent="0.2">
      <c r="D3543" s="6"/>
      <c r="H3543" s="6">
        <v>40738.324999999997</v>
      </c>
    </row>
    <row r="3544" spans="4:8" x14ac:dyDescent="0.2">
      <c r="D3544" s="6"/>
      <c r="H3544" s="6">
        <v>40738.324999999997</v>
      </c>
    </row>
    <row r="3545" spans="4:8" x14ac:dyDescent="0.2">
      <c r="D3545" s="6"/>
      <c r="H3545" s="6">
        <v>40738.324976851851</v>
      </c>
    </row>
    <row r="3546" spans="4:8" x14ac:dyDescent="0.2">
      <c r="D3546" s="6"/>
      <c r="H3546" s="6">
        <v>42233.554120370369</v>
      </c>
    </row>
    <row r="3547" spans="4:8" x14ac:dyDescent="0.2">
      <c r="D3547" s="6"/>
      <c r="H3547" s="6">
        <v>42233.553067129629</v>
      </c>
    </row>
    <row r="3548" spans="4:8" x14ac:dyDescent="0.2">
      <c r="D3548" s="6"/>
      <c r="H3548" s="6">
        <v>42153.620625000003</v>
      </c>
    </row>
    <row r="3549" spans="4:8" x14ac:dyDescent="0.2">
      <c r="D3549" s="6"/>
      <c r="H3549" s="6">
        <v>42153.620625000003</v>
      </c>
    </row>
    <row r="3550" spans="4:8" x14ac:dyDescent="0.2">
      <c r="D3550" s="6"/>
      <c r="H3550" s="6">
        <v>42153.620625000003</v>
      </c>
    </row>
    <row r="3551" spans="4:8" x14ac:dyDescent="0.2">
      <c r="D3551" s="6"/>
      <c r="H3551" s="6">
        <v>42153.620625000003</v>
      </c>
    </row>
    <row r="3552" spans="4:8" x14ac:dyDescent="0.2">
      <c r="D3552" s="6"/>
      <c r="H3552" s="6">
        <v>42328.671967592592</v>
      </c>
    </row>
    <row r="3553" spans="4:8" x14ac:dyDescent="0.2">
      <c r="D3553" s="6"/>
      <c r="H3553" s="6">
        <v>42264.55400462963</v>
      </c>
    </row>
    <row r="3554" spans="4:8" x14ac:dyDescent="0.2">
      <c r="D3554" s="6"/>
      <c r="H3554" s="6">
        <v>42264.545092592591</v>
      </c>
    </row>
    <row r="3555" spans="4:8" x14ac:dyDescent="0.2">
      <c r="D3555" s="6"/>
      <c r="H3555" s="6">
        <v>42298.463125000002</v>
      </c>
    </row>
    <row r="3556" spans="4:8" x14ac:dyDescent="0.2">
      <c r="D3556" s="6"/>
      <c r="H3556" s="6">
        <v>42264.534444444442</v>
      </c>
    </row>
    <row r="3557" spans="4:8" x14ac:dyDescent="0.2">
      <c r="D3557" s="6"/>
      <c r="H3557" s="6">
        <v>42264.534444444442</v>
      </c>
    </row>
    <row r="3558" spans="4:8" x14ac:dyDescent="0.2">
      <c r="D3558" s="6"/>
      <c r="H3558" s="6">
        <v>42264.534444444442</v>
      </c>
    </row>
    <row r="3559" spans="4:8" x14ac:dyDescent="0.2">
      <c r="D3559" s="6"/>
      <c r="H3559" s="6">
        <v>42264.534444444442</v>
      </c>
    </row>
    <row r="3560" spans="4:8" x14ac:dyDescent="0.2">
      <c r="D3560" s="6"/>
      <c r="H3560" s="6">
        <v>42264.534444444442</v>
      </c>
    </row>
    <row r="3561" spans="4:8" x14ac:dyDescent="0.2">
      <c r="D3561" s="6"/>
      <c r="H3561" s="6">
        <v>42264.534444444442</v>
      </c>
    </row>
    <row r="3562" spans="4:8" x14ac:dyDescent="0.2">
      <c r="D3562" s="6"/>
      <c r="H3562" s="6">
        <v>42264.534444444442</v>
      </c>
    </row>
    <row r="3563" spans="4:8" x14ac:dyDescent="0.2">
      <c r="D3563" s="6"/>
      <c r="H3563" s="6">
        <v>42264.538912037038</v>
      </c>
    </row>
    <row r="3564" spans="4:8" x14ac:dyDescent="0.2">
      <c r="D3564" s="6"/>
      <c r="H3564" s="6">
        <v>42264.534467592595</v>
      </c>
    </row>
    <row r="3565" spans="4:8" x14ac:dyDescent="0.2">
      <c r="D3565" s="6"/>
      <c r="H3565" s="6">
        <v>42298.841087962966</v>
      </c>
    </row>
    <row r="3566" spans="4:8" x14ac:dyDescent="0.2">
      <c r="D3566" s="6"/>
      <c r="H3566" s="6">
        <v>42430.618923611109</v>
      </c>
    </row>
    <row r="3567" spans="4:8" x14ac:dyDescent="0.2">
      <c r="D3567" s="6"/>
      <c r="H3567" s="6">
        <v>42419.892824074072</v>
      </c>
    </row>
    <row r="3568" spans="4:8" x14ac:dyDescent="0.2">
      <c r="D3568" s="6"/>
      <c r="H3568" s="6">
        <v>42430.619108796294</v>
      </c>
    </row>
    <row r="3569" spans="4:8" x14ac:dyDescent="0.2">
      <c r="D3569" s="6"/>
      <c r="H3569" s="6">
        <v>42430.619189814817</v>
      </c>
    </row>
    <row r="3570" spans="4:8" x14ac:dyDescent="0.2">
      <c r="D3570" s="6"/>
      <c r="H3570" s="6">
        <v>42419.542754629627</v>
      </c>
    </row>
    <row r="3571" spans="4:8" x14ac:dyDescent="0.2">
      <c r="D3571" s="6"/>
      <c r="H3571" s="6">
        <v>42419.542754629627</v>
      </c>
    </row>
    <row r="3572" spans="4:8" x14ac:dyDescent="0.2">
      <c r="D3572" s="6"/>
      <c r="H3572" s="6">
        <v>42419.542754629627</v>
      </c>
    </row>
    <row r="3573" spans="4:8" x14ac:dyDescent="0.2">
      <c r="D3573" s="6"/>
      <c r="H3573" s="6">
        <v>42419.542754629627</v>
      </c>
    </row>
    <row r="3574" spans="4:8" x14ac:dyDescent="0.2">
      <c r="D3574" s="6"/>
      <c r="H3574" s="6">
        <v>42419.542754629627</v>
      </c>
    </row>
    <row r="3575" spans="4:8" x14ac:dyDescent="0.2">
      <c r="D3575" s="6"/>
      <c r="H3575" s="6">
        <v>42419.542754629627</v>
      </c>
    </row>
    <row r="3576" spans="4:8" x14ac:dyDescent="0.2">
      <c r="D3576" s="6"/>
      <c r="H3576" s="6">
        <v>42419.542754629627</v>
      </c>
    </row>
    <row r="3577" spans="4:8" x14ac:dyDescent="0.2">
      <c r="D3577" s="6"/>
      <c r="H3577" s="6">
        <v>42419.542731481481</v>
      </c>
    </row>
    <row r="3578" spans="4:8" x14ac:dyDescent="0.2">
      <c r="D3578" s="6"/>
      <c r="H3578" s="6">
        <v>42419.542731481481</v>
      </c>
    </row>
    <row r="3579" spans="4:8" x14ac:dyDescent="0.2">
      <c r="D3579" s="6"/>
      <c r="H3579" s="6">
        <v>42419.542731481481</v>
      </c>
    </row>
    <row r="3580" spans="4:8" x14ac:dyDescent="0.2">
      <c r="D3580" s="6"/>
      <c r="H3580" s="6">
        <v>42419.542731481481</v>
      </c>
    </row>
    <row r="3581" spans="4:8" x14ac:dyDescent="0.2">
      <c r="D3581" s="6"/>
      <c r="H3581" s="6">
        <v>42419.542731481481</v>
      </c>
    </row>
    <row r="3582" spans="4:8" x14ac:dyDescent="0.2">
      <c r="D3582" s="6"/>
      <c r="H3582" s="6">
        <v>42419.542731481481</v>
      </c>
    </row>
    <row r="3583" spans="4:8" x14ac:dyDescent="0.2">
      <c r="D3583" s="6"/>
      <c r="H3583" s="6">
        <v>42419.542731481481</v>
      </c>
    </row>
    <row r="3584" spans="4:8" x14ac:dyDescent="0.2">
      <c r="D3584" s="6"/>
      <c r="H3584" s="6">
        <v>42419.542731481481</v>
      </c>
    </row>
    <row r="3585" spans="4:8" x14ac:dyDescent="0.2">
      <c r="D3585" s="6"/>
      <c r="H3585" s="6">
        <v>42419.542731481481</v>
      </c>
    </row>
    <row r="3586" spans="4:8" x14ac:dyDescent="0.2">
      <c r="D3586" s="6"/>
      <c r="H3586" s="6">
        <v>42419.542731481481</v>
      </c>
    </row>
    <row r="3587" spans="4:8" x14ac:dyDescent="0.2">
      <c r="D3587" s="6"/>
      <c r="H3587" s="6">
        <v>42419.864189814813</v>
      </c>
    </row>
    <row r="3588" spans="4:8" x14ac:dyDescent="0.2">
      <c r="D3588" s="6"/>
      <c r="H3588" s="6">
        <v>42419.542731481481</v>
      </c>
    </row>
    <row r="3589" spans="4:8" x14ac:dyDescent="0.2">
      <c r="D3589" s="6"/>
      <c r="H3589" s="6">
        <v>42419.542731481481</v>
      </c>
    </row>
    <row r="3590" spans="4:8" x14ac:dyDescent="0.2">
      <c r="D3590" s="6"/>
      <c r="H3590" s="6">
        <v>42419.542731481481</v>
      </c>
    </row>
    <row r="3591" spans="4:8" x14ac:dyDescent="0.2">
      <c r="D3591" s="6"/>
      <c r="H3591" s="6">
        <v>42419.542731481481</v>
      </c>
    </row>
    <row r="3592" spans="4:8" x14ac:dyDescent="0.2">
      <c r="D3592" s="6"/>
      <c r="H3592" s="6">
        <v>42419.542731481481</v>
      </c>
    </row>
    <row r="3593" spans="4:8" x14ac:dyDescent="0.2">
      <c r="D3593" s="6"/>
      <c r="H3593" s="6">
        <v>42419.542731481481</v>
      </c>
    </row>
    <row r="3594" spans="4:8" x14ac:dyDescent="0.2">
      <c r="D3594" s="6"/>
      <c r="H3594" s="6">
        <v>42419.542731481481</v>
      </c>
    </row>
    <row r="3595" spans="4:8" x14ac:dyDescent="0.2">
      <c r="D3595" s="6"/>
      <c r="H3595" s="6">
        <v>42419.542731481481</v>
      </c>
    </row>
    <row r="3596" spans="4:8" x14ac:dyDescent="0.2">
      <c r="D3596" s="6"/>
      <c r="H3596" s="6">
        <v>42264.512337962966</v>
      </c>
    </row>
    <row r="3597" spans="4:8" x14ac:dyDescent="0.2">
      <c r="D3597" s="6"/>
      <c r="H3597" s="6">
        <v>42264.503425925926</v>
      </c>
    </row>
    <row r="3598" spans="4:8" x14ac:dyDescent="0.2">
      <c r="D3598" s="6"/>
      <c r="H3598" s="6">
        <v>42264.492777777778</v>
      </c>
    </row>
    <row r="3599" spans="4:8" x14ac:dyDescent="0.2">
      <c r="D3599" s="6"/>
      <c r="H3599" s="6">
        <v>42264.492777777778</v>
      </c>
    </row>
    <row r="3600" spans="4:8" x14ac:dyDescent="0.2">
      <c r="D3600" s="6"/>
      <c r="H3600" s="6">
        <v>42264.492777777778</v>
      </c>
    </row>
    <row r="3601" spans="4:8" x14ac:dyDescent="0.2">
      <c r="D3601" s="6"/>
      <c r="H3601" s="6">
        <v>42264.492777777778</v>
      </c>
    </row>
    <row r="3602" spans="4:8" x14ac:dyDescent="0.2">
      <c r="D3602" s="6"/>
      <c r="H3602" s="6">
        <v>42264.492777777778</v>
      </c>
    </row>
    <row r="3603" spans="4:8" x14ac:dyDescent="0.2">
      <c r="D3603" s="6"/>
      <c r="H3603" s="6">
        <v>42264.492777777778</v>
      </c>
    </row>
    <row r="3604" spans="4:8" x14ac:dyDescent="0.2">
      <c r="D3604" s="6"/>
      <c r="H3604" s="6">
        <v>42264.492777777778</v>
      </c>
    </row>
    <row r="3605" spans="4:8" x14ac:dyDescent="0.2">
      <c r="D3605" s="6"/>
      <c r="H3605" s="6">
        <v>42264.497245370374</v>
      </c>
    </row>
    <row r="3606" spans="4:8" x14ac:dyDescent="0.2">
      <c r="D3606" s="6"/>
      <c r="H3606" s="6">
        <v>42264.492800925924</v>
      </c>
    </row>
    <row r="3607" spans="4:8" x14ac:dyDescent="0.2">
      <c r="D3607" s="6"/>
      <c r="H3607" s="6">
        <v>42097.784421296295</v>
      </c>
    </row>
    <row r="3608" spans="4:8" x14ac:dyDescent="0.2">
      <c r="D3608" s="6"/>
      <c r="H3608" s="6">
        <v>42121.720972222225</v>
      </c>
    </row>
    <row r="3609" spans="4:8" x14ac:dyDescent="0.2">
      <c r="D3609" s="6"/>
      <c r="H3609" s="6">
        <v>42097.784421296295</v>
      </c>
    </row>
    <row r="3610" spans="4:8" x14ac:dyDescent="0.2">
      <c r="D3610" s="6"/>
      <c r="H3610" s="6">
        <v>42121.722361111111</v>
      </c>
    </row>
    <row r="3611" spans="4:8" x14ac:dyDescent="0.2">
      <c r="D3611" s="6"/>
      <c r="H3611" s="6">
        <v>42121.721643518518</v>
      </c>
    </row>
    <row r="3612" spans="4:8" x14ac:dyDescent="0.2">
      <c r="D3612" s="6"/>
      <c r="H3612" s="6">
        <v>42097.784398148149</v>
      </c>
    </row>
    <row r="3613" spans="4:8" x14ac:dyDescent="0.2">
      <c r="D3613" s="6"/>
      <c r="H3613" s="6">
        <v>42097.784398148149</v>
      </c>
    </row>
    <row r="3614" spans="4:8" x14ac:dyDescent="0.2">
      <c r="D3614" s="6"/>
      <c r="H3614" s="6">
        <v>42097.784398148149</v>
      </c>
    </row>
    <row r="3615" spans="4:8" x14ac:dyDescent="0.2">
      <c r="D3615" s="6"/>
      <c r="H3615" s="6">
        <v>42097.784050925926</v>
      </c>
    </row>
    <row r="3616" spans="4:8" x14ac:dyDescent="0.2">
      <c r="D3616" s="6"/>
      <c r="H3616" s="6">
        <v>42121.726689814815</v>
      </c>
    </row>
    <row r="3617" spans="4:8" x14ac:dyDescent="0.2">
      <c r="D3617" s="6"/>
      <c r="H3617" s="6">
        <v>42121.727430555555</v>
      </c>
    </row>
    <row r="3618" spans="4:8" x14ac:dyDescent="0.2">
      <c r="D3618" s="6"/>
      <c r="H3618" s="6">
        <v>42121.725925925923</v>
      </c>
    </row>
    <row r="3619" spans="4:8" x14ac:dyDescent="0.2">
      <c r="D3619" s="6"/>
      <c r="H3619" s="6">
        <v>42097.784050925926</v>
      </c>
    </row>
    <row r="3620" spans="4:8" x14ac:dyDescent="0.2">
      <c r="D3620" s="6"/>
      <c r="H3620" s="6">
        <v>42097.784050925926</v>
      </c>
    </row>
    <row r="3621" spans="4:8" x14ac:dyDescent="0.2">
      <c r="D3621" s="6"/>
      <c r="H3621" s="6">
        <v>42097.784050925926</v>
      </c>
    </row>
    <row r="3622" spans="4:8" x14ac:dyDescent="0.2">
      <c r="D3622" s="6"/>
      <c r="H3622" s="6">
        <v>42153.622442129628</v>
      </c>
    </row>
    <row r="3623" spans="4:8" x14ac:dyDescent="0.2">
      <c r="D3623" s="6"/>
      <c r="H3623" s="6">
        <v>42153.622442129628</v>
      </c>
    </row>
    <row r="3624" spans="4:8" x14ac:dyDescent="0.2">
      <c r="D3624" s="6"/>
      <c r="H3624" s="6">
        <v>42153.622442129628</v>
      </c>
    </row>
    <row r="3625" spans="4:8" x14ac:dyDescent="0.2">
      <c r="D3625" s="6"/>
      <c r="H3625" s="6">
        <v>42153.622442129628</v>
      </c>
    </row>
    <row r="3626" spans="4:8" x14ac:dyDescent="0.2">
      <c r="D3626" s="6"/>
      <c r="H3626" s="6">
        <v>42153.622442129628</v>
      </c>
    </row>
    <row r="3627" spans="4:8" x14ac:dyDescent="0.2">
      <c r="D3627" s="6"/>
      <c r="H3627" s="6">
        <v>42121.729583333334</v>
      </c>
    </row>
    <row r="3628" spans="4:8" x14ac:dyDescent="0.2">
      <c r="D3628" s="6"/>
      <c r="H3628" s="6">
        <v>42121.729259259257</v>
      </c>
    </row>
    <row r="3629" spans="4:8" x14ac:dyDescent="0.2">
      <c r="D3629" s="6"/>
      <c r="H3629" s="6">
        <v>42097.784375000003</v>
      </c>
    </row>
    <row r="3630" spans="4:8" x14ac:dyDescent="0.2">
      <c r="D3630" s="6"/>
      <c r="H3630" s="6">
        <v>42121.728935185187</v>
      </c>
    </row>
    <row r="3631" spans="4:8" x14ac:dyDescent="0.2">
      <c r="D3631" s="6"/>
      <c r="H3631" s="6">
        <v>42097.784375000003</v>
      </c>
    </row>
    <row r="3632" spans="4:8" x14ac:dyDescent="0.2">
      <c r="D3632" s="6"/>
      <c r="H3632" s="6">
        <v>42097.784375000003</v>
      </c>
    </row>
    <row r="3633" spans="4:8" x14ac:dyDescent="0.2">
      <c r="D3633" s="6"/>
      <c r="H3633" s="6">
        <v>42097.784375000003</v>
      </c>
    </row>
    <row r="3634" spans="4:8" x14ac:dyDescent="0.2">
      <c r="D3634" s="6"/>
      <c r="H3634" s="6">
        <v>42097.784282407411</v>
      </c>
    </row>
    <row r="3635" spans="4:8" x14ac:dyDescent="0.2">
      <c r="D3635" s="6"/>
      <c r="H3635" s="6">
        <v>42097.784282407411</v>
      </c>
    </row>
    <row r="3636" spans="4:8" x14ac:dyDescent="0.2">
      <c r="D3636" s="6"/>
      <c r="H3636" s="6">
        <v>42097.784282407411</v>
      </c>
    </row>
    <row r="3637" spans="4:8" x14ac:dyDescent="0.2">
      <c r="D3637" s="6"/>
      <c r="H3637" s="6">
        <v>42097.784282407411</v>
      </c>
    </row>
    <row r="3638" spans="4:8" x14ac:dyDescent="0.2">
      <c r="D3638" s="6"/>
      <c r="H3638" s="6">
        <v>42097.784282407411</v>
      </c>
    </row>
    <row r="3639" spans="4:8" x14ac:dyDescent="0.2">
      <c r="D3639" s="6"/>
      <c r="H3639" s="6">
        <v>42121.730578703704</v>
      </c>
    </row>
    <row r="3640" spans="4:8" x14ac:dyDescent="0.2">
      <c r="D3640" s="6"/>
      <c r="H3640" s="6">
        <v>42121.730393518519</v>
      </c>
    </row>
    <row r="3641" spans="4:8" x14ac:dyDescent="0.2">
      <c r="D3641" s="6"/>
      <c r="H3641" s="6">
        <v>42121.730023148149</v>
      </c>
    </row>
    <row r="3642" spans="4:8" x14ac:dyDescent="0.2">
      <c r="D3642" s="6"/>
      <c r="H3642" s="6">
        <v>42136.413819444446</v>
      </c>
    </row>
    <row r="3643" spans="4:8" x14ac:dyDescent="0.2">
      <c r="D3643" s="6"/>
      <c r="H3643" s="6">
        <v>42136.413819444446</v>
      </c>
    </row>
    <row r="3644" spans="4:8" x14ac:dyDescent="0.2">
      <c r="D3644" s="6"/>
      <c r="H3644" s="6">
        <v>42136.413819444446</v>
      </c>
    </row>
    <row r="3645" spans="4:8" x14ac:dyDescent="0.2">
      <c r="D3645" s="6"/>
      <c r="H3645" s="6">
        <v>42136.413819444446</v>
      </c>
    </row>
    <row r="3646" spans="4:8" x14ac:dyDescent="0.2">
      <c r="D3646" s="6"/>
      <c r="H3646" s="6">
        <v>42136.413819444446</v>
      </c>
    </row>
    <row r="3647" spans="4:8" x14ac:dyDescent="0.2">
      <c r="D3647" s="6"/>
      <c r="H3647" s="6">
        <v>42136.413819444446</v>
      </c>
    </row>
    <row r="3648" spans="4:8" x14ac:dyDescent="0.2">
      <c r="D3648" s="6"/>
      <c r="H3648" s="6">
        <v>42136.413819444446</v>
      </c>
    </row>
    <row r="3649" spans="4:8" x14ac:dyDescent="0.2">
      <c r="D3649" s="6"/>
      <c r="H3649" s="6">
        <v>42136.413819444446</v>
      </c>
    </row>
    <row r="3650" spans="4:8" x14ac:dyDescent="0.2">
      <c r="D3650" s="6"/>
      <c r="H3650" s="6">
        <v>42136.413819444446</v>
      </c>
    </row>
    <row r="3651" spans="4:8" x14ac:dyDescent="0.2">
      <c r="D3651" s="6"/>
      <c r="H3651" s="6">
        <v>42136.413819444446</v>
      </c>
    </row>
    <row r="3652" spans="4:8" x14ac:dyDescent="0.2">
      <c r="D3652" s="6"/>
      <c r="H3652" s="6">
        <v>42136.413819444446</v>
      </c>
    </row>
    <row r="3653" spans="4:8" x14ac:dyDescent="0.2">
      <c r="D3653" s="6"/>
      <c r="H3653" s="6">
        <v>42136.413819444446</v>
      </c>
    </row>
    <row r="3654" spans="4:8" x14ac:dyDescent="0.2">
      <c r="D3654" s="6"/>
      <c r="H3654" s="6">
        <v>42136.413819444446</v>
      </c>
    </row>
    <row r="3655" spans="4:8" x14ac:dyDescent="0.2">
      <c r="D3655" s="6"/>
      <c r="H3655" s="6">
        <v>42136.413819444446</v>
      </c>
    </row>
    <row r="3656" spans="4:8" x14ac:dyDescent="0.2">
      <c r="D3656" s="6"/>
      <c r="H3656" s="6">
        <v>42136.413819444446</v>
      </c>
    </row>
    <row r="3657" spans="4:8" x14ac:dyDescent="0.2">
      <c r="D3657" s="6"/>
      <c r="H3657" s="6">
        <v>42136.413819444446</v>
      </c>
    </row>
    <row r="3658" spans="4:8" x14ac:dyDescent="0.2">
      <c r="D3658" s="6"/>
      <c r="H3658" s="6">
        <v>42136.413819444446</v>
      </c>
    </row>
    <row r="3659" spans="4:8" x14ac:dyDescent="0.2">
      <c r="D3659" s="6"/>
      <c r="H3659" s="6">
        <v>42482.354768518519</v>
      </c>
    </row>
    <row r="3660" spans="4:8" x14ac:dyDescent="0.2">
      <c r="D3660" s="6"/>
      <c r="H3660" s="6">
        <v>42482.342430555553</v>
      </c>
    </row>
    <row r="3661" spans="4:8" x14ac:dyDescent="0.2">
      <c r="D3661" s="6"/>
      <c r="H3661" s="6">
        <v>42482.342488425929</v>
      </c>
    </row>
    <row r="3662" spans="4:8" x14ac:dyDescent="0.2">
      <c r="D3662" s="6"/>
      <c r="H3662" s="6">
        <v>42482.342569444445</v>
      </c>
    </row>
    <row r="3663" spans="4:8" x14ac:dyDescent="0.2">
      <c r="D3663" s="6"/>
      <c r="H3663" s="6">
        <v>42482.342280092591</v>
      </c>
    </row>
    <row r="3664" spans="4:8" x14ac:dyDescent="0.2">
      <c r="D3664" s="6"/>
      <c r="H3664" s="6">
        <v>42482.342361111114</v>
      </c>
    </row>
    <row r="3665" spans="4:8" x14ac:dyDescent="0.2">
      <c r="D3665" s="6"/>
      <c r="H3665" s="6">
        <v>42405.722928240742</v>
      </c>
    </row>
    <row r="3666" spans="4:8" x14ac:dyDescent="0.2">
      <c r="D3666" s="6"/>
      <c r="H3666" s="6">
        <v>42425.985462962963</v>
      </c>
    </row>
    <row r="3667" spans="4:8" x14ac:dyDescent="0.2">
      <c r="D3667" s="6"/>
      <c r="H3667" s="6">
        <v>42482.362141203703</v>
      </c>
    </row>
    <row r="3668" spans="4:8" x14ac:dyDescent="0.2">
      <c r="D3668" s="6"/>
      <c r="H3668" s="6">
        <v>42445.415601851855</v>
      </c>
    </row>
    <row r="3669" spans="4:8" x14ac:dyDescent="0.2">
      <c r="D3669" s="6"/>
      <c r="H3669" s="6">
        <v>42394.951620370368</v>
      </c>
    </row>
    <row r="3670" spans="4:8" x14ac:dyDescent="0.2">
      <c r="D3670" s="6"/>
      <c r="H3670" s="6">
        <v>42394.951620370368</v>
      </c>
    </row>
    <row r="3671" spans="4:8" x14ac:dyDescent="0.2">
      <c r="D3671" s="6"/>
      <c r="H3671" s="6">
        <v>42394.951620370368</v>
      </c>
    </row>
    <row r="3672" spans="4:8" x14ac:dyDescent="0.2">
      <c r="D3672" s="6"/>
      <c r="H3672" s="6">
        <v>42394.951620370368</v>
      </c>
    </row>
    <row r="3673" spans="4:8" x14ac:dyDescent="0.2">
      <c r="D3673" s="6"/>
      <c r="H3673" s="6">
        <v>42394.951620370368</v>
      </c>
    </row>
    <row r="3674" spans="4:8" x14ac:dyDescent="0.2">
      <c r="D3674" s="6"/>
      <c r="H3674" s="6">
        <v>42394.951620370368</v>
      </c>
    </row>
    <row r="3675" spans="4:8" x14ac:dyDescent="0.2">
      <c r="D3675" s="6"/>
      <c r="H3675" s="6">
        <v>42394.951620370368</v>
      </c>
    </row>
    <row r="3676" spans="4:8" x14ac:dyDescent="0.2">
      <c r="D3676" s="6"/>
      <c r="H3676" s="6">
        <v>42394.951620370368</v>
      </c>
    </row>
    <row r="3677" spans="4:8" x14ac:dyDescent="0.2">
      <c r="D3677" s="6"/>
      <c r="H3677" s="6">
        <v>42394.951620370368</v>
      </c>
    </row>
    <row r="3678" spans="4:8" x14ac:dyDescent="0.2">
      <c r="D3678" s="6"/>
      <c r="H3678" s="6">
        <v>42394.951620370368</v>
      </c>
    </row>
    <row r="3679" spans="4:8" x14ac:dyDescent="0.2">
      <c r="D3679" s="6"/>
      <c r="H3679" s="6">
        <v>42394.951620370368</v>
      </c>
    </row>
    <row r="3680" spans="4:8" x14ac:dyDescent="0.2">
      <c r="D3680" s="6"/>
      <c r="H3680" s="6">
        <v>42394.951620370368</v>
      </c>
    </row>
    <row r="3681" spans="4:8" x14ac:dyDescent="0.2">
      <c r="D3681" s="6"/>
      <c r="H3681" s="6">
        <v>42394.951620370368</v>
      </c>
    </row>
    <row r="3682" spans="4:8" x14ac:dyDescent="0.2">
      <c r="D3682" s="6"/>
      <c r="H3682" s="6">
        <v>42394.951620370368</v>
      </c>
    </row>
    <row r="3683" spans="4:8" x14ac:dyDescent="0.2">
      <c r="D3683" s="6"/>
      <c r="H3683" s="6">
        <v>42394.951620370368</v>
      </c>
    </row>
    <row r="3684" spans="4:8" x14ac:dyDescent="0.2">
      <c r="D3684" s="6"/>
      <c r="H3684" s="6">
        <v>42394.951620370368</v>
      </c>
    </row>
    <row r="3685" spans="4:8" x14ac:dyDescent="0.2">
      <c r="D3685" s="6"/>
      <c r="H3685" s="6">
        <v>42394.951643518521</v>
      </c>
    </row>
    <row r="3686" spans="4:8" x14ac:dyDescent="0.2">
      <c r="D3686" s="6"/>
      <c r="H3686" s="6">
        <v>42394.951620370368</v>
      </c>
    </row>
    <row r="3687" spans="4:8" x14ac:dyDescent="0.2">
      <c r="D3687" s="6"/>
      <c r="H3687" s="6">
        <v>42394.951643518521</v>
      </c>
    </row>
    <row r="3688" spans="4:8" x14ac:dyDescent="0.2">
      <c r="D3688" s="6"/>
      <c r="H3688" s="6">
        <v>42394.951643518521</v>
      </c>
    </row>
    <row r="3689" spans="4:8" x14ac:dyDescent="0.2">
      <c r="D3689" s="6"/>
      <c r="H3689" s="6">
        <v>42394.951643518521</v>
      </c>
    </row>
    <row r="3690" spans="4:8" x14ac:dyDescent="0.2">
      <c r="D3690" s="6"/>
      <c r="H3690" s="6">
        <v>42394.951643518521</v>
      </c>
    </row>
    <row r="3691" spans="4:8" x14ac:dyDescent="0.2">
      <c r="D3691" s="6"/>
      <c r="H3691" s="6">
        <v>42394.951620370368</v>
      </c>
    </row>
    <row r="3692" spans="4:8" x14ac:dyDescent="0.2">
      <c r="D3692" s="6"/>
      <c r="H3692" s="6">
        <v>42394.951643518521</v>
      </c>
    </row>
    <row r="3693" spans="4:8" x14ac:dyDescent="0.2">
      <c r="D3693" s="6"/>
      <c r="H3693" s="6">
        <v>42394.951643518521</v>
      </c>
    </row>
    <row r="3694" spans="4:8" x14ac:dyDescent="0.2">
      <c r="D3694" s="6"/>
      <c r="H3694" s="6">
        <v>42394.951643518521</v>
      </c>
    </row>
    <row r="3695" spans="4:8" x14ac:dyDescent="0.2">
      <c r="D3695" s="6"/>
      <c r="H3695" s="6">
        <v>42394.951620370368</v>
      </c>
    </row>
    <row r="3696" spans="4:8" x14ac:dyDescent="0.2">
      <c r="D3696" s="6"/>
      <c r="H3696" s="6">
        <v>42394.951643518521</v>
      </c>
    </row>
    <row r="3697" spans="4:8" x14ac:dyDescent="0.2">
      <c r="D3697" s="6"/>
      <c r="H3697" s="6">
        <v>42394.951620370368</v>
      </c>
    </row>
    <row r="3698" spans="4:8" x14ac:dyDescent="0.2">
      <c r="D3698" s="6"/>
      <c r="H3698" s="6">
        <v>42394.951643518521</v>
      </c>
    </row>
    <row r="3699" spans="4:8" x14ac:dyDescent="0.2">
      <c r="D3699" s="6"/>
      <c r="H3699" s="6">
        <v>42394.951643518521</v>
      </c>
    </row>
    <row r="3700" spans="4:8" x14ac:dyDescent="0.2">
      <c r="D3700" s="6"/>
      <c r="H3700" s="6">
        <v>42394.951643518521</v>
      </c>
    </row>
    <row r="3701" spans="4:8" x14ac:dyDescent="0.2">
      <c r="D3701" s="6"/>
      <c r="H3701" s="6">
        <v>42394.951620370368</v>
      </c>
    </row>
    <row r="3702" spans="4:8" x14ac:dyDescent="0.2">
      <c r="D3702" s="6"/>
      <c r="H3702" s="6">
        <v>42394.951643518521</v>
      </c>
    </row>
    <row r="3703" spans="4:8" x14ac:dyDescent="0.2">
      <c r="D3703" s="6"/>
      <c r="H3703" s="6">
        <v>42394.951643518521</v>
      </c>
    </row>
    <row r="3704" spans="4:8" x14ac:dyDescent="0.2">
      <c r="D3704" s="6"/>
      <c r="H3704" s="6">
        <v>42394.951643518521</v>
      </c>
    </row>
    <row r="3705" spans="4:8" x14ac:dyDescent="0.2">
      <c r="D3705" s="6"/>
      <c r="H3705" s="6">
        <v>42394.951620370368</v>
      </c>
    </row>
    <row r="3706" spans="4:8" x14ac:dyDescent="0.2">
      <c r="D3706" s="6"/>
      <c r="H3706" s="6">
        <v>42394.951643518521</v>
      </c>
    </row>
    <row r="3707" spans="4:8" x14ac:dyDescent="0.2">
      <c r="D3707" s="6"/>
      <c r="H3707" s="6">
        <v>42394.951643518521</v>
      </c>
    </row>
    <row r="3708" spans="4:8" x14ac:dyDescent="0.2">
      <c r="D3708" s="6"/>
      <c r="H3708" s="6">
        <v>42394.951643518521</v>
      </c>
    </row>
    <row r="3709" spans="4:8" x14ac:dyDescent="0.2">
      <c r="D3709" s="6"/>
      <c r="H3709" s="6">
        <v>42394.951643518521</v>
      </c>
    </row>
    <row r="3710" spans="4:8" x14ac:dyDescent="0.2">
      <c r="D3710" s="6"/>
      <c r="H3710" s="6">
        <v>42394.951643518521</v>
      </c>
    </row>
    <row r="3711" spans="4:8" x14ac:dyDescent="0.2">
      <c r="D3711" s="6"/>
      <c r="H3711" s="6">
        <v>42394.951643518521</v>
      </c>
    </row>
    <row r="3712" spans="4:8" x14ac:dyDescent="0.2">
      <c r="D3712" s="6"/>
      <c r="H3712" s="6">
        <v>42394.951643518521</v>
      </c>
    </row>
    <row r="3713" spans="4:8" x14ac:dyDescent="0.2">
      <c r="D3713" s="6"/>
      <c r="H3713" s="6">
        <v>42394.951643518521</v>
      </c>
    </row>
    <row r="3714" spans="4:8" x14ac:dyDescent="0.2">
      <c r="D3714" s="6"/>
      <c r="H3714" s="6">
        <v>42394.951643518521</v>
      </c>
    </row>
    <row r="3715" spans="4:8" x14ac:dyDescent="0.2">
      <c r="D3715" s="6"/>
      <c r="H3715" s="6">
        <v>42394.951643518521</v>
      </c>
    </row>
    <row r="3716" spans="4:8" x14ac:dyDescent="0.2">
      <c r="D3716" s="6"/>
      <c r="H3716" s="6">
        <v>42394.951643518521</v>
      </c>
    </row>
    <row r="3717" spans="4:8" x14ac:dyDescent="0.2">
      <c r="D3717" s="6"/>
      <c r="H3717" s="6">
        <v>42394.951620370368</v>
      </c>
    </row>
    <row r="3718" spans="4:8" x14ac:dyDescent="0.2">
      <c r="D3718" s="6"/>
      <c r="H3718" s="6">
        <v>42394.951643518521</v>
      </c>
    </row>
    <row r="3719" spans="4:8" x14ac:dyDescent="0.2">
      <c r="D3719" s="6"/>
      <c r="H3719" s="6">
        <v>42394.951643518521</v>
      </c>
    </row>
    <row r="3720" spans="4:8" x14ac:dyDescent="0.2">
      <c r="D3720" s="6"/>
      <c r="H3720" s="6">
        <v>42394.951643518521</v>
      </c>
    </row>
    <row r="3721" spans="4:8" x14ac:dyDescent="0.2">
      <c r="D3721" s="6"/>
      <c r="H3721" s="6">
        <v>42394.951643518521</v>
      </c>
    </row>
    <row r="3722" spans="4:8" x14ac:dyDescent="0.2">
      <c r="D3722" s="6"/>
      <c r="H3722" s="6">
        <v>42394.951643518521</v>
      </c>
    </row>
    <row r="3723" spans="4:8" x14ac:dyDescent="0.2">
      <c r="D3723" s="6"/>
      <c r="H3723" s="6">
        <v>42394.951643518521</v>
      </c>
    </row>
    <row r="3724" spans="4:8" x14ac:dyDescent="0.2">
      <c r="D3724" s="6"/>
      <c r="H3724" s="6">
        <v>42394.951643518521</v>
      </c>
    </row>
    <row r="3725" spans="4:8" x14ac:dyDescent="0.2">
      <c r="D3725" s="6"/>
      <c r="H3725" s="6">
        <v>42394.951643518521</v>
      </c>
    </row>
    <row r="3726" spans="4:8" x14ac:dyDescent="0.2">
      <c r="D3726" s="6"/>
      <c r="H3726" s="6">
        <v>42394.951643518521</v>
      </c>
    </row>
    <row r="3727" spans="4:8" x14ac:dyDescent="0.2">
      <c r="D3727" s="6"/>
      <c r="H3727" s="6">
        <v>42394.951643518521</v>
      </c>
    </row>
    <row r="3728" spans="4:8" x14ac:dyDescent="0.2">
      <c r="D3728" s="6"/>
      <c r="H3728" s="6">
        <v>42394.951666666668</v>
      </c>
    </row>
    <row r="3729" spans="4:8" x14ac:dyDescent="0.2">
      <c r="D3729" s="6"/>
      <c r="H3729" s="6">
        <v>42394.951643518521</v>
      </c>
    </row>
    <row r="3730" spans="4:8" x14ac:dyDescent="0.2">
      <c r="D3730" s="6"/>
      <c r="H3730" s="6">
        <v>42394.951666666668</v>
      </c>
    </row>
    <row r="3731" spans="4:8" x14ac:dyDescent="0.2">
      <c r="D3731" s="6"/>
      <c r="H3731" s="6">
        <v>42394.951666666668</v>
      </c>
    </row>
    <row r="3732" spans="4:8" x14ac:dyDescent="0.2">
      <c r="D3732" s="6"/>
      <c r="H3732" s="6">
        <v>42394.951666666668</v>
      </c>
    </row>
    <row r="3733" spans="4:8" x14ac:dyDescent="0.2">
      <c r="D3733" s="6"/>
      <c r="H3733" s="6">
        <v>42394.951643518521</v>
      </c>
    </row>
    <row r="3734" spans="4:8" x14ac:dyDescent="0.2">
      <c r="D3734" s="6"/>
      <c r="H3734" s="6">
        <v>42394.951666666668</v>
      </c>
    </row>
    <row r="3735" spans="4:8" x14ac:dyDescent="0.2">
      <c r="D3735" s="6"/>
      <c r="H3735" s="6">
        <v>42097.784097222226</v>
      </c>
    </row>
    <row r="3736" spans="4:8" x14ac:dyDescent="0.2">
      <c r="D3736" s="6"/>
      <c r="H3736" s="6">
        <v>42121.731689814813</v>
      </c>
    </row>
    <row r="3737" spans="4:8" x14ac:dyDescent="0.2">
      <c r="D3737" s="6"/>
      <c r="H3737" s="6">
        <v>42121.731319444443</v>
      </c>
    </row>
    <row r="3738" spans="4:8" x14ac:dyDescent="0.2">
      <c r="D3738" s="6"/>
      <c r="H3738" s="6">
        <v>42121.731041666666</v>
      </c>
    </row>
    <row r="3739" spans="4:8" x14ac:dyDescent="0.2">
      <c r="D3739" s="6"/>
      <c r="H3739" s="6">
        <v>42097.784097222226</v>
      </c>
    </row>
    <row r="3740" spans="4:8" x14ac:dyDescent="0.2">
      <c r="D3740" s="6"/>
      <c r="H3740" s="6">
        <v>42097.784074074072</v>
      </c>
    </row>
    <row r="3741" spans="4:8" x14ac:dyDescent="0.2">
      <c r="D3741" s="6"/>
      <c r="H3741" s="6">
        <v>42097.784074074072</v>
      </c>
    </row>
    <row r="3742" spans="4:8" x14ac:dyDescent="0.2">
      <c r="D3742" s="6"/>
      <c r="H3742" s="6">
        <v>42121.732083333336</v>
      </c>
    </row>
    <row r="3743" spans="4:8" x14ac:dyDescent="0.2">
      <c r="D3743" s="6"/>
      <c r="H3743" s="6">
        <v>42121.732314814813</v>
      </c>
    </row>
    <row r="3744" spans="4:8" x14ac:dyDescent="0.2">
      <c r="D3744" s="6"/>
      <c r="H3744" s="6">
        <v>42121.732615740744</v>
      </c>
    </row>
    <row r="3745" spans="4:8" x14ac:dyDescent="0.2">
      <c r="D3745" s="6"/>
      <c r="H3745" s="6">
        <v>42121.732361111113</v>
      </c>
    </row>
    <row r="3746" spans="4:8" x14ac:dyDescent="0.2">
      <c r="D3746" s="6"/>
      <c r="H3746" s="6">
        <v>42097.784074074072</v>
      </c>
    </row>
    <row r="3747" spans="4:8" x14ac:dyDescent="0.2">
      <c r="D3747" s="6"/>
      <c r="H3747" s="6">
        <v>42153.626666666663</v>
      </c>
    </row>
    <row r="3748" spans="4:8" x14ac:dyDescent="0.2">
      <c r="D3748" s="6"/>
      <c r="H3748" s="6">
        <v>42153.626666666663</v>
      </c>
    </row>
    <row r="3749" spans="4:8" x14ac:dyDescent="0.2">
      <c r="D3749" s="6"/>
      <c r="H3749" s="6">
        <v>42153.626666666663</v>
      </c>
    </row>
    <row r="3750" spans="4:8" x14ac:dyDescent="0.2">
      <c r="D3750" s="6"/>
      <c r="H3750" s="6">
        <v>42153.626666666663</v>
      </c>
    </row>
    <row r="3751" spans="4:8" x14ac:dyDescent="0.2">
      <c r="D3751" s="6"/>
      <c r="H3751" s="6">
        <v>42153.626666666663</v>
      </c>
    </row>
    <row r="3752" spans="4:8" x14ac:dyDescent="0.2">
      <c r="D3752" s="6"/>
      <c r="H3752" s="6">
        <v>42153.626666666663</v>
      </c>
    </row>
    <row r="3753" spans="4:8" x14ac:dyDescent="0.2">
      <c r="D3753" s="6"/>
      <c r="H3753" s="6">
        <v>42097.784282407411</v>
      </c>
    </row>
    <row r="3754" spans="4:8" x14ac:dyDescent="0.2">
      <c r="D3754" s="6"/>
      <c r="H3754" s="6">
        <v>42097.784305555557</v>
      </c>
    </row>
    <row r="3755" spans="4:8" x14ac:dyDescent="0.2">
      <c r="D3755" s="6"/>
      <c r="H3755" s="6">
        <v>42097.784305555557</v>
      </c>
    </row>
    <row r="3756" spans="4:8" x14ac:dyDescent="0.2">
      <c r="D3756" s="6"/>
      <c r="H3756" s="6">
        <v>42121.733842592592</v>
      </c>
    </row>
    <row r="3757" spans="4:8" x14ac:dyDescent="0.2">
      <c r="D3757" s="6"/>
      <c r="H3757" s="6">
        <v>42097.784305555557</v>
      </c>
    </row>
    <row r="3758" spans="4:8" x14ac:dyDescent="0.2">
      <c r="D3758" s="6"/>
      <c r="H3758" s="6">
        <v>42097.784305555557</v>
      </c>
    </row>
    <row r="3759" spans="4:8" x14ac:dyDescent="0.2">
      <c r="D3759" s="6"/>
      <c r="H3759" s="6">
        <v>42097.784305555557</v>
      </c>
    </row>
    <row r="3760" spans="4:8" x14ac:dyDescent="0.2">
      <c r="D3760" s="6"/>
      <c r="H3760" s="6">
        <v>42097.784282407411</v>
      </c>
    </row>
    <row r="3761" spans="4:8" x14ac:dyDescent="0.2">
      <c r="D3761" s="6"/>
      <c r="H3761" s="6">
        <v>42097.784305555557</v>
      </c>
    </row>
    <row r="3762" spans="4:8" x14ac:dyDescent="0.2">
      <c r="D3762" s="6"/>
      <c r="H3762" s="6">
        <v>42097.784305555557</v>
      </c>
    </row>
    <row r="3763" spans="4:8" x14ac:dyDescent="0.2">
      <c r="D3763" s="6"/>
      <c r="H3763" s="6">
        <v>42121.733310185184</v>
      </c>
    </row>
    <row r="3764" spans="4:8" x14ac:dyDescent="0.2">
      <c r="D3764" s="6"/>
      <c r="H3764" s="6">
        <v>42097.784305555557</v>
      </c>
    </row>
    <row r="3765" spans="4:8" x14ac:dyDescent="0.2">
      <c r="D3765" s="6"/>
      <c r="H3765" s="6">
        <v>42121.733055555553</v>
      </c>
    </row>
    <row r="3766" spans="4:8" x14ac:dyDescent="0.2">
      <c r="D3766" s="6"/>
      <c r="H3766" s="6">
        <v>42097.784305555557</v>
      </c>
    </row>
    <row r="3767" spans="4:8" x14ac:dyDescent="0.2">
      <c r="D3767" s="6"/>
      <c r="H3767" s="6">
        <v>42097.784305555557</v>
      </c>
    </row>
    <row r="3768" spans="4:8" x14ac:dyDescent="0.2">
      <c r="D3768" s="6"/>
      <c r="H3768" s="6">
        <v>42097.784305555557</v>
      </c>
    </row>
    <row r="3769" spans="4:8" x14ac:dyDescent="0.2">
      <c r="D3769" s="6"/>
      <c r="H3769" s="6">
        <v>42097.784328703703</v>
      </c>
    </row>
    <row r="3770" spans="4:8" x14ac:dyDescent="0.2">
      <c r="D3770" s="6"/>
      <c r="H3770" s="6">
        <v>42097.784305555557</v>
      </c>
    </row>
    <row r="3771" spans="4:8" x14ac:dyDescent="0.2">
      <c r="D3771" s="6"/>
      <c r="H3771" s="6">
        <v>42097.784305555557</v>
      </c>
    </row>
    <row r="3772" spans="4:8" x14ac:dyDescent="0.2">
      <c r="D3772" s="6"/>
      <c r="H3772" s="6">
        <v>42097.784305555557</v>
      </c>
    </row>
    <row r="3773" spans="4:8" x14ac:dyDescent="0.2">
      <c r="D3773" s="6"/>
      <c r="H3773" s="6">
        <v>42121.744976851849</v>
      </c>
    </row>
    <row r="3774" spans="4:8" x14ac:dyDescent="0.2">
      <c r="D3774" s="6"/>
      <c r="H3774" s="6">
        <v>42121.745648148149</v>
      </c>
    </row>
    <row r="3775" spans="4:8" x14ac:dyDescent="0.2">
      <c r="D3775" s="6"/>
      <c r="H3775" s="6">
        <v>42121.745439814818</v>
      </c>
    </row>
    <row r="3776" spans="4:8" x14ac:dyDescent="0.2">
      <c r="D3776" s="6"/>
      <c r="H3776" s="6">
        <v>42121.745185185187</v>
      </c>
    </row>
    <row r="3777" spans="4:8" x14ac:dyDescent="0.2">
      <c r="D3777" s="6"/>
      <c r="H3777" s="6">
        <v>42121.744328703702</v>
      </c>
    </row>
    <row r="3778" spans="4:8" x14ac:dyDescent="0.2">
      <c r="D3778" s="6"/>
      <c r="H3778" s="6">
        <v>42136.415763888886</v>
      </c>
    </row>
    <row r="3779" spans="4:8" x14ac:dyDescent="0.2">
      <c r="D3779" s="6"/>
      <c r="H3779" s="6">
        <v>42136.415763888886</v>
      </c>
    </row>
    <row r="3780" spans="4:8" x14ac:dyDescent="0.2">
      <c r="D3780" s="6"/>
      <c r="H3780" s="6">
        <v>42136.415763888886</v>
      </c>
    </row>
    <row r="3781" spans="4:8" x14ac:dyDescent="0.2">
      <c r="D3781" s="6"/>
      <c r="H3781" s="6">
        <v>42136.416828703703</v>
      </c>
    </row>
    <row r="3782" spans="4:8" x14ac:dyDescent="0.2">
      <c r="D3782" s="6"/>
      <c r="H3782" s="6">
        <v>42136.416828703703</v>
      </c>
    </row>
    <row r="3783" spans="4:8" x14ac:dyDescent="0.2">
      <c r="D3783" s="6"/>
      <c r="H3783" s="6">
        <v>42136.416828703703</v>
      </c>
    </row>
    <row r="3784" spans="4:8" x14ac:dyDescent="0.2">
      <c r="D3784" s="6"/>
      <c r="H3784" s="6">
        <v>42136.416828703703</v>
      </c>
    </row>
    <row r="3785" spans="4:8" x14ac:dyDescent="0.2">
      <c r="D3785" s="6"/>
      <c r="H3785" s="6">
        <v>42121.74763888889</v>
      </c>
    </row>
    <row r="3786" spans="4:8" x14ac:dyDescent="0.2">
      <c r="D3786" s="6"/>
      <c r="H3786" s="6">
        <v>42121.746481481481</v>
      </c>
    </row>
    <row r="3787" spans="4:8" x14ac:dyDescent="0.2">
      <c r="D3787" s="6"/>
      <c r="H3787" s="6">
        <v>42121.746990740743</v>
      </c>
    </row>
    <row r="3788" spans="4:8" x14ac:dyDescent="0.2">
      <c r="D3788" s="6"/>
      <c r="H3788" s="6">
        <v>42146.394733796296</v>
      </c>
    </row>
    <row r="3789" spans="4:8" x14ac:dyDescent="0.2">
      <c r="D3789" s="6"/>
      <c r="H3789" s="6">
        <v>42157.605752314812</v>
      </c>
    </row>
    <row r="3790" spans="4:8" x14ac:dyDescent="0.2">
      <c r="D3790" s="6"/>
      <c r="H3790" s="6">
        <v>42131.358912037038</v>
      </c>
    </row>
    <row r="3791" spans="4:8" x14ac:dyDescent="0.2">
      <c r="D3791" s="6"/>
      <c r="H3791" s="6">
        <v>42111.675405092596</v>
      </c>
    </row>
    <row r="3792" spans="4:8" x14ac:dyDescent="0.2">
      <c r="D3792" s="6"/>
      <c r="H3792" s="6">
        <v>42111.679606481484</v>
      </c>
    </row>
    <row r="3793" spans="4:8" x14ac:dyDescent="0.2">
      <c r="D3793" s="6"/>
      <c r="H3793" s="6">
        <v>42187.587164351855</v>
      </c>
    </row>
    <row r="3794" spans="4:8" x14ac:dyDescent="0.2">
      <c r="D3794" s="6"/>
      <c r="H3794" s="6">
        <v>42146.392523148148</v>
      </c>
    </row>
    <row r="3795" spans="4:8" x14ac:dyDescent="0.2">
      <c r="D3795" s="6"/>
      <c r="H3795" s="6">
        <v>42233.46601851852</v>
      </c>
    </row>
    <row r="3796" spans="4:8" x14ac:dyDescent="0.2">
      <c r="D3796" s="6"/>
      <c r="H3796" s="6">
        <v>42375.358726851853</v>
      </c>
    </row>
    <row r="3797" spans="4:8" x14ac:dyDescent="0.2">
      <c r="D3797" s="6"/>
      <c r="H3797" s="6">
        <v>42405.749976851854</v>
      </c>
    </row>
    <row r="3798" spans="4:8" x14ac:dyDescent="0.2">
      <c r="D3798" s="6"/>
      <c r="H3798" s="6">
        <v>42262.507870370369</v>
      </c>
    </row>
    <row r="3799" spans="4:8" x14ac:dyDescent="0.2">
      <c r="D3799" s="6"/>
      <c r="H3799" s="6">
        <v>42262.390173611115</v>
      </c>
    </row>
    <row r="3800" spans="4:8" x14ac:dyDescent="0.2">
      <c r="D3800" s="6"/>
      <c r="H3800" s="6">
        <v>42230.733599537038</v>
      </c>
    </row>
    <row r="3801" spans="4:8" x14ac:dyDescent="0.2">
      <c r="D3801" s="6"/>
      <c r="H3801" s="6">
        <v>42187.497662037036</v>
      </c>
    </row>
    <row r="3802" spans="4:8" x14ac:dyDescent="0.2">
      <c r="D3802" s="6"/>
      <c r="H3802" s="6">
        <v>42193.681180555555</v>
      </c>
    </row>
    <row r="3803" spans="4:8" x14ac:dyDescent="0.2">
      <c r="D3803" s="6"/>
      <c r="H3803" s="6">
        <v>42193.681539351855</v>
      </c>
    </row>
    <row r="3804" spans="4:8" x14ac:dyDescent="0.2">
      <c r="D3804" s="6"/>
      <c r="H3804" s="6">
        <v>42193.681643518517</v>
      </c>
    </row>
    <row r="3805" spans="4:8" x14ac:dyDescent="0.2">
      <c r="D3805" s="6"/>
      <c r="H3805" s="6">
        <v>42193.681793981479</v>
      </c>
    </row>
    <row r="3806" spans="4:8" x14ac:dyDescent="0.2">
      <c r="D3806" s="6"/>
      <c r="H3806" s="6">
        <v>42193.681909722225</v>
      </c>
    </row>
    <row r="3807" spans="4:8" x14ac:dyDescent="0.2">
      <c r="D3807" s="6"/>
      <c r="H3807" s="6">
        <v>42193.682060185187</v>
      </c>
    </row>
    <row r="3808" spans="4:8" x14ac:dyDescent="0.2">
      <c r="D3808" s="6"/>
      <c r="H3808" s="6">
        <v>42193.682175925926</v>
      </c>
    </row>
    <row r="3809" spans="4:8" x14ac:dyDescent="0.2">
      <c r="D3809" s="6"/>
      <c r="H3809" s="6">
        <v>42193.682511574072</v>
      </c>
    </row>
    <row r="3810" spans="4:8" x14ac:dyDescent="0.2">
      <c r="D3810" s="6"/>
      <c r="H3810" s="6">
        <v>42193.682719907411</v>
      </c>
    </row>
    <row r="3811" spans="4:8" x14ac:dyDescent="0.2">
      <c r="D3811" s="6"/>
      <c r="H3811" s="6">
        <v>42193.682870370372</v>
      </c>
    </row>
    <row r="3812" spans="4:8" x14ac:dyDescent="0.2">
      <c r="D3812" s="6"/>
      <c r="H3812" s="6">
        <v>42193.683020833334</v>
      </c>
    </row>
    <row r="3813" spans="4:8" x14ac:dyDescent="0.2">
      <c r="D3813" s="6"/>
      <c r="H3813" s="6">
        <v>42194.452187499999</v>
      </c>
    </row>
    <row r="3814" spans="4:8" x14ac:dyDescent="0.2">
      <c r="D3814" s="6"/>
      <c r="H3814" s="6">
        <v>42193.683449074073</v>
      </c>
    </row>
    <row r="3815" spans="4:8" x14ac:dyDescent="0.2">
      <c r="D3815" s="6"/>
      <c r="H3815" s="6">
        <v>42193.683576388888</v>
      </c>
    </row>
    <row r="3816" spans="4:8" x14ac:dyDescent="0.2">
      <c r="D3816" s="6"/>
      <c r="H3816" s="6">
        <v>42194.610821759263</v>
      </c>
    </row>
    <row r="3817" spans="4:8" x14ac:dyDescent="0.2">
      <c r="D3817" s="6"/>
      <c r="H3817" s="6">
        <v>42193.683807870373</v>
      </c>
    </row>
    <row r="3818" spans="4:8" x14ac:dyDescent="0.2">
      <c r="D3818" s="6"/>
      <c r="H3818" s="6">
        <v>42193.683981481481</v>
      </c>
    </row>
    <row r="3819" spans="4:8" x14ac:dyDescent="0.2">
      <c r="D3819" s="6"/>
      <c r="H3819" s="6">
        <v>42193.684108796297</v>
      </c>
    </row>
    <row r="3820" spans="4:8" x14ac:dyDescent="0.2">
      <c r="D3820" s="6"/>
      <c r="H3820" s="6">
        <v>42193.684224537035</v>
      </c>
    </row>
    <row r="3821" spans="4:8" x14ac:dyDescent="0.2">
      <c r="D3821" s="6"/>
      <c r="H3821" s="6">
        <v>42193.68478009259</v>
      </c>
    </row>
    <row r="3822" spans="4:8" x14ac:dyDescent="0.2">
      <c r="D3822" s="6"/>
      <c r="H3822" s="6">
        <v>42194.468888888892</v>
      </c>
    </row>
    <row r="3823" spans="4:8" x14ac:dyDescent="0.2">
      <c r="D3823" s="6"/>
      <c r="H3823" s="6">
        <v>42194.47384259259</v>
      </c>
    </row>
    <row r="3824" spans="4:8" x14ac:dyDescent="0.2">
      <c r="D3824" s="6"/>
      <c r="H3824" s="6">
        <v>42194.456423611111</v>
      </c>
    </row>
    <row r="3825" spans="4:8" x14ac:dyDescent="0.2">
      <c r="D3825" s="6"/>
      <c r="H3825" s="6">
        <v>42194.454872685186</v>
      </c>
    </row>
    <row r="3826" spans="4:8" x14ac:dyDescent="0.2">
      <c r="D3826" s="6"/>
      <c r="H3826" s="6">
        <v>42193.688506944447</v>
      </c>
    </row>
    <row r="3827" spans="4:8" x14ac:dyDescent="0.2">
      <c r="D3827" s="6"/>
      <c r="H3827" s="6">
        <v>42193.688634259262</v>
      </c>
    </row>
    <row r="3828" spans="4:8" x14ac:dyDescent="0.2">
      <c r="D3828" s="6"/>
      <c r="H3828" s="6">
        <v>42193.688923611109</v>
      </c>
    </row>
    <row r="3829" spans="4:8" x14ac:dyDescent="0.2">
      <c r="D3829" s="6"/>
      <c r="H3829" s="6">
        <v>42193.689398148148</v>
      </c>
    </row>
    <row r="3830" spans="4:8" x14ac:dyDescent="0.2">
      <c r="D3830" s="6"/>
      <c r="H3830" s="6">
        <v>42193.689687500002</v>
      </c>
    </row>
    <row r="3831" spans="4:8" x14ac:dyDescent="0.2">
      <c r="D3831" s="6"/>
      <c r="H3831" s="6">
        <v>42194.527824074074</v>
      </c>
    </row>
    <row r="3832" spans="4:8" x14ac:dyDescent="0.2">
      <c r="D3832" s="6"/>
      <c r="H3832" s="6">
        <v>42193.69</v>
      </c>
    </row>
    <row r="3833" spans="4:8" x14ac:dyDescent="0.2">
      <c r="D3833" s="6"/>
      <c r="H3833" s="6">
        <v>42193.690115740741</v>
      </c>
    </row>
    <row r="3834" spans="4:8" x14ac:dyDescent="0.2">
      <c r="D3834" s="6"/>
      <c r="H3834" s="6">
        <v>42193.697337962964</v>
      </c>
    </row>
    <row r="3835" spans="4:8" x14ac:dyDescent="0.2">
      <c r="D3835" s="6"/>
      <c r="H3835" s="6">
        <v>42194.528495370374</v>
      </c>
    </row>
    <row r="3836" spans="4:8" x14ac:dyDescent="0.2">
      <c r="D3836" s="6"/>
      <c r="H3836" s="6">
        <v>42193.690416666665</v>
      </c>
    </row>
    <row r="3837" spans="4:8" x14ac:dyDescent="0.2">
      <c r="D3837" s="6"/>
      <c r="H3837" s="6">
        <v>42193.690555555557</v>
      </c>
    </row>
    <row r="3838" spans="4:8" x14ac:dyDescent="0.2">
      <c r="D3838" s="6"/>
      <c r="H3838" s="6">
        <v>42193.690960648149</v>
      </c>
    </row>
    <row r="3839" spans="4:8" x14ac:dyDescent="0.2">
      <c r="D3839" s="6"/>
      <c r="H3839" s="6">
        <v>42193.691087962965</v>
      </c>
    </row>
    <row r="3840" spans="4:8" x14ac:dyDescent="0.2">
      <c r="D3840" s="6"/>
      <c r="H3840" s="6">
        <v>42193.691250000003</v>
      </c>
    </row>
    <row r="3841" spans="4:8" x14ac:dyDescent="0.2">
      <c r="D3841" s="6"/>
      <c r="H3841" s="6">
        <v>42193.691412037035</v>
      </c>
    </row>
    <row r="3842" spans="4:8" x14ac:dyDescent="0.2">
      <c r="D3842" s="6"/>
      <c r="H3842" s="6">
        <v>42188.385613425926</v>
      </c>
    </row>
    <row r="3843" spans="4:8" x14ac:dyDescent="0.2">
      <c r="D3843" s="6"/>
      <c r="H3843" s="6">
        <v>42188.385613425926</v>
      </c>
    </row>
    <row r="3844" spans="4:8" x14ac:dyDescent="0.2">
      <c r="D3844" s="6"/>
      <c r="H3844" s="6">
        <v>42188.385613425926</v>
      </c>
    </row>
    <row r="3845" spans="4:8" x14ac:dyDescent="0.2">
      <c r="D3845" s="6"/>
      <c r="H3845" s="6">
        <v>42188.386423611111</v>
      </c>
    </row>
    <row r="3846" spans="4:8" x14ac:dyDescent="0.2">
      <c r="D3846" s="6"/>
      <c r="H3846" s="6">
        <v>42193.649282407408</v>
      </c>
    </row>
    <row r="3847" spans="4:8" x14ac:dyDescent="0.2">
      <c r="D3847" s="6"/>
      <c r="H3847" s="6">
        <v>42214.532476851855</v>
      </c>
    </row>
    <row r="3848" spans="4:8" x14ac:dyDescent="0.2">
      <c r="D3848" s="6"/>
      <c r="H3848" s="6">
        <v>42214.532488425924</v>
      </c>
    </row>
    <row r="3849" spans="4:8" x14ac:dyDescent="0.2">
      <c r="D3849" s="6"/>
      <c r="H3849" s="6">
        <v>42214.532488425924</v>
      </c>
    </row>
    <row r="3850" spans="4:8" x14ac:dyDescent="0.2">
      <c r="D3850" s="6"/>
      <c r="H3850" s="6">
        <v>42245.475289351853</v>
      </c>
    </row>
    <row r="3851" spans="4:8" x14ac:dyDescent="0.2">
      <c r="D3851" s="6"/>
      <c r="H3851" s="6">
        <v>42246.286840277775</v>
      </c>
    </row>
    <row r="3852" spans="4:8" x14ac:dyDescent="0.2">
      <c r="D3852" s="6"/>
      <c r="H3852" s="6">
        <v>42405.507870370369</v>
      </c>
    </row>
    <row r="3853" spans="4:8" x14ac:dyDescent="0.2">
      <c r="D3853" s="6"/>
      <c r="H3853" s="6">
        <v>42405.507870370369</v>
      </c>
    </row>
    <row r="3854" spans="4:8" x14ac:dyDescent="0.2">
      <c r="D3854" s="6"/>
      <c r="H3854" s="6">
        <v>42405.507870370369</v>
      </c>
    </row>
    <row r="3855" spans="4:8" x14ac:dyDescent="0.2">
      <c r="D3855" s="6"/>
      <c r="H3855" s="6">
        <v>42405.507881944446</v>
      </c>
    </row>
    <row r="3856" spans="4:8" x14ac:dyDescent="0.2">
      <c r="D3856" s="6"/>
      <c r="H3856" s="6">
        <v>42443.632048611114</v>
      </c>
    </row>
    <row r="3857" spans="4:8" x14ac:dyDescent="0.2">
      <c r="D3857" s="6"/>
      <c r="H3857" s="6">
        <v>42443.647476851853</v>
      </c>
    </row>
    <row r="3858" spans="4:8" x14ac:dyDescent="0.2">
      <c r="D3858" s="6"/>
      <c r="H3858" s="6">
        <v>42246.293564814812</v>
      </c>
    </row>
    <row r="3859" spans="4:8" x14ac:dyDescent="0.2">
      <c r="D3859" s="6"/>
      <c r="H3859" s="6">
        <v>42246.293541666666</v>
      </c>
    </row>
    <row r="3860" spans="4:8" x14ac:dyDescent="0.2">
      <c r="D3860" s="6"/>
      <c r="H3860" s="6">
        <v>42214.533379629633</v>
      </c>
    </row>
    <row r="3861" spans="4:8" x14ac:dyDescent="0.2">
      <c r="D3861" s="6"/>
      <c r="H3861" s="6">
        <v>42214.533379629633</v>
      </c>
    </row>
    <row r="3862" spans="4:8" x14ac:dyDescent="0.2">
      <c r="D3862" s="6"/>
      <c r="H3862" s="6">
        <v>42214.533379629633</v>
      </c>
    </row>
    <row r="3863" spans="4:8" x14ac:dyDescent="0.2">
      <c r="D3863" s="6"/>
      <c r="H3863" s="6">
        <v>42214.533391203702</v>
      </c>
    </row>
    <row r="3864" spans="4:8" x14ac:dyDescent="0.2">
      <c r="D3864" s="6"/>
      <c r="H3864" s="6">
        <v>42380.456689814811</v>
      </c>
    </row>
    <row r="3865" spans="4:8" x14ac:dyDescent="0.2">
      <c r="D3865" s="6"/>
      <c r="H3865" s="6">
        <v>42135.35769675926</v>
      </c>
    </row>
    <row r="3866" spans="4:8" x14ac:dyDescent="0.2">
      <c r="D3866" s="6"/>
      <c r="H3866" s="6">
        <v>42149.560358796298</v>
      </c>
    </row>
    <row r="3867" spans="4:8" x14ac:dyDescent="0.2">
      <c r="D3867" s="6"/>
      <c r="H3867" s="6">
        <v>42130.602430555555</v>
      </c>
    </row>
    <row r="3868" spans="4:8" x14ac:dyDescent="0.2">
      <c r="D3868" s="6"/>
      <c r="H3868" s="6">
        <v>42187.588819444441</v>
      </c>
    </row>
    <row r="3869" spans="4:8" x14ac:dyDescent="0.2">
      <c r="D3869" s="6"/>
      <c r="H3869" s="6">
        <v>42187.588819444441</v>
      </c>
    </row>
    <row r="3870" spans="4:8" x14ac:dyDescent="0.2">
      <c r="D3870" s="6"/>
      <c r="H3870" s="6">
        <v>42341.377280092594</v>
      </c>
    </row>
    <row r="3871" spans="4:8" x14ac:dyDescent="0.2">
      <c r="D3871" s="6"/>
      <c r="H3871" s="6">
        <v>42187.581909722219</v>
      </c>
    </row>
    <row r="3872" spans="4:8" x14ac:dyDescent="0.2">
      <c r="D3872" s="6"/>
      <c r="H3872" s="6">
        <v>42193.68141203704</v>
      </c>
    </row>
    <row r="3873" spans="4:8" x14ac:dyDescent="0.2">
      <c r="D3873" s="6"/>
      <c r="H3873" s="6">
        <v>42341.375567129631</v>
      </c>
    </row>
    <row r="3874" spans="4:8" x14ac:dyDescent="0.2">
      <c r="D3874" s="6"/>
      <c r="H3874" s="6">
        <v>42187.588819444441</v>
      </c>
    </row>
    <row r="3875" spans="4:8" x14ac:dyDescent="0.2">
      <c r="D3875" s="6"/>
      <c r="H3875" s="6">
        <v>42122.712384259263</v>
      </c>
    </row>
    <row r="3876" spans="4:8" x14ac:dyDescent="0.2">
      <c r="D3876" s="6"/>
      <c r="H3876" s="6">
        <v>42122.712199074071</v>
      </c>
    </row>
    <row r="3877" spans="4:8" x14ac:dyDescent="0.2">
      <c r="D3877" s="6"/>
      <c r="H3877" s="6">
        <v>42097.851759259262</v>
      </c>
    </row>
    <row r="3878" spans="4:8" x14ac:dyDescent="0.2">
      <c r="D3878" s="6"/>
      <c r="H3878" s="6">
        <v>42136.372175925928</v>
      </c>
    </row>
    <row r="3879" spans="4:8" x14ac:dyDescent="0.2">
      <c r="D3879" s="6"/>
      <c r="H3879" s="6">
        <v>42136.372175925928</v>
      </c>
    </row>
    <row r="3880" spans="4:8" x14ac:dyDescent="0.2">
      <c r="D3880" s="6"/>
      <c r="H3880" s="6">
        <v>42136.372175925928</v>
      </c>
    </row>
    <row r="3881" spans="4:8" x14ac:dyDescent="0.2">
      <c r="D3881" s="6"/>
      <c r="H3881" s="6">
        <v>42136.372175925928</v>
      </c>
    </row>
    <row r="3882" spans="4:8" x14ac:dyDescent="0.2">
      <c r="D3882" s="6"/>
      <c r="H3882" s="6">
        <v>42136.372175925928</v>
      </c>
    </row>
    <row r="3883" spans="4:8" x14ac:dyDescent="0.2">
      <c r="D3883" s="6"/>
      <c r="H3883" s="6">
        <v>42149.354097222225</v>
      </c>
    </row>
    <row r="3884" spans="4:8" x14ac:dyDescent="0.2">
      <c r="D3884" s="6"/>
      <c r="H3884" s="6">
        <v>42149.560497685183</v>
      </c>
    </row>
    <row r="3885" spans="4:8" x14ac:dyDescent="0.2">
      <c r="D3885" s="6"/>
      <c r="H3885" s="6">
        <v>42187.590752314813</v>
      </c>
    </row>
    <row r="3886" spans="4:8" x14ac:dyDescent="0.2">
      <c r="D3886" s="6"/>
      <c r="H3886" s="6">
        <v>42187.590752314813</v>
      </c>
    </row>
    <row r="3887" spans="4:8" x14ac:dyDescent="0.2">
      <c r="D3887" s="6"/>
      <c r="H3887" s="6">
        <v>42187.590011574073</v>
      </c>
    </row>
    <row r="3888" spans="4:8" x14ac:dyDescent="0.2">
      <c r="D3888" s="6"/>
      <c r="H3888" s="6">
        <v>42193.642500000002</v>
      </c>
    </row>
    <row r="3889" spans="4:8" x14ac:dyDescent="0.2">
      <c r="D3889" s="6"/>
      <c r="H3889" s="6">
        <v>42135.35769675926</v>
      </c>
    </row>
    <row r="3890" spans="4:8" x14ac:dyDescent="0.2">
      <c r="D3890" s="6"/>
      <c r="H3890" s="6">
        <v>42149.560624999998</v>
      </c>
    </row>
    <row r="3891" spans="4:8" x14ac:dyDescent="0.2">
      <c r="D3891" s="6"/>
      <c r="H3891" s="6">
        <v>42130.616944444446</v>
      </c>
    </row>
    <row r="3892" spans="4:8" x14ac:dyDescent="0.2">
      <c r="D3892" s="6"/>
      <c r="H3892" s="6">
        <v>42187.525451388887</v>
      </c>
    </row>
    <row r="3893" spans="4:8" x14ac:dyDescent="0.2">
      <c r="D3893" s="6"/>
      <c r="H3893" s="6">
        <v>42187.525451388887</v>
      </c>
    </row>
    <row r="3894" spans="4:8" x14ac:dyDescent="0.2">
      <c r="D3894" s="6"/>
      <c r="H3894" s="6">
        <v>42187.525451388887</v>
      </c>
    </row>
    <row r="3895" spans="4:8" x14ac:dyDescent="0.2">
      <c r="D3895" s="6"/>
      <c r="H3895" s="6">
        <v>42187.593078703707</v>
      </c>
    </row>
    <row r="3896" spans="4:8" x14ac:dyDescent="0.2">
      <c r="D3896" s="6"/>
      <c r="H3896" s="6">
        <v>42193.643067129633</v>
      </c>
    </row>
    <row r="3897" spans="4:8" x14ac:dyDescent="0.2">
      <c r="D3897" s="6"/>
      <c r="H3897" s="6">
        <v>42122.714328703703</v>
      </c>
    </row>
    <row r="3898" spans="4:8" x14ac:dyDescent="0.2">
      <c r="D3898" s="6"/>
      <c r="H3898" s="6">
        <v>42122.715254629627</v>
      </c>
    </row>
    <row r="3899" spans="4:8" x14ac:dyDescent="0.2">
      <c r="D3899" s="6"/>
      <c r="H3899" s="6">
        <v>42097.851782407408</v>
      </c>
    </row>
    <row r="3900" spans="4:8" x14ac:dyDescent="0.2">
      <c r="D3900" s="6"/>
      <c r="H3900" s="6">
        <v>42097.851782407408</v>
      </c>
    </row>
    <row r="3901" spans="4:8" x14ac:dyDescent="0.2">
      <c r="D3901" s="6"/>
      <c r="H3901" s="6">
        <v>42136.373032407406</v>
      </c>
    </row>
    <row r="3902" spans="4:8" x14ac:dyDescent="0.2">
      <c r="D3902" s="6"/>
      <c r="H3902" s="6">
        <v>42136.373032407406</v>
      </c>
    </row>
    <row r="3903" spans="4:8" x14ac:dyDescent="0.2">
      <c r="D3903" s="6"/>
      <c r="H3903" s="6">
        <v>42136.373032407406</v>
      </c>
    </row>
    <row r="3904" spans="4:8" x14ac:dyDescent="0.2">
      <c r="D3904" s="6"/>
      <c r="H3904" s="6">
        <v>42136.373032407406</v>
      </c>
    </row>
    <row r="3905" spans="4:8" x14ac:dyDescent="0.2">
      <c r="D3905" s="6"/>
      <c r="H3905" s="6">
        <v>42149.551805555559</v>
      </c>
    </row>
    <row r="3906" spans="4:8" x14ac:dyDescent="0.2">
      <c r="D3906" s="6"/>
      <c r="H3906" s="6">
        <v>42149.560810185183</v>
      </c>
    </row>
    <row r="3907" spans="4:8" x14ac:dyDescent="0.2">
      <c r="D3907" s="6"/>
      <c r="H3907" s="6">
        <v>42187.525567129633</v>
      </c>
    </row>
    <row r="3908" spans="4:8" x14ac:dyDescent="0.2">
      <c r="D3908" s="6"/>
      <c r="H3908" s="6">
        <v>42187.525567129633</v>
      </c>
    </row>
    <row r="3909" spans="4:8" x14ac:dyDescent="0.2">
      <c r="D3909" s="6"/>
      <c r="H3909" s="6">
        <v>42187.594027777777</v>
      </c>
    </row>
    <row r="3910" spans="4:8" x14ac:dyDescent="0.2">
      <c r="D3910" s="6"/>
      <c r="H3910" s="6">
        <v>42193.643495370372</v>
      </c>
    </row>
    <row r="3911" spans="4:8" x14ac:dyDescent="0.2">
      <c r="D3911" s="6"/>
      <c r="H3911" s="6">
        <v>42136.37395833333</v>
      </c>
    </row>
    <row r="3912" spans="4:8" x14ac:dyDescent="0.2">
      <c r="D3912" s="6"/>
      <c r="H3912" s="6">
        <v>42136.37395833333</v>
      </c>
    </row>
    <row r="3913" spans="4:8" x14ac:dyDescent="0.2">
      <c r="D3913" s="6"/>
      <c r="H3913" s="6">
        <v>42136.37395833333</v>
      </c>
    </row>
    <row r="3914" spans="4:8" x14ac:dyDescent="0.2">
      <c r="D3914" s="6"/>
      <c r="H3914" s="6">
        <v>42136.37395833333</v>
      </c>
    </row>
    <row r="3915" spans="4:8" x14ac:dyDescent="0.2">
      <c r="D3915" s="6"/>
      <c r="H3915" s="6">
        <v>42136.37395833333</v>
      </c>
    </row>
    <row r="3916" spans="4:8" x14ac:dyDescent="0.2">
      <c r="D3916" s="6"/>
      <c r="H3916" s="6">
        <v>42136.37395833333</v>
      </c>
    </row>
    <row r="3917" spans="4:8" x14ac:dyDescent="0.2">
      <c r="D3917" s="6"/>
      <c r="H3917" s="6">
        <v>42136.37395833333</v>
      </c>
    </row>
    <row r="3918" spans="4:8" x14ac:dyDescent="0.2">
      <c r="D3918" s="6"/>
      <c r="H3918" s="6">
        <v>42136.37395833333</v>
      </c>
    </row>
    <row r="3919" spans="4:8" x14ac:dyDescent="0.2">
      <c r="D3919" s="6"/>
      <c r="H3919" s="6">
        <v>42149.551805555559</v>
      </c>
    </row>
    <row r="3920" spans="4:8" x14ac:dyDescent="0.2">
      <c r="D3920" s="6"/>
      <c r="H3920" s="6">
        <v>42149.561006944445</v>
      </c>
    </row>
    <row r="3921" spans="4:8" x14ac:dyDescent="0.2">
      <c r="D3921" s="6"/>
      <c r="H3921" s="6">
        <v>42187.525717592594</v>
      </c>
    </row>
    <row r="3922" spans="4:8" x14ac:dyDescent="0.2">
      <c r="D3922" s="6"/>
      <c r="H3922" s="6">
        <v>42187.525717592594</v>
      </c>
    </row>
    <row r="3923" spans="4:8" x14ac:dyDescent="0.2">
      <c r="D3923" s="6"/>
      <c r="H3923" s="6">
        <v>42187.525717592594</v>
      </c>
    </row>
    <row r="3924" spans="4:8" x14ac:dyDescent="0.2">
      <c r="D3924" s="6"/>
      <c r="H3924" s="6">
        <v>42187.595138888886</v>
      </c>
    </row>
    <row r="3925" spans="4:8" x14ac:dyDescent="0.2">
      <c r="D3925" s="6"/>
      <c r="H3925" s="6">
        <v>42193.64434027778</v>
      </c>
    </row>
    <row r="3926" spans="4:8" x14ac:dyDescent="0.2">
      <c r="D3926" s="6"/>
      <c r="H3926" s="6">
        <v>42130.626585648148</v>
      </c>
    </row>
    <row r="3927" spans="4:8" x14ac:dyDescent="0.2">
      <c r="D3927" s="6"/>
      <c r="H3927" s="6">
        <v>42135.35769675926</v>
      </c>
    </row>
    <row r="3928" spans="4:8" x14ac:dyDescent="0.2">
      <c r="D3928" s="6"/>
      <c r="H3928" s="6">
        <v>42149.561215277776</v>
      </c>
    </row>
    <row r="3929" spans="4:8" x14ac:dyDescent="0.2">
      <c r="D3929" s="6"/>
      <c r="H3929" s="6">
        <v>42187.525856481479</v>
      </c>
    </row>
    <row r="3930" spans="4:8" x14ac:dyDescent="0.2">
      <c r="D3930" s="6"/>
      <c r="H3930" s="6">
        <v>42187.525856481479</v>
      </c>
    </row>
    <row r="3931" spans="4:8" x14ac:dyDescent="0.2">
      <c r="D3931" s="6"/>
      <c r="H3931" s="6">
        <v>42187.595868055556</v>
      </c>
    </row>
    <row r="3932" spans="4:8" x14ac:dyDescent="0.2">
      <c r="D3932" s="6"/>
      <c r="H3932" s="6">
        <v>42193.647847222222</v>
      </c>
    </row>
    <row r="3933" spans="4:8" x14ac:dyDescent="0.2">
      <c r="D3933" s="6"/>
      <c r="H3933" s="6">
        <v>42130.637395833335</v>
      </c>
    </row>
    <row r="3934" spans="4:8" x14ac:dyDescent="0.2">
      <c r="D3934" s="6"/>
      <c r="H3934" s="6">
        <v>42135.35769675926</v>
      </c>
    </row>
    <row r="3935" spans="4:8" x14ac:dyDescent="0.2">
      <c r="D3935" s="6"/>
      <c r="H3935" s="6">
        <v>42149.561481481483</v>
      </c>
    </row>
    <row r="3936" spans="4:8" x14ac:dyDescent="0.2">
      <c r="D3936" s="6"/>
      <c r="H3936" s="6">
        <v>42187.525995370372</v>
      </c>
    </row>
    <row r="3937" spans="4:8" x14ac:dyDescent="0.2">
      <c r="D3937" s="6"/>
      <c r="H3937" s="6">
        <v>42187.525995370372</v>
      </c>
    </row>
    <row r="3938" spans="4:8" x14ac:dyDescent="0.2">
      <c r="D3938" s="6"/>
      <c r="H3938" s="6">
        <v>42187.596504629626</v>
      </c>
    </row>
    <row r="3939" spans="4:8" x14ac:dyDescent="0.2">
      <c r="D3939" s="6"/>
      <c r="H3939" s="6">
        <v>42193.647743055553</v>
      </c>
    </row>
    <row r="3940" spans="4:8" x14ac:dyDescent="0.2">
      <c r="D3940" s="6"/>
      <c r="H3940" s="6">
        <v>42188.385266203702</v>
      </c>
    </row>
    <row r="3941" spans="4:8" x14ac:dyDescent="0.2">
      <c r="D3941" s="6"/>
      <c r="H3941" s="6">
        <v>42188.385266203702</v>
      </c>
    </row>
    <row r="3942" spans="4:8" x14ac:dyDescent="0.2">
      <c r="D3942" s="6"/>
      <c r="H3942" s="6">
        <v>42188.385266203702</v>
      </c>
    </row>
    <row r="3943" spans="4:8" x14ac:dyDescent="0.2">
      <c r="D3943" s="6"/>
      <c r="H3943" s="6">
        <v>42188.385266203702</v>
      </c>
    </row>
    <row r="3944" spans="4:8" x14ac:dyDescent="0.2">
      <c r="D3944" s="6"/>
      <c r="H3944" s="6">
        <v>42187.620833333334</v>
      </c>
    </row>
    <row r="3945" spans="4:8" x14ac:dyDescent="0.2">
      <c r="D3945" s="6"/>
      <c r="H3945" s="6">
        <v>42193.645902777775</v>
      </c>
    </row>
    <row r="3946" spans="4:8" x14ac:dyDescent="0.2">
      <c r="D3946" s="6"/>
      <c r="H3946" s="6">
        <v>42188.425555555557</v>
      </c>
    </row>
    <row r="3947" spans="4:8" x14ac:dyDescent="0.2">
      <c r="D3947" s="6"/>
      <c r="H3947" s="6">
        <v>42188.425555555557</v>
      </c>
    </row>
    <row r="3948" spans="4:8" x14ac:dyDescent="0.2">
      <c r="D3948" s="6"/>
      <c r="H3948" s="6">
        <v>42188.425555555557</v>
      </c>
    </row>
    <row r="3949" spans="4:8" x14ac:dyDescent="0.2">
      <c r="D3949" s="6"/>
      <c r="H3949" s="6">
        <v>42188.425555555557</v>
      </c>
    </row>
    <row r="3950" spans="4:8" x14ac:dyDescent="0.2">
      <c r="D3950" s="6"/>
      <c r="H3950" s="6">
        <v>42187.622499999998</v>
      </c>
    </row>
    <row r="3951" spans="4:8" x14ac:dyDescent="0.2">
      <c r="D3951" s="6"/>
      <c r="H3951" s="6">
        <v>42193.646053240744</v>
      </c>
    </row>
    <row r="3952" spans="4:8" x14ac:dyDescent="0.2">
      <c r="D3952" s="6"/>
      <c r="H3952" s="6">
        <v>42135.35769675926</v>
      </c>
    </row>
    <row r="3953" spans="4:8" x14ac:dyDescent="0.2">
      <c r="D3953" s="6"/>
      <c r="H3953" s="6">
        <v>42149.561620370368</v>
      </c>
    </row>
    <row r="3954" spans="4:8" x14ac:dyDescent="0.2">
      <c r="D3954" s="6"/>
      <c r="H3954" s="6">
        <v>42130.65048611111</v>
      </c>
    </row>
    <row r="3955" spans="4:8" x14ac:dyDescent="0.2">
      <c r="D3955" s="6"/>
      <c r="H3955" s="6">
        <v>42187.526099537034</v>
      </c>
    </row>
    <row r="3956" spans="4:8" x14ac:dyDescent="0.2">
      <c r="D3956" s="6"/>
      <c r="H3956" s="6">
        <v>42187.526099537034</v>
      </c>
    </row>
    <row r="3957" spans="4:8" x14ac:dyDescent="0.2">
      <c r="D3957" s="6"/>
      <c r="H3957" s="6">
        <v>42187.598749999997</v>
      </c>
    </row>
    <row r="3958" spans="4:8" x14ac:dyDescent="0.2">
      <c r="D3958" s="6"/>
      <c r="H3958" s="6">
        <v>42193.647638888891</v>
      </c>
    </row>
    <row r="3959" spans="4:8" x14ac:dyDescent="0.2">
      <c r="D3959" s="6"/>
      <c r="H3959" s="6">
        <v>42130.660312499997</v>
      </c>
    </row>
    <row r="3960" spans="4:8" x14ac:dyDescent="0.2">
      <c r="D3960" s="6"/>
      <c r="H3960" s="6">
        <v>42135.35769675926</v>
      </c>
    </row>
    <row r="3961" spans="4:8" x14ac:dyDescent="0.2">
      <c r="D3961" s="6"/>
      <c r="H3961" s="6">
        <v>42149.56177083333</v>
      </c>
    </row>
    <row r="3962" spans="4:8" x14ac:dyDescent="0.2">
      <c r="D3962" s="6"/>
      <c r="H3962" s="6">
        <v>42187.524780092594</v>
      </c>
    </row>
    <row r="3963" spans="4:8" x14ac:dyDescent="0.2">
      <c r="D3963" s="6"/>
      <c r="H3963" s="6">
        <v>42187.524780092594</v>
      </c>
    </row>
    <row r="3964" spans="4:8" x14ac:dyDescent="0.2">
      <c r="D3964" s="6"/>
      <c r="H3964" s="6">
        <v>42187.61755787037</v>
      </c>
    </row>
    <row r="3965" spans="4:8" x14ac:dyDescent="0.2">
      <c r="D3965" s="6"/>
      <c r="H3965" s="6">
        <v>42194.451956018522</v>
      </c>
    </row>
    <row r="3966" spans="4:8" x14ac:dyDescent="0.2">
      <c r="D3966" s="6"/>
      <c r="H3966" s="6">
        <v>42136.374837962961</v>
      </c>
    </row>
    <row r="3967" spans="4:8" x14ac:dyDescent="0.2">
      <c r="D3967" s="6"/>
      <c r="H3967" s="6">
        <v>42136.374837962961</v>
      </c>
    </row>
    <row r="3968" spans="4:8" x14ac:dyDescent="0.2">
      <c r="D3968" s="6"/>
      <c r="H3968" s="6">
        <v>42136.374837962961</v>
      </c>
    </row>
    <row r="3969" spans="4:8" x14ac:dyDescent="0.2">
      <c r="D3969" s="6"/>
      <c r="H3969" s="6">
        <v>42136.374837962961</v>
      </c>
    </row>
    <row r="3970" spans="4:8" x14ac:dyDescent="0.2">
      <c r="D3970" s="6"/>
      <c r="H3970" s="6">
        <v>42149.551805555559</v>
      </c>
    </row>
    <row r="3971" spans="4:8" x14ac:dyDescent="0.2">
      <c r="D3971" s="6"/>
      <c r="H3971" s="6">
        <v>42149.561898148146</v>
      </c>
    </row>
    <row r="3972" spans="4:8" x14ac:dyDescent="0.2">
      <c r="D3972" s="6"/>
      <c r="H3972" s="6">
        <v>42187.526226851849</v>
      </c>
    </row>
    <row r="3973" spans="4:8" x14ac:dyDescent="0.2">
      <c r="D3973" s="6"/>
      <c r="H3973" s="6">
        <v>42187.526238425926</v>
      </c>
    </row>
    <row r="3974" spans="4:8" x14ac:dyDescent="0.2">
      <c r="D3974" s="6"/>
      <c r="H3974" s="6">
        <v>42187.526238425926</v>
      </c>
    </row>
    <row r="3975" spans="4:8" x14ac:dyDescent="0.2">
      <c r="D3975" s="6"/>
      <c r="H3975" s="6">
        <v>42187.602893518517</v>
      </c>
    </row>
    <row r="3976" spans="4:8" x14ac:dyDescent="0.2">
      <c r="D3976" s="6"/>
      <c r="H3976" s="6">
        <v>42193.647557870368</v>
      </c>
    </row>
    <row r="3977" spans="4:8" x14ac:dyDescent="0.2">
      <c r="D3977" s="6"/>
      <c r="H3977" s="6">
        <v>42188.425844907404</v>
      </c>
    </row>
    <row r="3978" spans="4:8" x14ac:dyDescent="0.2">
      <c r="D3978" s="6"/>
      <c r="H3978" s="6">
        <v>42188.425844907404</v>
      </c>
    </row>
    <row r="3979" spans="4:8" x14ac:dyDescent="0.2">
      <c r="D3979" s="6"/>
      <c r="H3979" s="6">
        <v>42188.425844907404</v>
      </c>
    </row>
    <row r="3980" spans="4:8" x14ac:dyDescent="0.2">
      <c r="D3980" s="6"/>
      <c r="H3980" s="6">
        <v>42188.425844907404</v>
      </c>
    </row>
    <row r="3981" spans="4:8" x14ac:dyDescent="0.2">
      <c r="D3981" s="6"/>
      <c r="H3981" s="6">
        <v>42188.425844907404</v>
      </c>
    </row>
    <row r="3982" spans="4:8" x14ac:dyDescent="0.2">
      <c r="D3982" s="6"/>
      <c r="H3982" s="6">
        <v>42187.624513888892</v>
      </c>
    </row>
    <row r="3983" spans="4:8" x14ac:dyDescent="0.2">
      <c r="D3983" s="6"/>
      <c r="H3983" s="6">
        <v>42193.64576388889</v>
      </c>
    </row>
    <row r="3984" spans="4:8" x14ac:dyDescent="0.2">
      <c r="D3984" s="6"/>
      <c r="H3984" s="6">
        <v>42405.536724537036</v>
      </c>
    </row>
    <row r="3985" spans="4:8" x14ac:dyDescent="0.2">
      <c r="D3985" s="6"/>
      <c r="H3985" s="6">
        <v>42405.637476851851</v>
      </c>
    </row>
    <row r="3986" spans="4:8" x14ac:dyDescent="0.2">
      <c r="D3986" s="6"/>
      <c r="H3986" s="6">
        <v>42405.641064814816</v>
      </c>
    </row>
    <row r="3987" spans="4:8" x14ac:dyDescent="0.2">
      <c r="D3987" s="6"/>
      <c r="H3987" s="6">
        <v>42405.644016203703</v>
      </c>
    </row>
    <row r="3988" spans="4:8" x14ac:dyDescent="0.2">
      <c r="D3988" s="6"/>
      <c r="H3988" s="6">
        <v>42405.644155092596</v>
      </c>
    </row>
    <row r="3989" spans="4:8" x14ac:dyDescent="0.2">
      <c r="D3989" s="6"/>
      <c r="H3989" s="6">
        <v>42188.426018518519</v>
      </c>
    </row>
    <row r="3990" spans="4:8" x14ac:dyDescent="0.2">
      <c r="D3990" s="6"/>
      <c r="H3990" s="6">
        <v>42188.426018518519</v>
      </c>
    </row>
    <row r="3991" spans="4:8" x14ac:dyDescent="0.2">
      <c r="D3991" s="6"/>
      <c r="H3991" s="6">
        <v>42188.426018518519</v>
      </c>
    </row>
    <row r="3992" spans="4:8" x14ac:dyDescent="0.2">
      <c r="D3992" s="6"/>
      <c r="H3992" s="6">
        <v>42188.426018518519</v>
      </c>
    </row>
    <row r="3993" spans="4:8" x14ac:dyDescent="0.2">
      <c r="D3993" s="6"/>
      <c r="H3993" s="6">
        <v>42188.426018518519</v>
      </c>
    </row>
    <row r="3994" spans="4:8" x14ac:dyDescent="0.2">
      <c r="D3994" s="6"/>
      <c r="H3994" s="6">
        <v>42188.426018518519</v>
      </c>
    </row>
    <row r="3995" spans="4:8" x14ac:dyDescent="0.2">
      <c r="D3995" s="6"/>
      <c r="H3995" s="6">
        <v>42187.625474537039</v>
      </c>
    </row>
    <row r="3996" spans="4:8" x14ac:dyDescent="0.2">
      <c r="D3996" s="6"/>
      <c r="H3996" s="6">
        <v>42194.610625000001</v>
      </c>
    </row>
    <row r="3997" spans="4:8" x14ac:dyDescent="0.2">
      <c r="D3997" s="6"/>
      <c r="H3997" s="6">
        <v>42135.35769675926</v>
      </c>
    </row>
    <row r="3998" spans="4:8" x14ac:dyDescent="0.2">
      <c r="D3998" s="6"/>
      <c r="H3998" s="6">
        <v>42149.562048611115</v>
      </c>
    </row>
    <row r="3999" spans="4:8" x14ac:dyDescent="0.2">
      <c r="D3999" s="6"/>
      <c r="H3999" s="6">
        <v>42130.665266203701</v>
      </c>
    </row>
    <row r="4000" spans="4:8" x14ac:dyDescent="0.2">
      <c r="D4000" s="6"/>
      <c r="H4000" s="6">
        <v>42187.526377314818</v>
      </c>
    </row>
    <row r="4001" spans="4:8" x14ac:dyDescent="0.2">
      <c r="D4001" s="6"/>
      <c r="H4001" s="6">
        <v>42187.526377314818</v>
      </c>
    </row>
    <row r="4002" spans="4:8" x14ac:dyDescent="0.2">
      <c r="D4002" s="6"/>
      <c r="H4002" s="6">
        <v>42187.526377314818</v>
      </c>
    </row>
    <row r="4003" spans="4:8" x14ac:dyDescent="0.2">
      <c r="D4003" s="6"/>
      <c r="H4003" s="6">
        <v>42187.526377314818</v>
      </c>
    </row>
    <row r="4004" spans="4:8" x14ac:dyDescent="0.2">
      <c r="D4004" s="6"/>
      <c r="H4004" s="6">
        <v>42187.603460648148</v>
      </c>
    </row>
    <row r="4005" spans="4:8" x14ac:dyDescent="0.2">
      <c r="D4005" s="6"/>
      <c r="H4005" s="6">
        <v>42193.64744212963</v>
      </c>
    </row>
    <row r="4006" spans="4:8" x14ac:dyDescent="0.2">
      <c r="D4006" s="6"/>
      <c r="H4006" s="6">
        <v>42136.375763888886</v>
      </c>
    </row>
    <row r="4007" spans="4:8" x14ac:dyDescent="0.2">
      <c r="D4007" s="6"/>
      <c r="H4007" s="6">
        <v>42136.375763888886</v>
      </c>
    </row>
    <row r="4008" spans="4:8" x14ac:dyDescent="0.2">
      <c r="D4008" s="6"/>
      <c r="H4008" s="6">
        <v>42136.375763888886</v>
      </c>
    </row>
    <row r="4009" spans="4:8" x14ac:dyDescent="0.2">
      <c r="D4009" s="6"/>
      <c r="H4009" s="6">
        <v>42136.375763888886</v>
      </c>
    </row>
    <row r="4010" spans="4:8" x14ac:dyDescent="0.2">
      <c r="D4010" s="6"/>
      <c r="H4010" s="6">
        <v>42136.375763888886</v>
      </c>
    </row>
    <row r="4011" spans="4:8" x14ac:dyDescent="0.2">
      <c r="D4011" s="6"/>
      <c r="H4011" s="6">
        <v>42136.375763888886</v>
      </c>
    </row>
    <row r="4012" spans="4:8" x14ac:dyDescent="0.2">
      <c r="D4012" s="6"/>
      <c r="H4012" s="6">
        <v>42136.375763888886</v>
      </c>
    </row>
    <row r="4013" spans="4:8" x14ac:dyDescent="0.2">
      <c r="D4013" s="6"/>
      <c r="H4013" s="6">
        <v>42149.551805555559</v>
      </c>
    </row>
    <row r="4014" spans="4:8" x14ac:dyDescent="0.2">
      <c r="D4014" s="6"/>
      <c r="H4014" s="6">
        <v>42149.562175925923</v>
      </c>
    </row>
    <row r="4015" spans="4:8" x14ac:dyDescent="0.2">
      <c r="D4015" s="6"/>
      <c r="H4015" s="6">
        <v>42187.526516203703</v>
      </c>
    </row>
    <row r="4016" spans="4:8" x14ac:dyDescent="0.2">
      <c r="D4016" s="6"/>
      <c r="H4016" s="6">
        <v>42187.604004629633</v>
      </c>
    </row>
    <row r="4017" spans="4:8" x14ac:dyDescent="0.2">
      <c r="D4017" s="6"/>
      <c r="H4017" s="6">
        <v>42193.647337962961</v>
      </c>
    </row>
    <row r="4018" spans="4:8" x14ac:dyDescent="0.2">
      <c r="D4018" s="6"/>
      <c r="H4018" s="6">
        <v>42136.376574074071</v>
      </c>
    </row>
    <row r="4019" spans="4:8" x14ac:dyDescent="0.2">
      <c r="D4019" s="6"/>
      <c r="H4019" s="6">
        <v>42136.376574074071</v>
      </c>
    </row>
    <row r="4020" spans="4:8" x14ac:dyDescent="0.2">
      <c r="D4020" s="6"/>
      <c r="H4020" s="6">
        <v>42136.376574074071</v>
      </c>
    </row>
    <row r="4021" spans="4:8" x14ac:dyDescent="0.2">
      <c r="D4021" s="6"/>
      <c r="H4021" s="6">
        <v>42136.376574074071</v>
      </c>
    </row>
    <row r="4022" spans="4:8" x14ac:dyDescent="0.2">
      <c r="D4022" s="6"/>
      <c r="H4022" s="6">
        <v>42187.606030092589</v>
      </c>
    </row>
    <row r="4023" spans="4:8" x14ac:dyDescent="0.2">
      <c r="D4023" s="6"/>
      <c r="H4023" s="6">
        <v>42149.562314814815</v>
      </c>
    </row>
    <row r="4024" spans="4:8" x14ac:dyDescent="0.2">
      <c r="D4024" s="6"/>
      <c r="H4024" s="6">
        <v>42187.526678240742</v>
      </c>
    </row>
    <row r="4025" spans="4:8" x14ac:dyDescent="0.2">
      <c r="D4025" s="6"/>
      <c r="H4025" s="6">
        <v>42136.376574074071</v>
      </c>
    </row>
    <row r="4026" spans="4:8" x14ac:dyDescent="0.2">
      <c r="D4026" s="6"/>
      <c r="H4026" s="6">
        <v>42187.60628472222</v>
      </c>
    </row>
    <row r="4027" spans="4:8" x14ac:dyDescent="0.2">
      <c r="D4027" s="6"/>
      <c r="H4027" s="6">
        <v>42193.647222222222</v>
      </c>
    </row>
    <row r="4028" spans="4:8" x14ac:dyDescent="0.2">
      <c r="D4028" s="6"/>
      <c r="H4028" s="6">
        <v>42136.38108796296</v>
      </c>
    </row>
    <row r="4029" spans="4:8" x14ac:dyDescent="0.2">
      <c r="D4029" s="6"/>
      <c r="H4029" s="6">
        <v>42136.38108796296</v>
      </c>
    </row>
    <row r="4030" spans="4:8" x14ac:dyDescent="0.2">
      <c r="D4030" s="6"/>
      <c r="H4030" s="6">
        <v>42136.38108796296</v>
      </c>
    </row>
    <row r="4031" spans="4:8" x14ac:dyDescent="0.2">
      <c r="D4031" s="6"/>
      <c r="H4031" s="6">
        <v>42136.38108796296</v>
      </c>
    </row>
    <row r="4032" spans="4:8" x14ac:dyDescent="0.2">
      <c r="D4032" s="6"/>
      <c r="H4032" s="6">
        <v>42136.38108796296</v>
      </c>
    </row>
    <row r="4033" spans="4:8" x14ac:dyDescent="0.2">
      <c r="D4033" s="6"/>
      <c r="H4033" s="6">
        <v>42187.52684027778</v>
      </c>
    </row>
    <row r="4034" spans="4:8" x14ac:dyDescent="0.2">
      <c r="D4034" s="6"/>
      <c r="H4034" s="6">
        <v>42136.38108796296</v>
      </c>
    </row>
    <row r="4035" spans="4:8" x14ac:dyDescent="0.2">
      <c r="D4035" s="6"/>
      <c r="H4035" s="6">
        <v>42149.551817129628</v>
      </c>
    </row>
    <row r="4036" spans="4:8" x14ac:dyDescent="0.2">
      <c r="D4036" s="6"/>
      <c r="H4036" s="6">
        <v>42149.560104166667</v>
      </c>
    </row>
    <row r="4037" spans="4:8" x14ac:dyDescent="0.2">
      <c r="D4037" s="6"/>
      <c r="H4037" s="6">
        <v>42136.38108796296</v>
      </c>
    </row>
    <row r="4038" spans="4:8" x14ac:dyDescent="0.2">
      <c r="D4038" s="6"/>
      <c r="H4038" s="6">
        <v>42187.606921296298</v>
      </c>
    </row>
    <row r="4039" spans="4:8" x14ac:dyDescent="0.2">
      <c r="D4039" s="6"/>
      <c r="H4039" s="6">
        <v>42193.647083333337</v>
      </c>
    </row>
    <row r="4040" spans="4:8" x14ac:dyDescent="0.2">
      <c r="D4040" s="6"/>
      <c r="H4040" s="6">
        <v>42283.588784722226</v>
      </c>
    </row>
    <row r="4041" spans="4:8" x14ac:dyDescent="0.2">
      <c r="D4041" s="6"/>
      <c r="H4041" s="6">
        <v>42188.426226851851</v>
      </c>
    </row>
    <row r="4042" spans="4:8" x14ac:dyDescent="0.2">
      <c r="D4042" s="6"/>
      <c r="H4042" s="6">
        <v>42188.426226851851</v>
      </c>
    </row>
    <row r="4043" spans="4:8" x14ac:dyDescent="0.2">
      <c r="D4043" s="6"/>
      <c r="H4043" s="6">
        <v>42188.426226851851</v>
      </c>
    </row>
    <row r="4044" spans="4:8" x14ac:dyDescent="0.2">
      <c r="D4044" s="6"/>
      <c r="H4044" s="6">
        <v>42188.426226851851</v>
      </c>
    </row>
    <row r="4045" spans="4:8" x14ac:dyDescent="0.2">
      <c r="D4045" s="6"/>
      <c r="H4045" s="6">
        <v>42188.426226851851</v>
      </c>
    </row>
    <row r="4046" spans="4:8" x14ac:dyDescent="0.2">
      <c r="D4046" s="6"/>
      <c r="H4046" s="6">
        <v>42188.426226851851</v>
      </c>
    </row>
    <row r="4047" spans="4:8" x14ac:dyDescent="0.2">
      <c r="D4047" s="6"/>
      <c r="H4047" s="6">
        <v>42188.426226851851</v>
      </c>
    </row>
    <row r="4048" spans="4:8" x14ac:dyDescent="0.2">
      <c r="D4048" s="6"/>
      <c r="H4048" s="6">
        <v>42283.485069444447</v>
      </c>
    </row>
    <row r="4049" spans="4:8" x14ac:dyDescent="0.2">
      <c r="D4049" s="6"/>
      <c r="H4049" s="6">
        <v>42187.626550925925</v>
      </c>
    </row>
    <row r="4050" spans="4:8" x14ac:dyDescent="0.2">
      <c r="D4050" s="6"/>
      <c r="H4050" s="6">
        <v>42283.693773148145</v>
      </c>
    </row>
    <row r="4051" spans="4:8" x14ac:dyDescent="0.2">
      <c r="D4051" s="6"/>
      <c r="H4051" s="6">
        <v>42188.426493055558</v>
      </c>
    </row>
    <row r="4052" spans="4:8" x14ac:dyDescent="0.2">
      <c r="D4052" s="6"/>
      <c r="H4052" s="6">
        <v>42188.426493055558</v>
      </c>
    </row>
    <row r="4053" spans="4:8" x14ac:dyDescent="0.2">
      <c r="D4053" s="6"/>
      <c r="H4053" s="6">
        <v>42188.426493055558</v>
      </c>
    </row>
    <row r="4054" spans="4:8" x14ac:dyDescent="0.2">
      <c r="D4054" s="6"/>
      <c r="H4054" s="6">
        <v>42188.426493055558</v>
      </c>
    </row>
    <row r="4055" spans="4:8" x14ac:dyDescent="0.2">
      <c r="D4055" s="6"/>
      <c r="H4055" s="6">
        <v>42188.426493055558</v>
      </c>
    </row>
    <row r="4056" spans="4:8" x14ac:dyDescent="0.2">
      <c r="D4056" s="6"/>
      <c r="H4056" s="6">
        <v>42187.627650462964</v>
      </c>
    </row>
    <row r="4057" spans="4:8" x14ac:dyDescent="0.2">
      <c r="D4057" s="6"/>
      <c r="H4057" s="6">
        <v>42193.645405092589</v>
      </c>
    </row>
    <row r="4058" spans="4:8" x14ac:dyDescent="0.2">
      <c r="D4058" s="6"/>
      <c r="H4058" s="6">
        <v>42188.42664351852</v>
      </c>
    </row>
    <row r="4059" spans="4:8" x14ac:dyDescent="0.2">
      <c r="D4059" s="6"/>
      <c r="H4059" s="6">
        <v>42188.42664351852</v>
      </c>
    </row>
    <row r="4060" spans="4:8" x14ac:dyDescent="0.2">
      <c r="D4060" s="6"/>
      <c r="H4060" s="6">
        <v>42188.42664351852</v>
      </c>
    </row>
    <row r="4061" spans="4:8" x14ac:dyDescent="0.2">
      <c r="D4061" s="6"/>
      <c r="H4061" s="6">
        <v>42188.42664351852</v>
      </c>
    </row>
    <row r="4062" spans="4:8" x14ac:dyDescent="0.2">
      <c r="D4062" s="6"/>
      <c r="H4062" s="6">
        <v>42188.426655092589</v>
      </c>
    </row>
    <row r="4063" spans="4:8" x14ac:dyDescent="0.2">
      <c r="D4063" s="6"/>
      <c r="H4063" s="6">
        <v>42188.426655092589</v>
      </c>
    </row>
    <row r="4064" spans="4:8" x14ac:dyDescent="0.2">
      <c r="D4064" s="6"/>
      <c r="H4064" s="6">
        <v>42187.629756944443</v>
      </c>
    </row>
    <row r="4065" spans="4:8" x14ac:dyDescent="0.2">
      <c r="D4065" s="6"/>
      <c r="H4065" s="6">
        <v>42193.645300925928</v>
      </c>
    </row>
    <row r="4066" spans="4:8" x14ac:dyDescent="0.2">
      <c r="D4066" s="6"/>
      <c r="H4066" s="6">
        <v>42291.61215277778</v>
      </c>
    </row>
    <row r="4067" spans="4:8" x14ac:dyDescent="0.2">
      <c r="D4067" s="6"/>
      <c r="H4067" s="6">
        <v>42291.629826388889</v>
      </c>
    </row>
    <row r="4068" spans="4:8" x14ac:dyDescent="0.2">
      <c r="D4068" s="6"/>
      <c r="H4068" s="6">
        <v>42290.726493055554</v>
      </c>
    </row>
    <row r="4069" spans="4:8" x14ac:dyDescent="0.2">
      <c r="D4069" s="6"/>
      <c r="H4069" s="6">
        <v>42290.726493055554</v>
      </c>
    </row>
    <row r="4070" spans="4:8" x14ac:dyDescent="0.2">
      <c r="D4070" s="6"/>
      <c r="H4070" s="6">
        <v>42290.726504629631</v>
      </c>
    </row>
    <row r="4071" spans="4:8" x14ac:dyDescent="0.2">
      <c r="D4071" s="6"/>
      <c r="H4071" s="6">
        <v>42290.726504629631</v>
      </c>
    </row>
    <row r="4072" spans="4:8" x14ac:dyDescent="0.2">
      <c r="D4072" s="6"/>
      <c r="H4072" s="6">
        <v>42290.726504629631</v>
      </c>
    </row>
    <row r="4073" spans="4:8" x14ac:dyDescent="0.2">
      <c r="D4073" s="6"/>
      <c r="H4073" s="6">
        <v>42188.426805555559</v>
      </c>
    </row>
    <row r="4074" spans="4:8" x14ac:dyDescent="0.2">
      <c r="D4074" s="6"/>
      <c r="H4074" s="6">
        <v>42188.426805555559</v>
      </c>
    </row>
    <row r="4075" spans="4:8" x14ac:dyDescent="0.2">
      <c r="D4075" s="6"/>
      <c r="H4075" s="6">
        <v>42188.426805555559</v>
      </c>
    </row>
    <row r="4076" spans="4:8" x14ac:dyDescent="0.2">
      <c r="D4076" s="6"/>
      <c r="H4076" s="6">
        <v>42188.426805555559</v>
      </c>
    </row>
    <row r="4077" spans="4:8" x14ac:dyDescent="0.2">
      <c r="D4077" s="6"/>
      <c r="H4077" s="6">
        <v>42188.426817129628</v>
      </c>
    </row>
    <row r="4078" spans="4:8" x14ac:dyDescent="0.2">
      <c r="D4078" s="6"/>
      <c r="H4078" s="6">
        <v>42188.426817129628</v>
      </c>
    </row>
    <row r="4079" spans="4:8" x14ac:dyDescent="0.2">
      <c r="D4079" s="6"/>
      <c r="H4079" s="6">
        <v>42188.426817129628</v>
      </c>
    </row>
    <row r="4080" spans="4:8" x14ac:dyDescent="0.2">
      <c r="D4080" s="6"/>
      <c r="H4080" s="6">
        <v>42188.426817129628</v>
      </c>
    </row>
    <row r="4081" spans="4:8" x14ac:dyDescent="0.2">
      <c r="D4081" s="6"/>
      <c r="H4081" s="6">
        <v>42188.426817129628</v>
      </c>
    </row>
    <row r="4082" spans="4:8" x14ac:dyDescent="0.2">
      <c r="D4082" s="6"/>
      <c r="H4082" s="6">
        <v>42187.630439814813</v>
      </c>
    </row>
    <row r="4083" spans="4:8" x14ac:dyDescent="0.2">
      <c r="D4083" s="6"/>
      <c r="H4083" s="6">
        <v>42194.473726851851</v>
      </c>
    </row>
    <row r="4084" spans="4:8" x14ac:dyDescent="0.2">
      <c r="D4084" s="6"/>
      <c r="H4084" s="6">
        <v>42214.532673611109</v>
      </c>
    </row>
    <row r="4085" spans="4:8" x14ac:dyDescent="0.2">
      <c r="D4085" s="6"/>
      <c r="H4085" s="6">
        <v>42214.532673611109</v>
      </c>
    </row>
    <row r="4086" spans="4:8" x14ac:dyDescent="0.2">
      <c r="D4086" s="6"/>
      <c r="H4086" s="6">
        <v>42214.532673611109</v>
      </c>
    </row>
    <row r="4087" spans="4:8" x14ac:dyDescent="0.2">
      <c r="D4087" s="6"/>
      <c r="H4087" s="6">
        <v>42214.532673611109</v>
      </c>
    </row>
    <row r="4088" spans="4:8" x14ac:dyDescent="0.2">
      <c r="D4088" s="6"/>
      <c r="H4088" s="6">
        <v>42214.532685185186</v>
      </c>
    </row>
    <row r="4089" spans="4:8" x14ac:dyDescent="0.2">
      <c r="D4089" s="6"/>
      <c r="H4089" s="6">
        <v>42214.532685185186</v>
      </c>
    </row>
    <row r="4090" spans="4:8" x14ac:dyDescent="0.2">
      <c r="D4090" s="6"/>
      <c r="H4090" s="6">
        <v>42214.532685185186</v>
      </c>
    </row>
    <row r="4091" spans="4:8" x14ac:dyDescent="0.2">
      <c r="D4091" s="6"/>
      <c r="H4091" s="6">
        <v>42214.532685185186</v>
      </c>
    </row>
    <row r="4092" spans="4:8" x14ac:dyDescent="0.2">
      <c r="D4092" s="6"/>
      <c r="H4092" s="6">
        <v>42214.532685185186</v>
      </c>
    </row>
    <row r="4093" spans="4:8" x14ac:dyDescent="0.2">
      <c r="D4093" s="6"/>
      <c r="H4093" s="6">
        <v>42214.532685185186</v>
      </c>
    </row>
    <row r="4094" spans="4:8" x14ac:dyDescent="0.2">
      <c r="D4094" s="6"/>
      <c r="H4094" s="6">
        <v>42230.735937500001</v>
      </c>
    </row>
    <row r="4095" spans="4:8" x14ac:dyDescent="0.2">
      <c r="D4095" s="6"/>
      <c r="H4095" s="6">
        <v>42230.737557870372</v>
      </c>
    </row>
    <row r="4096" spans="4:8" x14ac:dyDescent="0.2">
      <c r="D4096" s="6"/>
      <c r="H4096" s="6">
        <v>42188.426979166667</v>
      </c>
    </row>
    <row r="4097" spans="4:8" x14ac:dyDescent="0.2">
      <c r="D4097" s="6"/>
      <c r="H4097" s="6">
        <v>42188.426979166667</v>
      </c>
    </row>
    <row r="4098" spans="4:8" x14ac:dyDescent="0.2">
      <c r="D4098" s="6"/>
      <c r="H4098" s="6">
        <v>42188.426979166667</v>
      </c>
    </row>
    <row r="4099" spans="4:8" x14ac:dyDescent="0.2">
      <c r="D4099" s="6"/>
      <c r="H4099" s="6">
        <v>42188.426979166667</v>
      </c>
    </row>
    <row r="4100" spans="4:8" x14ac:dyDescent="0.2">
      <c r="D4100" s="6"/>
      <c r="H4100" s="6">
        <v>42188.426990740743</v>
      </c>
    </row>
    <row r="4101" spans="4:8" x14ac:dyDescent="0.2">
      <c r="D4101" s="6"/>
      <c r="H4101" s="6">
        <v>42188.426990740743</v>
      </c>
    </row>
    <row r="4102" spans="4:8" x14ac:dyDescent="0.2">
      <c r="D4102" s="6"/>
      <c r="H4102" s="6">
        <v>42187.630972222221</v>
      </c>
    </row>
    <row r="4103" spans="4:8" x14ac:dyDescent="0.2">
      <c r="D4103" s="6"/>
      <c r="H4103" s="6">
        <v>42194.456284722219</v>
      </c>
    </row>
    <row r="4104" spans="4:8" x14ac:dyDescent="0.2">
      <c r="D4104" s="6"/>
      <c r="H4104" s="6">
        <v>42205.431909722225</v>
      </c>
    </row>
    <row r="4105" spans="4:8" x14ac:dyDescent="0.2">
      <c r="D4105" s="6"/>
      <c r="H4105" s="6">
        <v>42205.432592592595</v>
      </c>
    </row>
    <row r="4106" spans="4:8" x14ac:dyDescent="0.2">
      <c r="D4106" s="6"/>
      <c r="H4106" s="6">
        <v>42311.558749999997</v>
      </c>
    </row>
    <row r="4107" spans="4:8" x14ac:dyDescent="0.2">
      <c r="D4107" s="6"/>
      <c r="H4107" s="6">
        <v>42311.559756944444</v>
      </c>
    </row>
    <row r="4108" spans="4:8" x14ac:dyDescent="0.2">
      <c r="D4108" s="6"/>
      <c r="H4108" s="6">
        <v>42205.432905092595</v>
      </c>
    </row>
    <row r="4109" spans="4:8" x14ac:dyDescent="0.2">
      <c r="D4109" s="6"/>
      <c r="H4109" s="6">
        <v>42136.382245370369</v>
      </c>
    </row>
    <row r="4110" spans="4:8" x14ac:dyDescent="0.2">
      <c r="D4110" s="6"/>
      <c r="H4110" s="6">
        <v>42136.382245370369</v>
      </c>
    </row>
    <row r="4111" spans="4:8" x14ac:dyDescent="0.2">
      <c r="D4111" s="6"/>
      <c r="H4111" s="6">
        <v>42136.382245370369</v>
      </c>
    </row>
    <row r="4112" spans="4:8" x14ac:dyDescent="0.2">
      <c r="D4112" s="6"/>
      <c r="H4112" s="6">
        <v>42136.382245370369</v>
      </c>
    </row>
    <row r="4113" spans="4:8" x14ac:dyDescent="0.2">
      <c r="D4113" s="6"/>
      <c r="H4113" s="6">
        <v>42136.382245370369</v>
      </c>
    </row>
    <row r="4114" spans="4:8" x14ac:dyDescent="0.2">
      <c r="D4114" s="6"/>
      <c r="H4114" s="6">
        <v>42149.551817129628</v>
      </c>
    </row>
    <row r="4115" spans="4:8" x14ac:dyDescent="0.2">
      <c r="D4115" s="6"/>
      <c r="H4115" s="6">
        <v>42149.560231481482</v>
      </c>
    </row>
    <row r="4116" spans="4:8" x14ac:dyDescent="0.2">
      <c r="D4116" s="6"/>
      <c r="H4116" s="6">
        <v>42187.524988425925</v>
      </c>
    </row>
    <row r="4117" spans="4:8" x14ac:dyDescent="0.2">
      <c r="D4117" s="6"/>
      <c r="H4117" s="6">
        <v>42187.524930555555</v>
      </c>
    </row>
    <row r="4118" spans="4:8" x14ac:dyDescent="0.2">
      <c r="D4118" s="6"/>
      <c r="H4118" s="6">
        <v>42187.524930555555</v>
      </c>
    </row>
    <row r="4119" spans="4:8" x14ac:dyDescent="0.2">
      <c r="D4119" s="6"/>
      <c r="H4119" s="6">
        <v>42187.61859953704</v>
      </c>
    </row>
    <row r="4120" spans="4:8" x14ac:dyDescent="0.2">
      <c r="D4120" s="6"/>
      <c r="H4120" s="6">
        <v>42205.434814814813</v>
      </c>
    </row>
    <row r="4121" spans="4:8" x14ac:dyDescent="0.2">
      <c r="D4121" s="6"/>
      <c r="H4121" s="6">
        <v>42136.383356481485</v>
      </c>
    </row>
    <row r="4122" spans="4:8" x14ac:dyDescent="0.2">
      <c r="D4122" s="6"/>
      <c r="H4122" s="6">
        <v>42136.383356481485</v>
      </c>
    </row>
    <row r="4123" spans="4:8" x14ac:dyDescent="0.2">
      <c r="D4123" s="6"/>
      <c r="H4123" s="6">
        <v>42136.383356481485</v>
      </c>
    </row>
    <row r="4124" spans="4:8" x14ac:dyDescent="0.2">
      <c r="D4124" s="6"/>
      <c r="H4124" s="6">
        <v>42136.383356481485</v>
      </c>
    </row>
    <row r="4125" spans="4:8" x14ac:dyDescent="0.2">
      <c r="D4125" s="6"/>
      <c r="H4125" s="6">
        <v>42136.383356481485</v>
      </c>
    </row>
    <row r="4126" spans="4:8" x14ac:dyDescent="0.2">
      <c r="D4126" s="6"/>
      <c r="H4126" s="6">
        <v>42149.551817129628</v>
      </c>
    </row>
    <row r="4127" spans="4:8" x14ac:dyDescent="0.2">
      <c r="D4127" s="6"/>
      <c r="H4127" s="6">
        <v>42149.557870370372</v>
      </c>
    </row>
    <row r="4128" spans="4:8" x14ac:dyDescent="0.2">
      <c r="D4128" s="6"/>
      <c r="H4128" s="6">
        <v>42187.525173611109</v>
      </c>
    </row>
    <row r="4129" spans="4:8" x14ac:dyDescent="0.2">
      <c r="D4129" s="6"/>
      <c r="H4129" s="6">
        <v>42187.525173611109</v>
      </c>
    </row>
    <row r="4130" spans="4:8" x14ac:dyDescent="0.2">
      <c r="D4130" s="6"/>
      <c r="H4130" s="6">
        <v>42187.525173611109</v>
      </c>
    </row>
    <row r="4131" spans="4:8" x14ac:dyDescent="0.2">
      <c r="D4131" s="6"/>
      <c r="H4131" s="6">
        <v>42187.525173611109</v>
      </c>
    </row>
    <row r="4132" spans="4:8" x14ac:dyDescent="0.2">
      <c r="D4132" s="6"/>
      <c r="H4132" s="6">
        <v>42187.525173611109</v>
      </c>
    </row>
    <row r="4133" spans="4:8" x14ac:dyDescent="0.2">
      <c r="D4133" s="6"/>
      <c r="H4133" s="6">
        <v>42187.619201388887</v>
      </c>
    </row>
    <row r="4134" spans="4:8" x14ac:dyDescent="0.2">
      <c r="D4134" s="6"/>
      <c r="H4134" s="6">
        <v>42205.435844907406</v>
      </c>
    </row>
    <row r="4135" spans="4:8" x14ac:dyDescent="0.2">
      <c r="D4135" s="6"/>
      <c r="H4135" s="6">
        <v>42382.773634259262</v>
      </c>
    </row>
    <row r="4136" spans="4:8" x14ac:dyDescent="0.2">
      <c r="D4136" s="6"/>
      <c r="H4136" s="6">
        <v>42382.773634259262</v>
      </c>
    </row>
    <row r="4137" spans="4:8" x14ac:dyDescent="0.2">
      <c r="D4137" s="6"/>
      <c r="H4137" s="6">
        <v>42382.773634259262</v>
      </c>
    </row>
    <row r="4138" spans="4:8" x14ac:dyDescent="0.2">
      <c r="D4138" s="6"/>
      <c r="H4138" s="6">
        <v>42382.773634259262</v>
      </c>
    </row>
    <row r="4139" spans="4:8" x14ac:dyDescent="0.2">
      <c r="D4139" s="6"/>
      <c r="H4139" s="6">
        <v>42382.773634259262</v>
      </c>
    </row>
    <row r="4140" spans="4:8" x14ac:dyDescent="0.2">
      <c r="D4140" s="6"/>
      <c r="H4140" s="6">
        <v>42405.736701388887</v>
      </c>
    </row>
    <row r="4141" spans="4:8" x14ac:dyDescent="0.2">
      <c r="D4141" s="6"/>
      <c r="H4141" s="6">
        <v>42405.745381944442</v>
      </c>
    </row>
    <row r="4142" spans="4:8" x14ac:dyDescent="0.2">
      <c r="D4142" s="6"/>
      <c r="H4142" s="6">
        <v>42136.384212962963</v>
      </c>
    </row>
    <row r="4143" spans="4:8" x14ac:dyDescent="0.2">
      <c r="D4143" s="6"/>
      <c r="H4143" s="6">
        <v>42136.384212962963</v>
      </c>
    </row>
    <row r="4144" spans="4:8" x14ac:dyDescent="0.2">
      <c r="D4144" s="6"/>
      <c r="H4144" s="6">
        <v>42136.384212962963</v>
      </c>
    </row>
    <row r="4145" spans="4:8" x14ac:dyDescent="0.2">
      <c r="D4145" s="6"/>
      <c r="H4145" s="6">
        <v>42136.384212962963</v>
      </c>
    </row>
    <row r="4146" spans="4:8" x14ac:dyDescent="0.2">
      <c r="D4146" s="6"/>
      <c r="H4146" s="6">
        <v>42136.384212962963</v>
      </c>
    </row>
    <row r="4147" spans="4:8" x14ac:dyDescent="0.2">
      <c r="D4147" s="6"/>
      <c r="H4147" s="6">
        <v>42136.384212962963</v>
      </c>
    </row>
    <row r="4148" spans="4:8" x14ac:dyDescent="0.2">
      <c r="D4148" s="6"/>
      <c r="H4148" s="6">
        <v>42136.384212962963</v>
      </c>
    </row>
    <row r="4149" spans="4:8" x14ac:dyDescent="0.2">
      <c r="D4149" s="6"/>
      <c r="H4149" s="6">
        <v>42136.384212962963</v>
      </c>
    </row>
    <row r="4150" spans="4:8" x14ac:dyDescent="0.2">
      <c r="D4150" s="6"/>
      <c r="H4150" s="6">
        <v>42136.384212962963</v>
      </c>
    </row>
    <row r="4151" spans="4:8" x14ac:dyDescent="0.2">
      <c r="D4151" s="6"/>
      <c r="H4151" s="6">
        <v>42136.384212962963</v>
      </c>
    </row>
    <row r="4152" spans="4:8" x14ac:dyDescent="0.2">
      <c r="D4152" s="6"/>
      <c r="H4152" s="6">
        <v>42136.384212962963</v>
      </c>
    </row>
    <row r="4153" spans="4:8" x14ac:dyDescent="0.2">
      <c r="D4153" s="6"/>
      <c r="H4153" s="6">
        <v>42136.384212962963</v>
      </c>
    </row>
    <row r="4154" spans="4:8" x14ac:dyDescent="0.2">
      <c r="D4154" s="6"/>
      <c r="H4154" s="6">
        <v>42136.384212962963</v>
      </c>
    </row>
    <row r="4155" spans="4:8" x14ac:dyDescent="0.2">
      <c r="D4155" s="6"/>
      <c r="H4155" s="6">
        <v>42136.384212962963</v>
      </c>
    </row>
    <row r="4156" spans="4:8" x14ac:dyDescent="0.2">
      <c r="D4156" s="6"/>
      <c r="H4156" s="6">
        <v>42136.384212962963</v>
      </c>
    </row>
    <row r="4157" spans="4:8" x14ac:dyDescent="0.2">
      <c r="D4157" s="6"/>
      <c r="H4157" s="6">
        <v>42149.551817129628</v>
      </c>
    </row>
    <row r="4158" spans="4:8" x14ac:dyDescent="0.2">
      <c r="D4158" s="6"/>
      <c r="H4158" s="6">
        <v>42149.563078703701</v>
      </c>
    </row>
    <row r="4159" spans="4:8" x14ac:dyDescent="0.2">
      <c r="D4159" s="6"/>
      <c r="H4159" s="6">
        <v>42187.526990740742</v>
      </c>
    </row>
    <row r="4160" spans="4:8" x14ac:dyDescent="0.2">
      <c r="D4160" s="6"/>
      <c r="H4160" s="6">
        <v>42187.526990740742</v>
      </c>
    </row>
    <row r="4161" spans="4:8" x14ac:dyDescent="0.2">
      <c r="D4161" s="6"/>
      <c r="H4161" s="6">
        <v>42187.526990740742</v>
      </c>
    </row>
    <row r="4162" spans="4:8" x14ac:dyDescent="0.2">
      <c r="D4162" s="6"/>
      <c r="H4162" s="6">
        <v>42187.60769675926</v>
      </c>
    </row>
    <row r="4163" spans="4:8" x14ac:dyDescent="0.2">
      <c r="D4163" s="6"/>
      <c r="H4163" s="6">
        <v>42194.453263888892</v>
      </c>
    </row>
    <row r="4164" spans="4:8" x14ac:dyDescent="0.2">
      <c r="D4164" s="6"/>
      <c r="H4164" s="6">
        <v>42136.385370370372</v>
      </c>
    </row>
    <row r="4165" spans="4:8" x14ac:dyDescent="0.2">
      <c r="D4165" s="6"/>
      <c r="H4165" s="6">
        <v>42136.385370370372</v>
      </c>
    </row>
    <row r="4166" spans="4:8" x14ac:dyDescent="0.2">
      <c r="D4166" s="6"/>
      <c r="H4166" s="6">
        <v>42136.385370370372</v>
      </c>
    </row>
    <row r="4167" spans="4:8" x14ac:dyDescent="0.2">
      <c r="D4167" s="6"/>
      <c r="H4167" s="6">
        <v>42136.385370370372</v>
      </c>
    </row>
    <row r="4168" spans="4:8" x14ac:dyDescent="0.2">
      <c r="D4168" s="6"/>
      <c r="H4168" s="6">
        <v>42136.385370370372</v>
      </c>
    </row>
    <row r="4169" spans="4:8" x14ac:dyDescent="0.2">
      <c r="D4169" s="6"/>
      <c r="H4169" s="6">
        <v>42136.385370370372</v>
      </c>
    </row>
    <row r="4170" spans="4:8" x14ac:dyDescent="0.2">
      <c r="D4170" s="6"/>
      <c r="H4170" s="6">
        <v>42136.385370370372</v>
      </c>
    </row>
    <row r="4171" spans="4:8" x14ac:dyDescent="0.2">
      <c r="D4171" s="6"/>
      <c r="H4171" s="6">
        <v>42136.385370370372</v>
      </c>
    </row>
    <row r="4172" spans="4:8" x14ac:dyDescent="0.2">
      <c r="D4172" s="6"/>
      <c r="H4172" s="6">
        <v>42136.385370370372</v>
      </c>
    </row>
    <row r="4173" spans="4:8" x14ac:dyDescent="0.2">
      <c r="D4173" s="6"/>
      <c r="H4173" s="6">
        <v>42136.385370370372</v>
      </c>
    </row>
    <row r="4174" spans="4:8" x14ac:dyDescent="0.2">
      <c r="D4174" s="6"/>
      <c r="H4174" s="6">
        <v>42136.385370370372</v>
      </c>
    </row>
    <row r="4175" spans="4:8" x14ac:dyDescent="0.2">
      <c r="D4175" s="6"/>
      <c r="H4175" s="6">
        <v>42136.385370370372</v>
      </c>
    </row>
    <row r="4176" spans="4:8" x14ac:dyDescent="0.2">
      <c r="D4176" s="6"/>
      <c r="H4176" s="6">
        <v>42136.385370370372</v>
      </c>
    </row>
    <row r="4177" spans="4:8" x14ac:dyDescent="0.2">
      <c r="D4177" s="6"/>
      <c r="H4177" s="6">
        <v>42149.551817129628</v>
      </c>
    </row>
    <row r="4178" spans="4:8" x14ac:dyDescent="0.2">
      <c r="D4178" s="6"/>
      <c r="H4178" s="6">
        <v>42149.558136574073</v>
      </c>
    </row>
    <row r="4179" spans="4:8" x14ac:dyDescent="0.2">
      <c r="D4179" s="6"/>
      <c r="H4179" s="6">
        <v>42187.52715277778</v>
      </c>
    </row>
    <row r="4180" spans="4:8" x14ac:dyDescent="0.2">
      <c r="D4180" s="6"/>
      <c r="H4180" s="6">
        <v>42187.52715277778</v>
      </c>
    </row>
    <row r="4181" spans="4:8" x14ac:dyDescent="0.2">
      <c r="D4181" s="6"/>
      <c r="H4181" s="6">
        <v>42187.608784722222</v>
      </c>
    </row>
    <row r="4182" spans="4:8" x14ac:dyDescent="0.2">
      <c r="D4182" s="6"/>
      <c r="H4182" s="6">
        <v>42194.454675925925</v>
      </c>
    </row>
    <row r="4183" spans="4:8" x14ac:dyDescent="0.2">
      <c r="D4183" s="6"/>
      <c r="H4183" s="6">
        <v>42188.427824074075</v>
      </c>
    </row>
    <row r="4184" spans="4:8" x14ac:dyDescent="0.2">
      <c r="D4184" s="6"/>
      <c r="H4184" s="6">
        <v>42188.427824074075</v>
      </c>
    </row>
    <row r="4185" spans="4:8" x14ac:dyDescent="0.2">
      <c r="D4185" s="6"/>
      <c r="H4185" s="6">
        <v>42188.427824074075</v>
      </c>
    </row>
    <row r="4186" spans="4:8" x14ac:dyDescent="0.2">
      <c r="D4186" s="6"/>
      <c r="H4186" s="6">
        <v>42188.427824074075</v>
      </c>
    </row>
    <row r="4187" spans="4:8" x14ac:dyDescent="0.2">
      <c r="D4187" s="6"/>
      <c r="H4187" s="6">
        <v>42188.427824074075</v>
      </c>
    </row>
    <row r="4188" spans="4:8" x14ac:dyDescent="0.2">
      <c r="D4188" s="6"/>
      <c r="H4188" s="6">
        <v>42188.427824074075</v>
      </c>
    </row>
    <row r="4189" spans="4:8" x14ac:dyDescent="0.2">
      <c r="D4189" s="6"/>
      <c r="H4189" s="6">
        <v>42188.428298611114</v>
      </c>
    </row>
    <row r="4190" spans="4:8" x14ac:dyDescent="0.2">
      <c r="D4190" s="6"/>
      <c r="H4190" s="6">
        <v>42193.645208333335</v>
      </c>
    </row>
    <row r="4191" spans="4:8" x14ac:dyDescent="0.2">
      <c r="D4191" s="6"/>
      <c r="H4191" s="6">
        <v>42188.430590277778</v>
      </c>
    </row>
    <row r="4192" spans="4:8" x14ac:dyDescent="0.2">
      <c r="D4192" s="6"/>
      <c r="H4192" s="6">
        <v>42188.430590277778</v>
      </c>
    </row>
    <row r="4193" spans="4:8" x14ac:dyDescent="0.2">
      <c r="D4193" s="6"/>
      <c r="H4193" s="6">
        <v>42188.430590277778</v>
      </c>
    </row>
    <row r="4194" spans="4:8" x14ac:dyDescent="0.2">
      <c r="D4194" s="6"/>
      <c r="H4194" s="6">
        <v>42188.430590277778</v>
      </c>
    </row>
    <row r="4195" spans="4:8" x14ac:dyDescent="0.2">
      <c r="D4195" s="6"/>
      <c r="H4195" s="6">
        <v>42188.430590277778</v>
      </c>
    </row>
    <row r="4196" spans="4:8" x14ac:dyDescent="0.2">
      <c r="D4196" s="6"/>
      <c r="H4196" s="6">
        <v>42188.430590277778</v>
      </c>
    </row>
    <row r="4197" spans="4:8" x14ac:dyDescent="0.2">
      <c r="D4197" s="6"/>
      <c r="H4197" s="6">
        <v>42187.632152777776</v>
      </c>
    </row>
    <row r="4198" spans="4:8" x14ac:dyDescent="0.2">
      <c r="D4198" s="6"/>
      <c r="H4198" s="6">
        <v>42193.645104166666</v>
      </c>
    </row>
    <row r="4199" spans="4:8" x14ac:dyDescent="0.2">
      <c r="D4199" s="6"/>
      <c r="H4199" s="6">
        <v>42405.511643518519</v>
      </c>
    </row>
    <row r="4200" spans="4:8" x14ac:dyDescent="0.2">
      <c r="D4200" s="6"/>
      <c r="H4200" s="6">
        <v>42405.511643518519</v>
      </c>
    </row>
    <row r="4201" spans="4:8" x14ac:dyDescent="0.2">
      <c r="D4201" s="6"/>
      <c r="H4201" s="6">
        <v>42405.507106481484</v>
      </c>
    </row>
    <row r="4202" spans="4:8" x14ac:dyDescent="0.2">
      <c r="D4202" s="6"/>
      <c r="H4202" s="6">
        <v>42405.507118055553</v>
      </c>
    </row>
    <row r="4203" spans="4:8" x14ac:dyDescent="0.2">
      <c r="D4203" s="6"/>
      <c r="H4203" s="6">
        <v>42405.507118055553</v>
      </c>
    </row>
    <row r="4204" spans="4:8" x14ac:dyDescent="0.2">
      <c r="D4204" s="6"/>
      <c r="H4204" s="6">
        <v>42405.507118055553</v>
      </c>
    </row>
    <row r="4205" spans="4:8" x14ac:dyDescent="0.2">
      <c r="D4205" s="6"/>
      <c r="H4205" s="6">
        <v>42405.639780092592</v>
      </c>
    </row>
    <row r="4206" spans="4:8" x14ac:dyDescent="0.2">
      <c r="D4206" s="6"/>
      <c r="H4206" s="6">
        <v>42405.640381944446</v>
      </c>
    </row>
    <row r="4207" spans="4:8" x14ac:dyDescent="0.2">
      <c r="D4207" s="6"/>
      <c r="H4207" s="6">
        <v>42188.430763888886</v>
      </c>
    </row>
    <row r="4208" spans="4:8" x14ac:dyDescent="0.2">
      <c r="D4208" s="6"/>
      <c r="H4208" s="6">
        <v>42188.430763888886</v>
      </c>
    </row>
    <row r="4209" spans="4:8" x14ac:dyDescent="0.2">
      <c r="D4209" s="6"/>
      <c r="H4209" s="6">
        <v>42188.430763888886</v>
      </c>
    </row>
    <row r="4210" spans="4:8" x14ac:dyDescent="0.2">
      <c r="D4210" s="6"/>
      <c r="H4210" s="6">
        <v>42188.430763888886</v>
      </c>
    </row>
    <row r="4211" spans="4:8" x14ac:dyDescent="0.2">
      <c r="D4211" s="6"/>
      <c r="H4211" s="6">
        <v>42188.430763888886</v>
      </c>
    </row>
    <row r="4212" spans="4:8" x14ac:dyDescent="0.2">
      <c r="D4212" s="6"/>
      <c r="H4212" s="6">
        <v>42187.632951388892</v>
      </c>
    </row>
    <row r="4213" spans="4:8" x14ac:dyDescent="0.2">
      <c r="D4213" s="6"/>
      <c r="H4213" s="6">
        <v>42193.644965277781</v>
      </c>
    </row>
    <row r="4214" spans="4:8" x14ac:dyDescent="0.2">
      <c r="D4214" s="6"/>
      <c r="H4214" s="6">
        <v>42188.430925925924</v>
      </c>
    </row>
    <row r="4215" spans="4:8" x14ac:dyDescent="0.2">
      <c r="D4215" s="6"/>
      <c r="H4215" s="6">
        <v>42188.430914351855</v>
      </c>
    </row>
    <row r="4216" spans="4:8" x14ac:dyDescent="0.2">
      <c r="D4216" s="6"/>
      <c r="H4216" s="6">
        <v>42188.430914351855</v>
      </c>
    </row>
    <row r="4217" spans="4:8" x14ac:dyDescent="0.2">
      <c r="D4217" s="6"/>
      <c r="H4217" s="6">
        <v>42188.430914351855</v>
      </c>
    </row>
    <row r="4218" spans="4:8" x14ac:dyDescent="0.2">
      <c r="D4218" s="6"/>
      <c r="H4218" s="6">
        <v>42188.430925925924</v>
      </c>
    </row>
    <row r="4219" spans="4:8" x14ac:dyDescent="0.2">
      <c r="D4219" s="6"/>
      <c r="H4219" s="6">
        <v>42188.430925925924</v>
      </c>
    </row>
    <row r="4220" spans="4:8" x14ac:dyDescent="0.2">
      <c r="D4220" s="6"/>
      <c r="H4220" s="6">
        <v>42187.633564814816</v>
      </c>
    </row>
    <row r="4221" spans="4:8" x14ac:dyDescent="0.2">
      <c r="D4221" s="6"/>
      <c r="H4221" s="6">
        <v>42198.378460648149</v>
      </c>
    </row>
    <row r="4222" spans="4:8" x14ac:dyDescent="0.2">
      <c r="D4222" s="6"/>
      <c r="H4222" s="6">
        <v>42214.532881944448</v>
      </c>
    </row>
    <row r="4223" spans="4:8" x14ac:dyDescent="0.2">
      <c r="D4223" s="6"/>
      <c r="H4223" s="6">
        <v>42214.532881944448</v>
      </c>
    </row>
    <row r="4224" spans="4:8" x14ac:dyDescent="0.2">
      <c r="D4224" s="6"/>
      <c r="H4224" s="6">
        <v>42214.532881944448</v>
      </c>
    </row>
    <row r="4225" spans="4:8" x14ac:dyDescent="0.2">
      <c r="D4225" s="6"/>
      <c r="H4225" s="6">
        <v>42214.532881944448</v>
      </c>
    </row>
    <row r="4226" spans="4:8" x14ac:dyDescent="0.2">
      <c r="D4226" s="6"/>
      <c r="H4226" s="6">
        <v>42214.532881944448</v>
      </c>
    </row>
    <row r="4227" spans="4:8" x14ac:dyDescent="0.2">
      <c r="D4227" s="6"/>
      <c r="H4227" s="6">
        <v>42230.738043981481</v>
      </c>
    </row>
    <row r="4228" spans="4:8" x14ac:dyDescent="0.2">
      <c r="D4228" s="6"/>
      <c r="H4228" s="6">
        <v>42230.756041666667</v>
      </c>
    </row>
    <row r="4229" spans="4:8" x14ac:dyDescent="0.2">
      <c r="D4229" s="6"/>
      <c r="H4229" s="6">
        <v>42136.386319444442</v>
      </c>
    </row>
    <row r="4230" spans="4:8" x14ac:dyDescent="0.2">
      <c r="D4230" s="6"/>
      <c r="H4230" s="6">
        <v>42136.386319444442</v>
      </c>
    </row>
    <row r="4231" spans="4:8" x14ac:dyDescent="0.2">
      <c r="D4231" s="6"/>
      <c r="H4231" s="6">
        <v>42136.386319444442</v>
      </c>
    </row>
    <row r="4232" spans="4:8" x14ac:dyDescent="0.2">
      <c r="D4232" s="6"/>
      <c r="H4232" s="6">
        <v>42136.386319444442</v>
      </c>
    </row>
    <row r="4233" spans="4:8" x14ac:dyDescent="0.2">
      <c r="D4233" s="6"/>
      <c r="H4233" s="6">
        <v>42149.551828703705</v>
      </c>
    </row>
    <row r="4234" spans="4:8" x14ac:dyDescent="0.2">
      <c r="D4234" s="6"/>
      <c r="H4234" s="6">
        <v>42149.558287037034</v>
      </c>
    </row>
    <row r="4235" spans="4:8" x14ac:dyDescent="0.2">
      <c r="D4235" s="6"/>
      <c r="H4235" s="6">
        <v>42187.527280092596</v>
      </c>
    </row>
    <row r="4236" spans="4:8" x14ac:dyDescent="0.2">
      <c r="D4236" s="6"/>
      <c r="H4236" s="6">
        <v>42187.609525462962</v>
      </c>
    </row>
    <row r="4237" spans="4:8" x14ac:dyDescent="0.2">
      <c r="D4237" s="6"/>
      <c r="H4237" s="6">
        <v>42205.436701388891</v>
      </c>
    </row>
    <row r="4238" spans="4:8" x14ac:dyDescent="0.2">
      <c r="D4238" s="6"/>
      <c r="H4238" s="6">
        <v>42341.686145833337</v>
      </c>
    </row>
    <row r="4239" spans="4:8" x14ac:dyDescent="0.2">
      <c r="D4239" s="6"/>
      <c r="H4239" s="6">
        <v>42377.783472222225</v>
      </c>
    </row>
    <row r="4240" spans="4:8" x14ac:dyDescent="0.2">
      <c r="D4240" s="6"/>
      <c r="H4240" s="6">
        <v>42229.435624999998</v>
      </c>
    </row>
    <row r="4241" spans="4:8" x14ac:dyDescent="0.2">
      <c r="D4241" s="6"/>
      <c r="H4241" s="6">
        <v>42229.62358796296</v>
      </c>
    </row>
    <row r="4242" spans="4:8" x14ac:dyDescent="0.2">
      <c r="D4242" s="6"/>
      <c r="H4242" s="6">
        <v>42229.422777777778</v>
      </c>
    </row>
    <row r="4243" spans="4:8" x14ac:dyDescent="0.2">
      <c r="D4243" s="6"/>
      <c r="H4243" s="6">
        <v>42229.402268518519</v>
      </c>
    </row>
    <row r="4244" spans="4:8" x14ac:dyDescent="0.2">
      <c r="D4244" s="6"/>
      <c r="H4244" s="6">
        <v>42229.433877314812</v>
      </c>
    </row>
    <row r="4245" spans="4:8" x14ac:dyDescent="0.2">
      <c r="D4245" s="6"/>
      <c r="H4245" s="6">
        <v>42489.454363425924</v>
      </c>
    </row>
    <row r="4246" spans="4:8" x14ac:dyDescent="0.2">
      <c r="D4246" s="6"/>
      <c r="H4246" s="6">
        <v>42489.454363425924</v>
      </c>
    </row>
    <row r="4247" spans="4:8" x14ac:dyDescent="0.2">
      <c r="D4247" s="6"/>
      <c r="H4247" s="6">
        <v>42489.454363425924</v>
      </c>
    </row>
    <row r="4248" spans="4:8" x14ac:dyDescent="0.2">
      <c r="D4248" s="6"/>
      <c r="H4248" s="6">
        <v>42489.454363425924</v>
      </c>
    </row>
    <row r="4249" spans="4:8" x14ac:dyDescent="0.2">
      <c r="D4249" s="6"/>
      <c r="H4249" s="6">
        <v>42489.454363425924</v>
      </c>
    </row>
    <row r="4250" spans="4:8" x14ac:dyDescent="0.2">
      <c r="D4250" s="6"/>
      <c r="H4250" s="6">
        <v>42489.454363425924</v>
      </c>
    </row>
    <row r="4251" spans="4:8" x14ac:dyDescent="0.2">
      <c r="D4251" s="6"/>
      <c r="H4251" s="6">
        <v>42489.454363425924</v>
      </c>
    </row>
    <row r="4252" spans="4:8" x14ac:dyDescent="0.2">
      <c r="D4252" s="6"/>
      <c r="H4252" s="6">
        <v>42489.447662037041</v>
      </c>
    </row>
    <row r="4253" spans="4:8" x14ac:dyDescent="0.2">
      <c r="D4253" s="6"/>
      <c r="H4253" s="6">
        <v>42489.447662037041</v>
      </c>
    </row>
    <row r="4254" spans="4:8" x14ac:dyDescent="0.2">
      <c r="D4254" s="6"/>
      <c r="H4254" s="6">
        <v>42489.447662037041</v>
      </c>
    </row>
    <row r="4255" spans="4:8" x14ac:dyDescent="0.2">
      <c r="D4255" s="6"/>
      <c r="H4255" s="6">
        <v>42489.447662037041</v>
      </c>
    </row>
    <row r="4256" spans="4:8" x14ac:dyDescent="0.2">
      <c r="D4256" s="6"/>
      <c r="H4256" s="6">
        <v>42489.447662037041</v>
      </c>
    </row>
    <row r="4257" spans="4:8" x14ac:dyDescent="0.2">
      <c r="D4257" s="6"/>
      <c r="H4257" s="6">
        <v>42489.447662037041</v>
      </c>
    </row>
    <row r="4258" spans="4:8" x14ac:dyDescent="0.2">
      <c r="D4258" s="6"/>
      <c r="H4258" s="6">
        <v>42489.447662037041</v>
      </c>
    </row>
    <row r="4259" spans="4:8" x14ac:dyDescent="0.2">
      <c r="D4259" s="6"/>
      <c r="H4259" s="6">
        <v>42489.447662037041</v>
      </c>
    </row>
    <row r="4260" spans="4:8" x14ac:dyDescent="0.2">
      <c r="D4260" s="6"/>
      <c r="H4260" s="6">
        <v>42489.447662037041</v>
      </c>
    </row>
    <row r="4261" spans="4:8" x14ac:dyDescent="0.2">
      <c r="D4261" s="6"/>
      <c r="H4261" s="6">
        <v>42489.447662037041</v>
      </c>
    </row>
    <row r="4262" spans="4:8" x14ac:dyDescent="0.2">
      <c r="D4262" s="6"/>
      <c r="H4262" s="6">
        <v>42489.447662037041</v>
      </c>
    </row>
    <row r="4263" spans="4:8" x14ac:dyDescent="0.2">
      <c r="D4263" s="6"/>
      <c r="H4263" s="6">
        <v>42489.447662037041</v>
      </c>
    </row>
    <row r="4264" spans="4:8" x14ac:dyDescent="0.2">
      <c r="D4264" s="6"/>
      <c r="H4264" s="6">
        <v>42489.447662037041</v>
      </c>
    </row>
    <row r="4265" spans="4:8" x14ac:dyDescent="0.2">
      <c r="D4265" s="6"/>
      <c r="H4265" s="6">
        <v>42489.447662037041</v>
      </c>
    </row>
    <row r="4266" spans="4:8" x14ac:dyDescent="0.2">
      <c r="D4266" s="6"/>
      <c r="H4266" s="6">
        <v>42489.447662037041</v>
      </c>
    </row>
    <row r="4267" spans="4:8" x14ac:dyDescent="0.2">
      <c r="D4267" s="6"/>
      <c r="H4267" s="6">
        <v>42298.361145833333</v>
      </c>
    </row>
    <row r="4268" spans="4:8" x14ac:dyDescent="0.2">
      <c r="D4268" s="6"/>
      <c r="H4268" s="6">
        <v>42298.361215277779</v>
      </c>
    </row>
    <row r="4269" spans="4:8" x14ac:dyDescent="0.2">
      <c r="D4269" s="6"/>
      <c r="H4269" s="6">
        <v>42298.361805555556</v>
      </c>
    </row>
    <row r="4270" spans="4:8" x14ac:dyDescent="0.2">
      <c r="D4270" s="6"/>
      <c r="H4270" s="6">
        <v>42298.361817129633</v>
      </c>
    </row>
    <row r="4271" spans="4:8" x14ac:dyDescent="0.2">
      <c r="D4271" s="6"/>
      <c r="H4271" s="6">
        <v>42298.361840277779</v>
      </c>
    </row>
    <row r="4272" spans="4:8" x14ac:dyDescent="0.2">
      <c r="D4272" s="6"/>
      <c r="H4272" s="6">
        <v>42298.361851851849</v>
      </c>
    </row>
    <row r="4273" spans="4:8" x14ac:dyDescent="0.2">
      <c r="D4273" s="6"/>
      <c r="H4273" s="6">
        <v>42298.361851851849</v>
      </c>
    </row>
    <row r="4274" spans="4:8" x14ac:dyDescent="0.2">
      <c r="D4274" s="6"/>
      <c r="H4274" s="6">
        <v>42298.361863425926</v>
      </c>
    </row>
    <row r="4275" spans="4:8" x14ac:dyDescent="0.2">
      <c r="D4275" s="6"/>
      <c r="H4275" s="6">
        <v>42352.335150462961</v>
      </c>
    </row>
    <row r="4276" spans="4:8" x14ac:dyDescent="0.2">
      <c r="D4276" s="6"/>
      <c r="H4276" s="6">
        <v>42352.334537037037</v>
      </c>
    </row>
    <row r="4277" spans="4:8" x14ac:dyDescent="0.2">
      <c r="D4277" s="6"/>
      <c r="H4277" s="6">
        <v>42458.336724537039</v>
      </c>
    </row>
    <row r="4278" spans="4:8" x14ac:dyDescent="0.2">
      <c r="D4278" s="6"/>
      <c r="H4278" s="6">
        <v>42298.361608796295</v>
      </c>
    </row>
    <row r="4279" spans="4:8" x14ac:dyDescent="0.2">
      <c r="D4279" s="6"/>
      <c r="H4279" s="6">
        <v>42298.361666666664</v>
      </c>
    </row>
    <row r="4280" spans="4:8" x14ac:dyDescent="0.2">
      <c r="D4280" s="6"/>
      <c r="H4280" s="6">
        <v>42298.361678240741</v>
      </c>
    </row>
    <row r="4281" spans="4:8" x14ac:dyDescent="0.2">
      <c r="D4281" s="6"/>
      <c r="H4281" s="6">
        <v>42298.361712962964</v>
      </c>
    </row>
    <row r="4282" spans="4:8" x14ac:dyDescent="0.2">
      <c r="D4282" s="6"/>
      <c r="H4282" s="6">
        <v>42298.361724537041</v>
      </c>
    </row>
    <row r="4283" spans="4:8" x14ac:dyDescent="0.2">
      <c r="D4283" s="6"/>
      <c r="H4283" s="6">
        <v>42298.361759259256</v>
      </c>
    </row>
    <row r="4284" spans="4:8" x14ac:dyDescent="0.2">
      <c r="D4284" s="6"/>
      <c r="H4284" s="6">
        <v>42298.361770833333</v>
      </c>
    </row>
    <row r="4285" spans="4:8" x14ac:dyDescent="0.2">
      <c r="D4285" s="6"/>
      <c r="H4285" s="6">
        <v>42214.53365740741</v>
      </c>
    </row>
    <row r="4286" spans="4:8" x14ac:dyDescent="0.2">
      <c r="D4286" s="6"/>
      <c r="H4286" s="6">
        <v>42342.454699074071</v>
      </c>
    </row>
    <row r="4287" spans="4:8" x14ac:dyDescent="0.2">
      <c r="D4287" s="6"/>
      <c r="H4287" s="6">
        <v>42342.526377314818</v>
      </c>
    </row>
    <row r="4288" spans="4:8" x14ac:dyDescent="0.2">
      <c r="D4288" s="6"/>
      <c r="H4288" s="6">
        <v>42346.746990740743</v>
      </c>
    </row>
    <row r="4289" spans="4:8" x14ac:dyDescent="0.2">
      <c r="D4289" s="6"/>
      <c r="H4289" s="6">
        <v>42347.760833333334</v>
      </c>
    </row>
    <row r="4290" spans="4:8" x14ac:dyDescent="0.2">
      <c r="D4290" s="6"/>
      <c r="H4290" s="6">
        <v>42352.462951388887</v>
      </c>
    </row>
    <row r="4291" spans="4:8" x14ac:dyDescent="0.2">
      <c r="D4291" s="6"/>
      <c r="H4291" s="6">
        <v>42352.374085648145</v>
      </c>
    </row>
    <row r="4292" spans="4:8" x14ac:dyDescent="0.2">
      <c r="D4292" s="6"/>
      <c r="H4292" s="6">
        <v>42380.73300925926</v>
      </c>
    </row>
    <row r="4293" spans="4:8" x14ac:dyDescent="0.2">
      <c r="D4293" s="6"/>
      <c r="H4293" s="6">
        <v>42377.747337962966</v>
      </c>
    </row>
    <row r="4294" spans="4:8" x14ac:dyDescent="0.2">
      <c r="D4294" s="6"/>
      <c r="H4294" s="6">
        <v>42377.743298611109</v>
      </c>
    </row>
    <row r="4295" spans="4:8" x14ac:dyDescent="0.2">
      <c r="D4295" s="6"/>
      <c r="H4295" s="6">
        <v>42395.3122337963</v>
      </c>
    </row>
    <row r="4296" spans="4:8" x14ac:dyDescent="0.2">
      <c r="D4296" s="6"/>
      <c r="H4296" s="6">
        <v>42377.720625000002</v>
      </c>
    </row>
    <row r="4297" spans="4:8" x14ac:dyDescent="0.2">
      <c r="D4297" s="6"/>
      <c r="H4297" s="6">
        <v>42214.53365740741</v>
      </c>
    </row>
    <row r="4298" spans="4:8" x14ac:dyDescent="0.2">
      <c r="D4298" s="6"/>
      <c r="H4298" s="6">
        <v>42214.53365740741</v>
      </c>
    </row>
    <row r="4299" spans="4:8" x14ac:dyDescent="0.2">
      <c r="D4299" s="6"/>
      <c r="H4299" s="6">
        <v>42214.53365740741</v>
      </c>
    </row>
    <row r="4300" spans="4:8" x14ac:dyDescent="0.2">
      <c r="D4300" s="6"/>
      <c r="H4300" s="6">
        <v>42264.391446759262</v>
      </c>
    </row>
    <row r="4301" spans="4:8" x14ac:dyDescent="0.2">
      <c r="D4301" s="6"/>
      <c r="H4301" s="6">
        <v>42276.512245370373</v>
      </c>
    </row>
    <row r="4302" spans="4:8" x14ac:dyDescent="0.2">
      <c r="D4302" s="6"/>
      <c r="H4302" s="6">
        <v>42263.692175925928</v>
      </c>
    </row>
    <row r="4303" spans="4:8" x14ac:dyDescent="0.2">
      <c r="D4303" s="6"/>
      <c r="H4303" s="6">
        <v>42276.509131944447</v>
      </c>
    </row>
    <row r="4304" spans="4:8" x14ac:dyDescent="0.2">
      <c r="D4304" s="6"/>
      <c r="H4304" s="6">
        <v>42262.394502314812</v>
      </c>
    </row>
    <row r="4305" spans="4:8" x14ac:dyDescent="0.2">
      <c r="D4305" s="6"/>
      <c r="H4305" s="6">
        <v>42383.710902777777</v>
      </c>
    </row>
    <row r="4306" spans="4:8" x14ac:dyDescent="0.2">
      <c r="D4306" s="6"/>
      <c r="H4306" s="6">
        <v>42383.7108912037</v>
      </c>
    </row>
    <row r="4307" spans="4:8" x14ac:dyDescent="0.2">
      <c r="D4307" s="6"/>
      <c r="H4307" s="6">
        <v>42397.729004629633</v>
      </c>
    </row>
    <row r="4308" spans="4:8" x14ac:dyDescent="0.2">
      <c r="D4308" s="6"/>
      <c r="H4308" s="6">
        <v>42383.710243055553</v>
      </c>
    </row>
    <row r="4309" spans="4:8" x14ac:dyDescent="0.2">
      <c r="D4309" s="6"/>
      <c r="H4309" s="6">
        <v>42383.710381944446</v>
      </c>
    </row>
    <row r="4310" spans="4:8" x14ac:dyDescent="0.2">
      <c r="D4310" s="6"/>
      <c r="H4310" s="6">
        <v>42214.526412037034</v>
      </c>
    </row>
    <row r="4311" spans="4:8" x14ac:dyDescent="0.2">
      <c r="D4311" s="6"/>
      <c r="H4311" s="6">
        <v>42214.526412037034</v>
      </c>
    </row>
    <row r="4312" spans="4:8" x14ac:dyDescent="0.2">
      <c r="D4312" s="6"/>
      <c r="H4312" s="6">
        <v>42214.526412037034</v>
      </c>
    </row>
    <row r="4313" spans="4:8" x14ac:dyDescent="0.2">
      <c r="D4313" s="6"/>
      <c r="H4313" s="6">
        <v>42214.526412037034</v>
      </c>
    </row>
    <row r="4314" spans="4:8" x14ac:dyDescent="0.2">
      <c r="D4314" s="6"/>
      <c r="H4314" s="6">
        <v>42214.526412037034</v>
      </c>
    </row>
    <row r="4315" spans="4:8" x14ac:dyDescent="0.2">
      <c r="D4315" s="6"/>
      <c r="H4315" s="6">
        <v>42230.524687500001</v>
      </c>
    </row>
    <row r="4316" spans="4:8" x14ac:dyDescent="0.2">
      <c r="D4316" s="6"/>
      <c r="H4316" s="6">
        <v>42230.735162037039</v>
      </c>
    </row>
    <row r="4317" spans="4:8" x14ac:dyDescent="0.2">
      <c r="D4317" s="6"/>
      <c r="H4317" s="6">
        <v>42188.431504629632</v>
      </c>
    </row>
    <row r="4318" spans="4:8" x14ac:dyDescent="0.2">
      <c r="D4318" s="6"/>
      <c r="H4318" s="6">
        <v>42188.431504629632</v>
      </c>
    </row>
    <row r="4319" spans="4:8" x14ac:dyDescent="0.2">
      <c r="D4319" s="6"/>
      <c r="H4319" s="6">
        <v>42188.431504629632</v>
      </c>
    </row>
    <row r="4320" spans="4:8" x14ac:dyDescent="0.2">
      <c r="D4320" s="6"/>
      <c r="H4320" s="6">
        <v>42188.431504629632</v>
      </c>
    </row>
    <row r="4321" spans="4:8" x14ac:dyDescent="0.2">
      <c r="D4321" s="6"/>
      <c r="H4321" s="6">
        <v>42188.431504629632</v>
      </c>
    </row>
    <row r="4322" spans="4:8" x14ac:dyDescent="0.2">
      <c r="D4322" s="6"/>
      <c r="H4322" s="6">
        <v>42188.431493055556</v>
      </c>
    </row>
    <row r="4323" spans="4:8" x14ac:dyDescent="0.2">
      <c r="D4323" s="6"/>
      <c r="H4323" s="6">
        <v>42188.431493055556</v>
      </c>
    </row>
    <row r="4324" spans="4:8" x14ac:dyDescent="0.2">
      <c r="D4324" s="6"/>
      <c r="H4324" s="6">
        <v>42188.431493055556</v>
      </c>
    </row>
    <row r="4325" spans="4:8" x14ac:dyDescent="0.2">
      <c r="D4325" s="6"/>
      <c r="H4325" s="6">
        <v>42188.431493055556</v>
      </c>
    </row>
    <row r="4326" spans="4:8" x14ac:dyDescent="0.2">
      <c r="D4326" s="6"/>
      <c r="H4326" s="6">
        <v>42188.431493055556</v>
      </c>
    </row>
    <row r="4327" spans="4:8" x14ac:dyDescent="0.2">
      <c r="D4327" s="6"/>
      <c r="H4327" s="6">
        <v>42188.431504629632</v>
      </c>
    </row>
    <row r="4328" spans="4:8" x14ac:dyDescent="0.2">
      <c r="D4328" s="6"/>
      <c r="H4328" s="6">
        <v>42188.431504629632</v>
      </c>
    </row>
    <row r="4329" spans="4:8" x14ac:dyDescent="0.2">
      <c r="D4329" s="6"/>
      <c r="H4329" s="6">
        <v>42188.431504629632</v>
      </c>
    </row>
    <row r="4330" spans="4:8" x14ac:dyDescent="0.2">
      <c r="D4330" s="6"/>
      <c r="H4330" s="6">
        <v>42188.433344907404</v>
      </c>
    </row>
    <row r="4331" spans="4:8" x14ac:dyDescent="0.2">
      <c r="D4331" s="6"/>
      <c r="H4331" s="6">
        <v>42213.395590277774</v>
      </c>
    </row>
    <row r="4332" spans="4:8" x14ac:dyDescent="0.2">
      <c r="D4332" s="6"/>
      <c r="H4332" s="6">
        <v>42263.4137962963</v>
      </c>
    </row>
    <row r="4333" spans="4:8" x14ac:dyDescent="0.2">
      <c r="D4333" s="6"/>
      <c r="H4333" s="6">
        <v>42263.413807870369</v>
      </c>
    </row>
    <row r="4334" spans="4:8" x14ac:dyDescent="0.2">
      <c r="D4334" s="6"/>
      <c r="H4334" s="6">
        <v>42263.413819444446</v>
      </c>
    </row>
    <row r="4335" spans="4:8" x14ac:dyDescent="0.2">
      <c r="D4335" s="6"/>
      <c r="H4335" s="6">
        <v>42263.413819444446</v>
      </c>
    </row>
    <row r="4336" spans="4:8" x14ac:dyDescent="0.2">
      <c r="D4336" s="6"/>
      <c r="H4336" s="6">
        <v>42263.413807870369</v>
      </c>
    </row>
    <row r="4337" spans="4:8" x14ac:dyDescent="0.2">
      <c r="D4337" s="6"/>
      <c r="H4337" s="6">
        <v>42263.413807870369</v>
      </c>
    </row>
    <row r="4338" spans="4:8" x14ac:dyDescent="0.2">
      <c r="D4338" s="6"/>
      <c r="H4338" s="6">
        <v>42263.413807870369</v>
      </c>
    </row>
    <row r="4339" spans="4:8" x14ac:dyDescent="0.2">
      <c r="D4339" s="6"/>
      <c r="H4339" s="6">
        <v>42263.413807870369</v>
      </c>
    </row>
    <row r="4340" spans="4:8" x14ac:dyDescent="0.2">
      <c r="D4340" s="6"/>
      <c r="H4340" s="6">
        <v>42263.413807870369</v>
      </c>
    </row>
    <row r="4341" spans="4:8" x14ac:dyDescent="0.2">
      <c r="D4341" s="6"/>
      <c r="H4341" s="6">
        <v>42263.413819444446</v>
      </c>
    </row>
    <row r="4342" spans="4:8" x14ac:dyDescent="0.2">
      <c r="D4342" s="6"/>
      <c r="H4342" s="6">
        <v>42263.413819444446</v>
      </c>
    </row>
    <row r="4343" spans="4:8" x14ac:dyDescent="0.2">
      <c r="D4343" s="6"/>
      <c r="H4343" s="6">
        <v>42263.413819444446</v>
      </c>
    </row>
    <row r="4344" spans="4:8" x14ac:dyDescent="0.2">
      <c r="D4344" s="6"/>
      <c r="H4344" s="6">
        <v>42291.611377314817</v>
      </c>
    </row>
    <row r="4345" spans="4:8" x14ac:dyDescent="0.2">
      <c r="D4345" s="6"/>
      <c r="H4345" s="6">
        <v>42291.632025462961</v>
      </c>
    </row>
    <row r="4346" spans="4:8" x14ac:dyDescent="0.2">
      <c r="D4346" s="6"/>
      <c r="H4346" s="6">
        <v>42188.431759259256</v>
      </c>
    </row>
    <row r="4347" spans="4:8" x14ac:dyDescent="0.2">
      <c r="D4347" s="6"/>
      <c r="H4347" s="6">
        <v>42188.431759259256</v>
      </c>
    </row>
    <row r="4348" spans="4:8" x14ac:dyDescent="0.2">
      <c r="D4348" s="6"/>
      <c r="H4348" s="6">
        <v>42188.431759259256</v>
      </c>
    </row>
    <row r="4349" spans="4:8" x14ac:dyDescent="0.2">
      <c r="D4349" s="6"/>
      <c r="H4349" s="6">
        <v>42188.431759259256</v>
      </c>
    </row>
    <row r="4350" spans="4:8" x14ac:dyDescent="0.2">
      <c r="D4350" s="6"/>
      <c r="H4350" s="6">
        <v>42188.431759259256</v>
      </c>
    </row>
    <row r="4351" spans="4:8" x14ac:dyDescent="0.2">
      <c r="D4351" s="6"/>
      <c r="H4351" s="6">
        <v>42187.634432870371</v>
      </c>
    </row>
    <row r="4352" spans="4:8" x14ac:dyDescent="0.2">
      <c r="D4352" s="6"/>
      <c r="H4352" s="6">
        <v>42193.644837962966</v>
      </c>
    </row>
    <row r="4353" spans="4:8" x14ac:dyDescent="0.2">
      <c r="D4353" s="6"/>
      <c r="H4353" s="6">
        <v>42130.67627314815</v>
      </c>
    </row>
    <row r="4354" spans="4:8" x14ac:dyDescent="0.2">
      <c r="D4354" s="6"/>
      <c r="H4354" s="6">
        <v>42135.35769675926</v>
      </c>
    </row>
    <row r="4355" spans="4:8" x14ac:dyDescent="0.2">
      <c r="D4355" s="6"/>
      <c r="H4355" s="6">
        <v>42149.55841435185</v>
      </c>
    </row>
    <row r="4356" spans="4:8" x14ac:dyDescent="0.2">
      <c r="D4356" s="6"/>
      <c r="H4356" s="6">
        <v>42187.527407407404</v>
      </c>
    </row>
    <row r="4357" spans="4:8" x14ac:dyDescent="0.2">
      <c r="D4357" s="6"/>
      <c r="H4357" s="6">
        <v>42187.527407407404</v>
      </c>
    </row>
    <row r="4358" spans="4:8" x14ac:dyDescent="0.2">
      <c r="D4358" s="6"/>
      <c r="H4358" s="6">
        <v>42187.527407407404</v>
      </c>
    </row>
    <row r="4359" spans="4:8" x14ac:dyDescent="0.2">
      <c r="D4359" s="6"/>
      <c r="H4359" s="6">
        <v>42187.527418981481</v>
      </c>
    </row>
    <row r="4360" spans="4:8" x14ac:dyDescent="0.2">
      <c r="D4360" s="6"/>
      <c r="H4360" s="6">
        <v>42187.610462962963</v>
      </c>
    </row>
    <row r="4361" spans="4:8" x14ac:dyDescent="0.2">
      <c r="D4361" s="6"/>
      <c r="H4361" s="6">
        <v>42193.646979166668</v>
      </c>
    </row>
    <row r="4362" spans="4:8" x14ac:dyDescent="0.2">
      <c r="D4362" s="6"/>
      <c r="H4362" s="6">
        <v>42361.466770833336</v>
      </c>
    </row>
    <row r="4363" spans="4:8" x14ac:dyDescent="0.2">
      <c r="D4363" s="6"/>
      <c r="H4363" s="6">
        <v>42339.523680555554</v>
      </c>
    </row>
    <row r="4364" spans="4:8" x14ac:dyDescent="0.2">
      <c r="D4364" s="6"/>
      <c r="H4364" s="6">
        <v>42339.522499999999</v>
      </c>
    </row>
    <row r="4365" spans="4:8" x14ac:dyDescent="0.2">
      <c r="D4365" s="6"/>
      <c r="H4365" s="6">
        <v>42339.521643518521</v>
      </c>
    </row>
    <row r="4366" spans="4:8" x14ac:dyDescent="0.2">
      <c r="D4366" s="6"/>
      <c r="H4366" s="6">
        <v>42339.521643518521</v>
      </c>
    </row>
    <row r="4367" spans="4:8" x14ac:dyDescent="0.2">
      <c r="D4367" s="6"/>
      <c r="H4367" s="6">
        <v>42339.521643518521</v>
      </c>
    </row>
    <row r="4368" spans="4:8" x14ac:dyDescent="0.2">
      <c r="D4368" s="6"/>
      <c r="H4368" s="6">
        <v>42339.521643518521</v>
      </c>
    </row>
    <row r="4369" spans="4:8" x14ac:dyDescent="0.2">
      <c r="D4369" s="6"/>
      <c r="H4369" s="6">
        <v>42339.521643518521</v>
      </c>
    </row>
    <row r="4370" spans="4:8" x14ac:dyDescent="0.2">
      <c r="D4370" s="6"/>
      <c r="H4370" s="6">
        <v>42361.431770833333</v>
      </c>
    </row>
    <row r="4371" spans="4:8" x14ac:dyDescent="0.2">
      <c r="D4371" s="6"/>
      <c r="H4371" s="6">
        <v>42361.433993055558</v>
      </c>
    </row>
    <row r="4372" spans="4:8" x14ac:dyDescent="0.2">
      <c r="D4372" s="6"/>
      <c r="H4372" s="6">
        <v>42375.749664351853</v>
      </c>
    </row>
    <row r="4373" spans="4:8" x14ac:dyDescent="0.2">
      <c r="D4373" s="6"/>
      <c r="H4373" s="6">
        <v>42388.740706018521</v>
      </c>
    </row>
    <row r="4374" spans="4:8" x14ac:dyDescent="0.2">
      <c r="D4374" s="6"/>
      <c r="H4374" s="6">
        <v>42388.740706018521</v>
      </c>
    </row>
    <row r="4375" spans="4:8" x14ac:dyDescent="0.2">
      <c r="D4375" s="6"/>
      <c r="H4375" s="6">
        <v>42388.740706018521</v>
      </c>
    </row>
    <row r="4376" spans="4:8" x14ac:dyDescent="0.2">
      <c r="D4376" s="6"/>
      <c r="H4376" s="6">
        <v>42388.740706018521</v>
      </c>
    </row>
    <row r="4377" spans="4:8" x14ac:dyDescent="0.2">
      <c r="D4377" s="6"/>
      <c r="H4377" s="6">
        <v>42388.740706018521</v>
      </c>
    </row>
    <row r="4378" spans="4:8" x14ac:dyDescent="0.2">
      <c r="D4378" s="6"/>
      <c r="H4378" s="6">
        <v>42388.740706018521</v>
      </c>
    </row>
    <row r="4379" spans="4:8" x14ac:dyDescent="0.2">
      <c r="D4379" s="6"/>
      <c r="H4379" s="6">
        <v>42405.543958333335</v>
      </c>
    </row>
    <row r="4380" spans="4:8" x14ac:dyDescent="0.2">
      <c r="D4380" s="6"/>
      <c r="H4380" s="6">
        <v>42405.544085648151</v>
      </c>
    </row>
    <row r="4381" spans="4:8" x14ac:dyDescent="0.2">
      <c r="D4381" s="6"/>
      <c r="H4381" s="6">
        <v>42188.432013888887</v>
      </c>
    </row>
    <row r="4382" spans="4:8" x14ac:dyDescent="0.2">
      <c r="D4382" s="6"/>
      <c r="H4382" s="6">
        <v>42188.432013888887</v>
      </c>
    </row>
    <row r="4383" spans="4:8" x14ac:dyDescent="0.2">
      <c r="D4383" s="6"/>
      <c r="H4383" s="6">
        <v>42188.432002314818</v>
      </c>
    </row>
    <row r="4384" spans="4:8" x14ac:dyDescent="0.2">
      <c r="D4384" s="6"/>
      <c r="H4384" s="6">
        <v>42188.432013888887</v>
      </c>
    </row>
    <row r="4385" spans="4:8" x14ac:dyDescent="0.2">
      <c r="D4385" s="6"/>
      <c r="H4385" s="6">
        <v>42188.432013888887</v>
      </c>
    </row>
    <row r="4386" spans="4:8" x14ac:dyDescent="0.2">
      <c r="D4386" s="6"/>
      <c r="H4386" s="6">
        <v>42187.635335648149</v>
      </c>
    </row>
    <row r="4387" spans="4:8" x14ac:dyDescent="0.2">
      <c r="D4387" s="6"/>
      <c r="H4387" s="6">
        <v>42193.644733796296</v>
      </c>
    </row>
    <row r="4388" spans="4:8" x14ac:dyDescent="0.2">
      <c r="D4388" s="6"/>
      <c r="H4388" s="6">
        <v>42149.551805555559</v>
      </c>
    </row>
    <row r="4389" spans="4:8" x14ac:dyDescent="0.2">
      <c r="D4389" s="6"/>
      <c r="H4389" s="6">
        <v>42130.685057870367</v>
      </c>
    </row>
    <row r="4390" spans="4:8" x14ac:dyDescent="0.2">
      <c r="D4390" s="6"/>
      <c r="H4390" s="6">
        <v>42135.357708333337</v>
      </c>
    </row>
    <row r="4391" spans="4:8" x14ac:dyDescent="0.2">
      <c r="D4391" s="6"/>
      <c r="H4391" s="6">
        <v>42149.558553240742</v>
      </c>
    </row>
    <row r="4392" spans="4:8" x14ac:dyDescent="0.2">
      <c r="D4392" s="6"/>
      <c r="H4392" s="6">
        <v>42187.527592592596</v>
      </c>
    </row>
    <row r="4393" spans="4:8" x14ac:dyDescent="0.2">
      <c r="D4393" s="6"/>
      <c r="H4393" s="6">
        <v>42187.527592592596</v>
      </c>
    </row>
    <row r="4394" spans="4:8" x14ac:dyDescent="0.2">
      <c r="D4394" s="6"/>
      <c r="H4394" s="6">
        <v>42187.527592592596</v>
      </c>
    </row>
    <row r="4395" spans="4:8" x14ac:dyDescent="0.2">
      <c r="D4395" s="6"/>
      <c r="H4395" s="6">
        <v>42187.527592592596</v>
      </c>
    </row>
    <row r="4396" spans="4:8" x14ac:dyDescent="0.2">
      <c r="D4396" s="6"/>
      <c r="H4396" s="6">
        <v>42187.611354166664</v>
      </c>
    </row>
    <row r="4397" spans="4:8" x14ac:dyDescent="0.2">
      <c r="D4397" s="6"/>
      <c r="H4397" s="6">
        <v>42193.646863425929</v>
      </c>
    </row>
    <row r="4398" spans="4:8" x14ac:dyDescent="0.2">
      <c r="D4398" s="6"/>
      <c r="H4398" s="6">
        <v>42136.387037037035</v>
      </c>
    </row>
    <row r="4399" spans="4:8" x14ac:dyDescent="0.2">
      <c r="D4399" s="6"/>
      <c r="H4399" s="6">
        <v>42136.387037037035</v>
      </c>
    </row>
    <row r="4400" spans="4:8" x14ac:dyDescent="0.2">
      <c r="D4400" s="6"/>
      <c r="H4400" s="6">
        <v>42136.387037037035</v>
      </c>
    </row>
    <row r="4401" spans="4:8" x14ac:dyDescent="0.2">
      <c r="D4401" s="6"/>
      <c r="H4401" s="6">
        <v>42136.387037037035</v>
      </c>
    </row>
    <row r="4402" spans="4:8" x14ac:dyDescent="0.2">
      <c r="D4402" s="6"/>
      <c r="H4402" s="6">
        <v>42149.551828703705</v>
      </c>
    </row>
    <row r="4403" spans="4:8" x14ac:dyDescent="0.2">
      <c r="D4403" s="6"/>
      <c r="H4403" s="6">
        <v>42149.558692129627</v>
      </c>
    </row>
    <row r="4404" spans="4:8" x14ac:dyDescent="0.2">
      <c r="D4404" s="6"/>
      <c r="H4404" s="6">
        <v>42187.527708333335</v>
      </c>
    </row>
    <row r="4405" spans="4:8" x14ac:dyDescent="0.2">
      <c r="D4405" s="6"/>
      <c r="H4405" s="6">
        <v>42187.527708333335</v>
      </c>
    </row>
    <row r="4406" spans="4:8" x14ac:dyDescent="0.2">
      <c r="D4406" s="6"/>
      <c r="H4406" s="6">
        <v>42187.612071759257</v>
      </c>
    </row>
    <row r="4407" spans="4:8" x14ac:dyDescent="0.2">
      <c r="D4407" s="6"/>
      <c r="H4407" s="6">
        <v>42193.646782407406</v>
      </c>
    </row>
    <row r="4408" spans="4:8" x14ac:dyDescent="0.2">
      <c r="D4408" s="6"/>
      <c r="H4408" s="6">
        <v>42135.357708333337</v>
      </c>
    </row>
    <row r="4409" spans="4:8" x14ac:dyDescent="0.2">
      <c r="D4409" s="6"/>
      <c r="H4409" s="6">
        <v>42149.558831018519</v>
      </c>
    </row>
    <row r="4410" spans="4:8" x14ac:dyDescent="0.2">
      <c r="D4410" s="6"/>
      <c r="H4410" s="6">
        <v>42130.693715277775</v>
      </c>
    </row>
    <row r="4411" spans="4:8" x14ac:dyDescent="0.2">
      <c r="D4411" s="6"/>
      <c r="H4411" s="6">
        <v>42187.527824074074</v>
      </c>
    </row>
    <row r="4412" spans="4:8" x14ac:dyDescent="0.2">
      <c r="D4412" s="6"/>
      <c r="H4412" s="6">
        <v>42187.527824074074</v>
      </c>
    </row>
    <row r="4413" spans="4:8" x14ac:dyDescent="0.2">
      <c r="D4413" s="6"/>
      <c r="H4413" s="6">
        <v>42187.612615740742</v>
      </c>
    </row>
    <row r="4414" spans="4:8" x14ac:dyDescent="0.2">
      <c r="D4414" s="6"/>
      <c r="H4414" s="6">
        <v>42193.646643518521</v>
      </c>
    </row>
    <row r="4415" spans="4:8" x14ac:dyDescent="0.2">
      <c r="D4415" s="6"/>
      <c r="H4415" s="6">
        <v>42188.432291666664</v>
      </c>
    </row>
    <row r="4416" spans="4:8" x14ac:dyDescent="0.2">
      <c r="D4416" s="6"/>
      <c r="H4416" s="6">
        <v>42188.432291666664</v>
      </c>
    </row>
    <row r="4417" spans="4:8" x14ac:dyDescent="0.2">
      <c r="D4417" s="6"/>
      <c r="H4417" s="6">
        <v>42188.432291666664</v>
      </c>
    </row>
    <row r="4418" spans="4:8" x14ac:dyDescent="0.2">
      <c r="D4418" s="6"/>
      <c r="H4418" s="6">
        <v>42188.432291666664</v>
      </c>
    </row>
    <row r="4419" spans="4:8" x14ac:dyDescent="0.2">
      <c r="D4419" s="6"/>
      <c r="H4419" s="6">
        <v>42194.528368055559</v>
      </c>
    </row>
    <row r="4420" spans="4:8" x14ac:dyDescent="0.2">
      <c r="D4420" s="6"/>
      <c r="H4420" s="6">
        <v>42187.636493055557</v>
      </c>
    </row>
    <row r="4421" spans="4:8" x14ac:dyDescent="0.2">
      <c r="D4421" s="6"/>
      <c r="H4421" s="6">
        <v>42188.432569444441</v>
      </c>
    </row>
    <row r="4422" spans="4:8" x14ac:dyDescent="0.2">
      <c r="D4422" s="6"/>
      <c r="H4422" s="6">
        <v>42188.432569444441</v>
      </c>
    </row>
    <row r="4423" spans="4:8" x14ac:dyDescent="0.2">
      <c r="D4423" s="6"/>
      <c r="H4423" s="6">
        <v>42188.432569444441</v>
      </c>
    </row>
    <row r="4424" spans="4:8" x14ac:dyDescent="0.2">
      <c r="D4424" s="6"/>
      <c r="H4424" s="6">
        <v>42194.528761574074</v>
      </c>
    </row>
    <row r="4425" spans="4:8" x14ac:dyDescent="0.2">
      <c r="D4425" s="6"/>
      <c r="H4425" s="6">
        <v>42187.637233796297</v>
      </c>
    </row>
    <row r="4426" spans="4:8" x14ac:dyDescent="0.2">
      <c r="D4426" s="6"/>
      <c r="H4426" s="6">
        <v>42139.676886574074</v>
      </c>
    </row>
    <row r="4427" spans="4:8" x14ac:dyDescent="0.2">
      <c r="D4427" s="6"/>
      <c r="H4427" s="6">
        <v>42139.675856481481</v>
      </c>
    </row>
    <row r="4428" spans="4:8" x14ac:dyDescent="0.2">
      <c r="D4428" s="6"/>
      <c r="H4428" s="6">
        <v>42139.676423611112</v>
      </c>
    </row>
    <row r="4429" spans="4:8" x14ac:dyDescent="0.2">
      <c r="D4429" s="6"/>
      <c r="H4429" s="6">
        <v>42139.677314814813</v>
      </c>
    </row>
    <row r="4430" spans="4:8" x14ac:dyDescent="0.2">
      <c r="D4430" s="6"/>
      <c r="H4430" s="6">
        <v>42149.551828703705</v>
      </c>
    </row>
    <row r="4431" spans="4:8" x14ac:dyDescent="0.2">
      <c r="D4431" s="6"/>
      <c r="H4431" s="6">
        <v>42149.558981481481</v>
      </c>
    </row>
    <row r="4432" spans="4:8" x14ac:dyDescent="0.2">
      <c r="D4432" s="6"/>
      <c r="H4432" s="6">
        <v>42187.527962962966</v>
      </c>
    </row>
    <row r="4433" spans="4:8" x14ac:dyDescent="0.2">
      <c r="D4433" s="6"/>
      <c r="H4433" s="6">
        <v>42187.613217592596</v>
      </c>
    </row>
    <row r="4434" spans="4:8" x14ac:dyDescent="0.2">
      <c r="D4434" s="6"/>
      <c r="H4434" s="6">
        <v>42193.646516203706</v>
      </c>
    </row>
    <row r="4435" spans="4:8" x14ac:dyDescent="0.2">
      <c r="D4435" s="6"/>
      <c r="H4435" s="6">
        <v>42214.526712962965</v>
      </c>
    </row>
    <row r="4436" spans="4:8" x14ac:dyDescent="0.2">
      <c r="D4436" s="6"/>
      <c r="H4436" s="6">
        <v>42214.526712962965</v>
      </c>
    </row>
    <row r="4437" spans="4:8" x14ac:dyDescent="0.2">
      <c r="D4437" s="6"/>
      <c r="H4437" s="6">
        <v>42214.526724537034</v>
      </c>
    </row>
    <row r="4438" spans="4:8" x14ac:dyDescent="0.2">
      <c r="D4438" s="6"/>
      <c r="H4438" s="6">
        <v>42214.526724537034</v>
      </c>
    </row>
    <row r="4439" spans="4:8" x14ac:dyDescent="0.2">
      <c r="D4439" s="6"/>
      <c r="H4439" s="6">
        <v>42214.526747685188</v>
      </c>
    </row>
    <row r="4440" spans="4:8" x14ac:dyDescent="0.2">
      <c r="D4440" s="6"/>
      <c r="H4440" s="6">
        <v>42214.526747685188</v>
      </c>
    </row>
    <row r="4441" spans="4:8" x14ac:dyDescent="0.2">
      <c r="D4441" s="6"/>
      <c r="H4441" s="6">
        <v>42214.526747685188</v>
      </c>
    </row>
    <row r="4442" spans="4:8" x14ac:dyDescent="0.2">
      <c r="D4442" s="6"/>
      <c r="H4442" s="6">
        <v>42230.530266203707</v>
      </c>
    </row>
    <row r="4443" spans="4:8" x14ac:dyDescent="0.2">
      <c r="D4443" s="6"/>
      <c r="H4443" s="6">
        <v>42230.74596064815</v>
      </c>
    </row>
    <row r="4444" spans="4:8" x14ac:dyDescent="0.2">
      <c r="D4444" s="6"/>
      <c r="H4444" s="6">
        <v>42289.3903125</v>
      </c>
    </row>
    <row r="4445" spans="4:8" x14ac:dyDescent="0.2">
      <c r="D4445" s="6"/>
      <c r="H4445" s="6">
        <v>42289.387395833335</v>
      </c>
    </row>
    <row r="4446" spans="4:8" x14ac:dyDescent="0.2">
      <c r="D4446" s="6"/>
      <c r="H4446" s="6">
        <v>42214.531134259261</v>
      </c>
    </row>
    <row r="4447" spans="4:8" x14ac:dyDescent="0.2">
      <c r="D4447" s="6"/>
      <c r="H4447" s="6">
        <v>42214.531134259261</v>
      </c>
    </row>
    <row r="4448" spans="4:8" x14ac:dyDescent="0.2">
      <c r="D4448" s="6"/>
      <c r="H4448" s="6">
        <v>42214.531134259261</v>
      </c>
    </row>
    <row r="4449" spans="4:8" x14ac:dyDescent="0.2">
      <c r="D4449" s="6"/>
      <c r="H4449" s="6">
        <v>42214.531134259261</v>
      </c>
    </row>
    <row r="4450" spans="4:8" x14ac:dyDescent="0.2">
      <c r="D4450" s="6"/>
      <c r="H4450" s="6">
        <v>42214.531134259261</v>
      </c>
    </row>
    <row r="4451" spans="4:8" x14ac:dyDescent="0.2">
      <c r="D4451" s="6"/>
      <c r="H4451" s="6">
        <v>42214.531134259261</v>
      </c>
    </row>
    <row r="4452" spans="4:8" x14ac:dyDescent="0.2">
      <c r="D4452" s="6"/>
      <c r="H4452" s="6">
        <v>42214.531134259261</v>
      </c>
    </row>
    <row r="4453" spans="4:8" x14ac:dyDescent="0.2">
      <c r="D4453" s="6"/>
      <c r="H4453" s="6">
        <v>42214.531134259261</v>
      </c>
    </row>
    <row r="4454" spans="4:8" x14ac:dyDescent="0.2">
      <c r="D4454" s="6"/>
      <c r="H4454" s="6">
        <v>42230.53701388889</v>
      </c>
    </row>
    <row r="4455" spans="4:8" x14ac:dyDescent="0.2">
      <c r="D4455" s="6"/>
      <c r="H4455" s="6">
        <v>42230.746608796297</v>
      </c>
    </row>
    <row r="4456" spans="4:8" x14ac:dyDescent="0.2">
      <c r="D4456" s="6"/>
      <c r="H4456" s="6">
        <v>42130.698564814818</v>
      </c>
    </row>
    <row r="4457" spans="4:8" x14ac:dyDescent="0.2">
      <c r="D4457" s="6"/>
      <c r="H4457" s="6">
        <v>42135.357708333337</v>
      </c>
    </row>
    <row r="4458" spans="4:8" x14ac:dyDescent="0.2">
      <c r="D4458" s="6"/>
      <c r="H4458" s="6">
        <v>42149.559108796297</v>
      </c>
    </row>
    <row r="4459" spans="4:8" x14ac:dyDescent="0.2">
      <c r="D4459" s="6"/>
      <c r="H4459" s="6">
        <v>42187.528136574074</v>
      </c>
    </row>
    <row r="4460" spans="4:8" x14ac:dyDescent="0.2">
      <c r="D4460" s="6"/>
      <c r="H4460" s="6">
        <v>42187.613715277781</v>
      </c>
    </row>
    <row r="4461" spans="4:8" x14ac:dyDescent="0.2">
      <c r="D4461" s="6"/>
      <c r="H4461" s="6">
        <v>42193.690844907411</v>
      </c>
    </row>
    <row r="4462" spans="4:8" x14ac:dyDescent="0.2">
      <c r="D4462" s="6"/>
      <c r="H4462" s="6">
        <v>42230.74732638889</v>
      </c>
    </row>
    <row r="4463" spans="4:8" x14ac:dyDescent="0.2">
      <c r="D4463" s="6"/>
      <c r="H4463" s="6">
        <v>42230.748657407406</v>
      </c>
    </row>
    <row r="4464" spans="4:8" x14ac:dyDescent="0.2">
      <c r="D4464" s="6"/>
      <c r="H4464" s="6">
        <v>42214.534085648149</v>
      </c>
    </row>
    <row r="4465" spans="4:8" x14ac:dyDescent="0.2">
      <c r="D4465" s="6"/>
      <c r="H4465" s="6">
        <v>42214.534085648149</v>
      </c>
    </row>
    <row r="4466" spans="4:8" x14ac:dyDescent="0.2">
      <c r="D4466" s="6"/>
      <c r="H4466" s="6">
        <v>42214.534085648149</v>
      </c>
    </row>
    <row r="4467" spans="4:8" x14ac:dyDescent="0.2">
      <c r="D4467" s="6"/>
      <c r="H4467" s="6">
        <v>42214.534085648149</v>
      </c>
    </row>
    <row r="4468" spans="4:8" x14ac:dyDescent="0.2">
      <c r="D4468" s="6"/>
      <c r="H4468" s="6">
        <v>42230.748912037037</v>
      </c>
    </row>
    <row r="4469" spans="4:8" x14ac:dyDescent="0.2">
      <c r="D4469" s="6"/>
      <c r="H4469" s="6">
        <v>42230.749884259261</v>
      </c>
    </row>
    <row r="4470" spans="4:8" x14ac:dyDescent="0.2">
      <c r="D4470" s="6"/>
      <c r="H4470" s="6">
        <v>42214.534363425926</v>
      </c>
    </row>
    <row r="4471" spans="4:8" x14ac:dyDescent="0.2">
      <c r="D4471" s="6"/>
      <c r="H4471" s="6">
        <v>42214.534363425926</v>
      </c>
    </row>
    <row r="4472" spans="4:8" x14ac:dyDescent="0.2">
      <c r="D4472" s="6"/>
      <c r="H4472" s="6">
        <v>42214.534363425926</v>
      </c>
    </row>
    <row r="4473" spans="4:8" x14ac:dyDescent="0.2">
      <c r="D4473" s="6"/>
      <c r="H4473" s="6">
        <v>42214.534363425926</v>
      </c>
    </row>
    <row r="4474" spans="4:8" x14ac:dyDescent="0.2">
      <c r="D4474" s="6"/>
      <c r="H4474" s="6">
        <v>42230.750590277778</v>
      </c>
    </row>
    <row r="4475" spans="4:8" x14ac:dyDescent="0.2">
      <c r="D4475" s="6"/>
      <c r="H4475" s="6">
        <v>42230.751643518517</v>
      </c>
    </row>
    <row r="4476" spans="4:8" x14ac:dyDescent="0.2">
      <c r="D4476" s="6"/>
      <c r="H4476" s="6">
        <v>42214.534641203703</v>
      </c>
    </row>
    <row r="4477" spans="4:8" x14ac:dyDescent="0.2">
      <c r="D4477" s="6"/>
      <c r="H4477" s="6">
        <v>42214.534641203703</v>
      </c>
    </row>
    <row r="4478" spans="4:8" x14ac:dyDescent="0.2">
      <c r="D4478" s="6"/>
      <c r="H4478" s="6">
        <v>42135.357708333337</v>
      </c>
    </row>
    <row r="4479" spans="4:8" x14ac:dyDescent="0.2">
      <c r="D4479" s="6"/>
      <c r="H4479" s="6">
        <v>42149.559236111112</v>
      </c>
    </row>
    <row r="4480" spans="4:8" x14ac:dyDescent="0.2">
      <c r="D4480" s="6"/>
      <c r="H4480" s="6">
        <v>42130.701655092591</v>
      </c>
    </row>
    <row r="4481" spans="4:8" x14ac:dyDescent="0.2">
      <c r="D4481" s="6"/>
      <c r="H4481" s="6">
        <v>42149.559363425928</v>
      </c>
    </row>
    <row r="4482" spans="4:8" x14ac:dyDescent="0.2">
      <c r="D4482" s="6"/>
      <c r="H4482" s="6">
        <v>42187.528263888889</v>
      </c>
    </row>
    <row r="4483" spans="4:8" x14ac:dyDescent="0.2">
      <c r="D4483" s="6"/>
      <c r="H4483" s="6">
        <v>42187.614201388889</v>
      </c>
    </row>
    <row r="4484" spans="4:8" x14ac:dyDescent="0.2">
      <c r="D4484" s="6"/>
      <c r="H4484" s="6">
        <v>42193.646412037036</v>
      </c>
    </row>
    <row r="4485" spans="4:8" x14ac:dyDescent="0.2">
      <c r="D4485" s="6"/>
      <c r="H4485" s="6">
        <v>42135.357708333337</v>
      </c>
    </row>
    <row r="4486" spans="4:8" x14ac:dyDescent="0.2">
      <c r="D4486" s="6"/>
      <c r="H4486" s="6">
        <v>42130.706018518518</v>
      </c>
    </row>
    <row r="4487" spans="4:8" x14ac:dyDescent="0.2">
      <c r="D4487" s="6"/>
      <c r="H4487" s="6">
        <v>42187.528391203705</v>
      </c>
    </row>
    <row r="4488" spans="4:8" x14ac:dyDescent="0.2">
      <c r="D4488" s="6"/>
      <c r="H4488" s="6">
        <v>42187.614722222221</v>
      </c>
    </row>
    <row r="4489" spans="4:8" x14ac:dyDescent="0.2">
      <c r="D4489" s="6"/>
      <c r="H4489" s="6">
        <v>42193.646215277775</v>
      </c>
    </row>
    <row r="4490" spans="4:8" x14ac:dyDescent="0.2">
      <c r="D4490" s="6"/>
      <c r="H4490" s="6">
        <v>42135.357708333337</v>
      </c>
    </row>
    <row r="4491" spans="4:8" x14ac:dyDescent="0.2">
      <c r="D4491" s="6"/>
      <c r="H4491" s="6">
        <v>42149.559502314813</v>
      </c>
    </row>
    <row r="4492" spans="4:8" x14ac:dyDescent="0.2">
      <c r="D4492" s="6"/>
      <c r="H4492" s="6">
        <v>42130.70989583333</v>
      </c>
    </row>
    <row r="4493" spans="4:8" x14ac:dyDescent="0.2">
      <c r="D4493" s="6"/>
      <c r="H4493" s="6">
        <v>42187.52853009259</v>
      </c>
    </row>
    <row r="4494" spans="4:8" x14ac:dyDescent="0.2">
      <c r="D4494" s="6"/>
      <c r="H4494" s="6">
        <v>42187.615370370368</v>
      </c>
    </row>
    <row r="4495" spans="4:8" x14ac:dyDescent="0.2">
      <c r="D4495" s="6"/>
      <c r="H4495" s="6">
        <v>42193.649050925924</v>
      </c>
    </row>
    <row r="4496" spans="4:8" x14ac:dyDescent="0.2">
      <c r="D4496" s="6"/>
      <c r="H4496" s="6">
        <v>42416.772199074076</v>
      </c>
    </row>
    <row r="4497" spans="4:8" x14ac:dyDescent="0.2">
      <c r="D4497" s="6"/>
      <c r="H4497" s="6">
        <v>42416.776203703703</v>
      </c>
    </row>
    <row r="4498" spans="4:8" x14ac:dyDescent="0.2">
      <c r="D4498" s="6"/>
      <c r="H4498" s="6">
        <v>42416.776250000003</v>
      </c>
    </row>
    <row r="4499" spans="4:8" x14ac:dyDescent="0.2">
      <c r="D4499" s="6"/>
      <c r="H4499" s="6">
        <v>42416.776273148149</v>
      </c>
    </row>
    <row r="4500" spans="4:8" x14ac:dyDescent="0.2">
      <c r="D4500" s="6"/>
      <c r="H4500" s="6">
        <v>42416.777060185188</v>
      </c>
    </row>
    <row r="4501" spans="4:8" x14ac:dyDescent="0.2">
      <c r="D4501" s="6"/>
      <c r="H4501" s="6">
        <v>42416.772546296299</v>
      </c>
    </row>
    <row r="4502" spans="4:8" x14ac:dyDescent="0.2">
      <c r="D4502" s="6"/>
      <c r="H4502" s="6">
        <v>42416.776180555556</v>
      </c>
    </row>
    <row r="4503" spans="4:8" x14ac:dyDescent="0.2">
      <c r="D4503" s="6"/>
      <c r="H4503" s="6">
        <v>42416.772569444445</v>
      </c>
    </row>
    <row r="4504" spans="4:8" x14ac:dyDescent="0.2">
      <c r="D4504" s="6"/>
      <c r="H4504" s="6">
        <v>42416.778032407405</v>
      </c>
    </row>
    <row r="4505" spans="4:8" x14ac:dyDescent="0.2">
      <c r="D4505" s="6"/>
      <c r="H4505" s="6">
        <v>42416.778055555558</v>
      </c>
    </row>
    <row r="4506" spans="4:8" x14ac:dyDescent="0.2">
      <c r="D4506" s="6"/>
      <c r="H4506" s="6">
        <v>42416.778055555558</v>
      </c>
    </row>
    <row r="4507" spans="4:8" x14ac:dyDescent="0.2">
      <c r="D4507" s="6"/>
      <c r="H4507" s="6">
        <v>42416.778078703705</v>
      </c>
    </row>
    <row r="4508" spans="4:8" x14ac:dyDescent="0.2">
      <c r="D4508" s="6"/>
      <c r="H4508" s="6">
        <v>42416.778078703705</v>
      </c>
    </row>
    <row r="4509" spans="4:8" x14ac:dyDescent="0.2">
      <c r="D4509" s="6"/>
      <c r="H4509" s="6">
        <v>42416.778078703705</v>
      </c>
    </row>
    <row r="4510" spans="4:8" x14ac:dyDescent="0.2">
      <c r="D4510" s="6"/>
      <c r="H4510" s="6">
        <v>42416.776342592595</v>
      </c>
    </row>
    <row r="4511" spans="4:8" x14ac:dyDescent="0.2">
      <c r="D4511" s="6"/>
      <c r="H4511" s="6">
        <v>42416.772407407407</v>
      </c>
    </row>
    <row r="4512" spans="4:8" x14ac:dyDescent="0.2">
      <c r="D4512" s="6"/>
      <c r="H4512" s="6">
        <v>42418.521087962959</v>
      </c>
    </row>
    <row r="4513" spans="4:8" x14ac:dyDescent="0.2">
      <c r="D4513" s="6"/>
      <c r="H4513" s="6">
        <v>42416.776342592595</v>
      </c>
    </row>
    <row r="4514" spans="4:8" x14ac:dyDescent="0.2">
      <c r="D4514" s="6"/>
      <c r="H4514" s="6">
        <v>42136.410092592596</v>
      </c>
    </row>
    <row r="4515" spans="4:8" x14ac:dyDescent="0.2">
      <c r="D4515" s="6"/>
      <c r="H4515" s="6">
        <v>42136.410370370373</v>
      </c>
    </row>
    <row r="4516" spans="4:8" x14ac:dyDescent="0.2">
      <c r="D4516" s="6"/>
      <c r="H4516" s="6">
        <v>42136.410370370373</v>
      </c>
    </row>
    <row r="4517" spans="4:8" x14ac:dyDescent="0.2">
      <c r="D4517" s="6"/>
      <c r="H4517" s="6">
        <v>42136.410370370373</v>
      </c>
    </row>
    <row r="4518" spans="4:8" x14ac:dyDescent="0.2">
      <c r="D4518" s="6"/>
      <c r="H4518" s="6">
        <v>42136.410370370373</v>
      </c>
    </row>
    <row r="4519" spans="4:8" x14ac:dyDescent="0.2">
      <c r="D4519" s="6"/>
      <c r="H4519" s="6">
        <v>42149.354224537034</v>
      </c>
    </row>
    <row r="4520" spans="4:8" x14ac:dyDescent="0.2">
      <c r="D4520" s="6"/>
      <c r="H4520" s="6">
        <v>42149.559641203705</v>
      </c>
    </row>
    <row r="4521" spans="4:8" x14ac:dyDescent="0.2">
      <c r="D4521" s="6"/>
      <c r="H4521" s="6">
        <v>42136.410370370373</v>
      </c>
    </row>
    <row r="4522" spans="4:8" x14ac:dyDescent="0.2">
      <c r="D4522" s="6"/>
      <c r="H4522" s="6">
        <v>42136.410370370373</v>
      </c>
    </row>
    <row r="4523" spans="4:8" x14ac:dyDescent="0.2">
      <c r="D4523" s="6"/>
      <c r="H4523" s="6">
        <v>42341.766770833332</v>
      </c>
    </row>
    <row r="4524" spans="4:8" x14ac:dyDescent="0.2">
      <c r="D4524" s="6"/>
      <c r="H4524" s="6">
        <v>42341.766539351855</v>
      </c>
    </row>
    <row r="4525" spans="4:8" x14ac:dyDescent="0.2">
      <c r="D4525" s="6"/>
      <c r="H4525" s="6">
        <v>42403.668449074074</v>
      </c>
    </row>
    <row r="4526" spans="4:8" x14ac:dyDescent="0.2">
      <c r="D4526" s="6"/>
      <c r="H4526" s="6">
        <v>42403.669409722221</v>
      </c>
    </row>
    <row r="4527" spans="4:8" x14ac:dyDescent="0.2">
      <c r="D4527" s="6"/>
      <c r="H4527" s="6">
        <v>42216.673055555555</v>
      </c>
    </row>
    <row r="4528" spans="4:8" x14ac:dyDescent="0.2">
      <c r="D4528" s="6"/>
      <c r="H4528" s="6">
        <v>42216.673055555555</v>
      </c>
    </row>
    <row r="4529" spans="4:8" x14ac:dyDescent="0.2">
      <c r="D4529" s="6"/>
      <c r="H4529" s="6">
        <v>42278.482187499998</v>
      </c>
    </row>
    <row r="4530" spans="4:8" x14ac:dyDescent="0.2">
      <c r="D4530" s="6"/>
      <c r="H4530" s="6">
        <v>42377.536469907405</v>
      </c>
    </row>
    <row r="4531" spans="4:8" x14ac:dyDescent="0.2">
      <c r="D4531" s="6"/>
      <c r="H4531" s="6">
        <v>42216.673657407409</v>
      </c>
    </row>
    <row r="4532" spans="4:8" x14ac:dyDescent="0.2">
      <c r="D4532" s="6"/>
      <c r="H4532" s="6">
        <v>42377.531226851854</v>
      </c>
    </row>
    <row r="4533" spans="4:8" x14ac:dyDescent="0.2">
      <c r="D4533" s="6"/>
      <c r="H4533" s="6">
        <v>42242.380925925929</v>
      </c>
    </row>
    <row r="4534" spans="4:8" x14ac:dyDescent="0.2">
      <c r="D4534" s="6"/>
      <c r="H4534" s="6">
        <v>42245.352407407408</v>
      </c>
    </row>
    <row r="4535" spans="4:8" x14ac:dyDescent="0.2">
      <c r="D4535" s="6"/>
      <c r="H4535" s="6">
        <v>42216.673032407409</v>
      </c>
    </row>
    <row r="4536" spans="4:8" x14ac:dyDescent="0.2">
      <c r="D4536" s="6"/>
      <c r="H4536" s="6">
        <v>42216.673032407409</v>
      </c>
    </row>
    <row r="4537" spans="4:8" x14ac:dyDescent="0.2">
      <c r="D4537" s="6"/>
      <c r="H4537" s="6">
        <v>42289.334965277776</v>
      </c>
    </row>
    <row r="4538" spans="4:8" x14ac:dyDescent="0.2">
      <c r="D4538" s="6"/>
      <c r="H4538" s="6">
        <v>42289.335034722222</v>
      </c>
    </row>
    <row r="4539" spans="4:8" x14ac:dyDescent="0.2">
      <c r="D4539" s="6"/>
      <c r="H4539" s="6">
        <v>42289.334768518522</v>
      </c>
    </row>
    <row r="4540" spans="4:8" x14ac:dyDescent="0.2">
      <c r="D4540" s="6"/>
      <c r="H4540" s="6">
        <v>42291.651631944442</v>
      </c>
    </row>
    <row r="4541" spans="4:8" x14ac:dyDescent="0.2">
      <c r="D4541" s="6"/>
      <c r="H4541" s="6">
        <v>42291.653449074074</v>
      </c>
    </row>
    <row r="4542" spans="4:8" x14ac:dyDescent="0.2">
      <c r="D4542" s="6"/>
      <c r="H4542" s="6">
        <v>42262.393622685187</v>
      </c>
    </row>
    <row r="4543" spans="4:8" x14ac:dyDescent="0.2">
      <c r="D4543" s="6"/>
      <c r="H4543" s="6">
        <v>42135.357708333337</v>
      </c>
    </row>
    <row r="4544" spans="4:8" x14ac:dyDescent="0.2">
      <c r="D4544" s="6"/>
      <c r="H4544" s="6">
        <v>42149.55976851852</v>
      </c>
    </row>
    <row r="4545" spans="4:8" x14ac:dyDescent="0.2">
      <c r="D4545" s="6"/>
      <c r="H4545" s="6">
        <v>42130.711863425924</v>
      </c>
    </row>
    <row r="4546" spans="4:8" x14ac:dyDescent="0.2">
      <c r="D4546" s="6"/>
      <c r="H4546" s="6">
        <v>42230.537615740737</v>
      </c>
    </row>
    <row r="4547" spans="4:8" x14ac:dyDescent="0.2">
      <c r="D4547" s="6"/>
      <c r="H4547" s="6">
        <v>42214.531354166669</v>
      </c>
    </row>
    <row r="4548" spans="4:8" x14ac:dyDescent="0.2">
      <c r="D4548" s="6"/>
      <c r="H4548" s="6">
        <v>42216.654560185183</v>
      </c>
    </row>
    <row r="4549" spans="4:8" x14ac:dyDescent="0.2">
      <c r="D4549" s="6"/>
      <c r="H4549" s="6">
        <v>42214.819884259261</v>
      </c>
    </row>
    <row r="4550" spans="4:8" x14ac:dyDescent="0.2">
      <c r="D4550" s="6"/>
      <c r="H4550" s="6">
        <v>42216.650902777779</v>
      </c>
    </row>
    <row r="4551" spans="4:8" x14ac:dyDescent="0.2">
      <c r="D4551" s="6"/>
      <c r="H4551" s="6">
        <v>42216.663680555554</v>
      </c>
    </row>
    <row r="4552" spans="4:8" x14ac:dyDescent="0.2">
      <c r="D4552" s="6"/>
      <c r="H4552" s="6">
        <v>42216.625416666669</v>
      </c>
    </row>
    <row r="4553" spans="4:8" x14ac:dyDescent="0.2">
      <c r="D4553" s="6"/>
      <c r="H4553" s="6">
        <v>42216.624814814815</v>
      </c>
    </row>
    <row r="4554" spans="4:8" x14ac:dyDescent="0.2">
      <c r="D4554" s="6"/>
      <c r="H4554" s="6">
        <v>42233.521851851852</v>
      </c>
    </row>
    <row r="4555" spans="4:8" x14ac:dyDescent="0.2">
      <c r="D4555" s="6"/>
      <c r="H4555" s="6">
        <v>42242.373472222222</v>
      </c>
    </row>
    <row r="4556" spans="4:8" x14ac:dyDescent="0.2">
      <c r="D4556" s="6"/>
      <c r="H4556" s="6">
        <v>42291.640370370369</v>
      </c>
    </row>
    <row r="4557" spans="4:8" x14ac:dyDescent="0.2">
      <c r="D4557" s="6"/>
      <c r="H4557" s="6">
        <v>42291.640520833331</v>
      </c>
    </row>
    <row r="4558" spans="4:8" x14ac:dyDescent="0.2">
      <c r="D4558" s="6"/>
      <c r="H4558" s="6">
        <v>42289.336655092593</v>
      </c>
    </row>
    <row r="4559" spans="4:8" x14ac:dyDescent="0.2">
      <c r="D4559" s="6"/>
      <c r="H4559" s="6">
        <v>42289.336655092593</v>
      </c>
    </row>
    <row r="4560" spans="4:8" x14ac:dyDescent="0.2">
      <c r="D4560" s="6"/>
      <c r="H4560" s="6">
        <v>42418.523657407408</v>
      </c>
    </row>
    <row r="4561" spans="4:8" x14ac:dyDescent="0.2">
      <c r="D4561" s="6"/>
      <c r="H4561" s="6">
        <v>42418.523634259262</v>
      </c>
    </row>
    <row r="4562" spans="4:8" x14ac:dyDescent="0.2">
      <c r="D4562" s="6"/>
      <c r="H4562" s="6">
        <v>42187.522210648145</v>
      </c>
    </row>
    <row r="4563" spans="4:8" x14ac:dyDescent="0.2">
      <c r="D4563" s="6"/>
      <c r="H4563" s="6">
        <v>42175.607546296298</v>
      </c>
    </row>
    <row r="4564" spans="4:8" x14ac:dyDescent="0.2">
      <c r="D4564" s="6"/>
      <c r="H4564" s="6">
        <v>42175.607268518521</v>
      </c>
    </row>
    <row r="4565" spans="4:8" x14ac:dyDescent="0.2">
      <c r="D4565" s="6"/>
      <c r="H4565" s="6">
        <v>42175.583703703705</v>
      </c>
    </row>
    <row r="4566" spans="4:8" x14ac:dyDescent="0.2">
      <c r="D4566" s="6"/>
      <c r="H4566" s="6">
        <v>42175.583564814813</v>
      </c>
    </row>
    <row r="4567" spans="4:8" x14ac:dyDescent="0.2">
      <c r="D4567" s="6"/>
      <c r="H4567" s="6">
        <v>42175.583032407405</v>
      </c>
    </row>
    <row r="4568" spans="4:8" x14ac:dyDescent="0.2">
      <c r="D4568" s="6"/>
      <c r="H4568" s="6">
        <v>42175.586134259262</v>
      </c>
    </row>
    <row r="4569" spans="4:8" x14ac:dyDescent="0.2">
      <c r="D4569" s="6"/>
      <c r="H4569" s="6">
        <v>42175.585347222222</v>
      </c>
    </row>
    <row r="4570" spans="4:8" x14ac:dyDescent="0.2">
      <c r="D4570" s="6"/>
      <c r="H4570" s="6">
        <v>42175.585462962961</v>
      </c>
    </row>
    <row r="4571" spans="4:8" x14ac:dyDescent="0.2">
      <c r="D4571" s="6"/>
      <c r="H4571" s="6">
        <v>42175.585578703707</v>
      </c>
    </row>
    <row r="4572" spans="4:8" x14ac:dyDescent="0.2">
      <c r="D4572" s="6"/>
      <c r="H4572" s="6">
        <v>42175.585162037038</v>
      </c>
    </row>
    <row r="4573" spans="4:8" x14ac:dyDescent="0.2">
      <c r="D4573" s="6"/>
      <c r="H4573" s="6">
        <v>42175.555138888885</v>
      </c>
    </row>
    <row r="4574" spans="4:8" x14ac:dyDescent="0.2">
      <c r="D4574" s="6"/>
      <c r="H4574" s="6">
        <v>42175.555138888885</v>
      </c>
    </row>
    <row r="4575" spans="4:8" x14ac:dyDescent="0.2">
      <c r="D4575" s="6"/>
      <c r="H4575" s="6">
        <v>42175.553819444445</v>
      </c>
    </row>
    <row r="4576" spans="4:8" x14ac:dyDescent="0.2">
      <c r="D4576" s="6"/>
      <c r="H4576" s="6">
        <v>42175.565324074072</v>
      </c>
    </row>
    <row r="4577" spans="4:8" x14ac:dyDescent="0.2">
      <c r="D4577" s="6"/>
      <c r="H4577" s="6">
        <v>42175.56453703704</v>
      </c>
    </row>
    <row r="4578" spans="4:8" x14ac:dyDescent="0.2">
      <c r="D4578" s="6"/>
      <c r="H4578" s="6">
        <v>42175.566666666666</v>
      </c>
    </row>
    <row r="4579" spans="4:8" x14ac:dyDescent="0.2">
      <c r="D4579" s="6"/>
      <c r="H4579" s="6">
        <v>42175.566666666666</v>
      </c>
    </row>
    <row r="4580" spans="4:8" x14ac:dyDescent="0.2">
      <c r="D4580" s="6"/>
      <c r="H4580" s="6">
        <v>42175.566388888888</v>
      </c>
    </row>
    <row r="4581" spans="4:8" x14ac:dyDescent="0.2">
      <c r="D4581" s="6"/>
      <c r="H4581" s="6">
        <v>42175.572013888886</v>
      </c>
    </row>
    <row r="4582" spans="4:8" x14ac:dyDescent="0.2">
      <c r="D4582" s="6"/>
      <c r="H4582" s="6">
        <v>42175.571388888886</v>
      </c>
    </row>
    <row r="4583" spans="4:8" x14ac:dyDescent="0.2">
      <c r="D4583" s="6"/>
      <c r="H4583" s="6">
        <v>42175.574490740742</v>
      </c>
    </row>
    <row r="4584" spans="4:8" x14ac:dyDescent="0.2">
      <c r="D4584" s="6"/>
      <c r="H4584" s="6">
        <v>42175.574490740742</v>
      </c>
    </row>
    <row r="4585" spans="4:8" x14ac:dyDescent="0.2">
      <c r="D4585" s="6"/>
      <c r="H4585" s="6">
        <v>42175.574166666665</v>
      </c>
    </row>
    <row r="4586" spans="4:8" x14ac:dyDescent="0.2">
      <c r="D4586" s="6"/>
      <c r="H4586" s="6">
        <v>42175.602013888885</v>
      </c>
    </row>
    <row r="4587" spans="4:8" x14ac:dyDescent="0.2">
      <c r="D4587" s="6"/>
      <c r="H4587" s="6">
        <v>42175.601111111115</v>
      </c>
    </row>
    <row r="4588" spans="4:8" x14ac:dyDescent="0.2">
      <c r="D4588" s="6"/>
      <c r="H4588" s="6">
        <v>42175.599490740744</v>
      </c>
    </row>
    <row r="4589" spans="4:8" x14ac:dyDescent="0.2">
      <c r="D4589" s="6"/>
      <c r="H4589" s="6">
        <v>42175.599074074074</v>
      </c>
    </row>
    <row r="4590" spans="4:8" x14ac:dyDescent="0.2">
      <c r="D4590" s="6"/>
      <c r="H4590" s="6">
        <v>42175.604699074072</v>
      </c>
    </row>
    <row r="4591" spans="4:8" x14ac:dyDescent="0.2">
      <c r="D4591" s="6"/>
      <c r="H4591" s="6">
        <v>42175.605185185188</v>
      </c>
    </row>
    <row r="4592" spans="4:8" x14ac:dyDescent="0.2">
      <c r="D4592" s="6"/>
      <c r="H4592" s="6">
        <v>42175.576226851852</v>
      </c>
    </row>
    <row r="4593" spans="4:8" x14ac:dyDescent="0.2">
      <c r="D4593" s="6"/>
      <c r="H4593" s="6">
        <v>42175.57671296296</v>
      </c>
    </row>
    <row r="4594" spans="4:8" x14ac:dyDescent="0.2">
      <c r="D4594" s="6"/>
      <c r="H4594" s="6">
        <v>42175.576018518521</v>
      </c>
    </row>
    <row r="4595" spans="4:8" x14ac:dyDescent="0.2">
      <c r="D4595" s="6"/>
      <c r="H4595" s="6">
        <v>42175.609930555554</v>
      </c>
    </row>
    <row r="4596" spans="4:8" x14ac:dyDescent="0.2">
      <c r="D4596" s="6"/>
      <c r="H4596" s="6">
        <v>42175.609930555554</v>
      </c>
    </row>
    <row r="4597" spans="4:8" x14ac:dyDescent="0.2">
      <c r="D4597" s="6"/>
      <c r="H4597" s="6">
        <v>42175.609930555554</v>
      </c>
    </row>
    <row r="4598" spans="4:8" x14ac:dyDescent="0.2">
      <c r="D4598" s="6"/>
      <c r="H4598" s="6">
        <v>42175.609699074077</v>
      </c>
    </row>
    <row r="4599" spans="4:8" x14ac:dyDescent="0.2">
      <c r="D4599" s="6"/>
      <c r="H4599" s="6">
        <v>42175.57849537037</v>
      </c>
    </row>
    <row r="4600" spans="4:8" x14ac:dyDescent="0.2">
      <c r="D4600" s="6"/>
      <c r="H4600" s="6">
        <v>42175.579722222225</v>
      </c>
    </row>
    <row r="4601" spans="4:8" x14ac:dyDescent="0.2">
      <c r="D4601" s="6"/>
      <c r="H4601" s="6">
        <v>42175.580416666664</v>
      </c>
    </row>
    <row r="4602" spans="4:8" x14ac:dyDescent="0.2">
      <c r="D4602" s="6"/>
      <c r="H4602" s="6">
        <v>42175.588402777779</v>
      </c>
    </row>
    <row r="4603" spans="4:8" x14ac:dyDescent="0.2">
      <c r="D4603" s="6"/>
      <c r="H4603" s="6">
        <v>42175.588518518518</v>
      </c>
    </row>
    <row r="4604" spans="4:8" x14ac:dyDescent="0.2">
      <c r="D4604" s="6"/>
      <c r="H4604" s="6">
        <v>42175.588217592594</v>
      </c>
    </row>
    <row r="4605" spans="4:8" x14ac:dyDescent="0.2">
      <c r="D4605" s="6"/>
      <c r="H4605" s="6">
        <v>42175.590787037036</v>
      </c>
    </row>
    <row r="4606" spans="4:8" x14ac:dyDescent="0.2">
      <c r="D4606" s="6"/>
      <c r="H4606" s="6">
        <v>42175.590532407405</v>
      </c>
    </row>
    <row r="4607" spans="4:8" x14ac:dyDescent="0.2">
      <c r="D4607" s="6"/>
      <c r="H4607" s="6">
        <v>42175.592962962961</v>
      </c>
    </row>
    <row r="4608" spans="4:8" x14ac:dyDescent="0.2">
      <c r="D4608" s="6"/>
      <c r="H4608" s="6">
        <v>42175.611435185187</v>
      </c>
    </row>
    <row r="4609" spans="4:8" x14ac:dyDescent="0.2">
      <c r="D4609" s="6"/>
      <c r="H4609" s="6">
        <v>42175.611435185187</v>
      </c>
    </row>
    <row r="4610" spans="4:8" x14ac:dyDescent="0.2">
      <c r="D4610" s="6"/>
      <c r="H4610" s="6">
        <v>42175.611435185187</v>
      </c>
    </row>
    <row r="4611" spans="4:8" x14ac:dyDescent="0.2">
      <c r="D4611" s="6"/>
      <c r="H4611" s="6">
        <v>42175.611064814817</v>
      </c>
    </row>
    <row r="4612" spans="4:8" x14ac:dyDescent="0.2">
      <c r="D4612" s="6"/>
      <c r="H4612" s="6">
        <v>42175.61347222222</v>
      </c>
    </row>
    <row r="4613" spans="4:8" x14ac:dyDescent="0.2">
      <c r="D4613" s="6"/>
      <c r="H4613" s="6">
        <v>42175.61347222222</v>
      </c>
    </row>
    <row r="4614" spans="4:8" x14ac:dyDescent="0.2">
      <c r="D4614" s="6"/>
      <c r="H4614" s="6">
        <v>42175.61347222222</v>
      </c>
    </row>
    <row r="4615" spans="4:8" x14ac:dyDescent="0.2">
      <c r="D4615" s="6"/>
      <c r="H4615" s="6">
        <v>42175.613217592596</v>
      </c>
    </row>
    <row r="4616" spans="4:8" x14ac:dyDescent="0.2">
      <c r="D4616" s="6"/>
      <c r="H4616" s="6">
        <v>42175.594513888886</v>
      </c>
    </row>
    <row r="4617" spans="4:8" x14ac:dyDescent="0.2">
      <c r="D4617" s="6"/>
      <c r="H4617" s="6">
        <v>42175.594282407408</v>
      </c>
    </row>
    <row r="4618" spans="4:8" x14ac:dyDescent="0.2">
      <c r="D4618" s="6"/>
      <c r="H4618" s="6">
        <v>42175.614999999998</v>
      </c>
    </row>
    <row r="4619" spans="4:8" x14ac:dyDescent="0.2">
      <c r="D4619" s="6"/>
      <c r="H4619" s="6">
        <v>42175.614791666667</v>
      </c>
    </row>
    <row r="4620" spans="4:8" x14ac:dyDescent="0.2">
      <c r="D4620" s="6"/>
      <c r="H4620" s="6">
        <v>42175.596087962964</v>
      </c>
    </row>
    <row r="4621" spans="4:8" x14ac:dyDescent="0.2">
      <c r="D4621" s="6"/>
      <c r="H4621" s="6">
        <v>42175.616226851853</v>
      </c>
    </row>
    <row r="4622" spans="4:8" x14ac:dyDescent="0.2">
      <c r="D4622" s="6"/>
      <c r="H4622" s="6">
        <v>42175.617592592593</v>
      </c>
    </row>
    <row r="4623" spans="4:8" x14ac:dyDescent="0.2">
      <c r="D4623" s="6"/>
      <c r="H4623" s="6">
        <v>42175.618495370371</v>
      </c>
    </row>
    <row r="4624" spans="4:8" x14ac:dyDescent="0.2">
      <c r="D4624" s="6"/>
      <c r="H4624" s="6">
        <v>42175.619259259256</v>
      </c>
    </row>
    <row r="4625" spans="4:8" x14ac:dyDescent="0.2">
      <c r="D4625" s="6"/>
      <c r="H4625" s="6">
        <v>42187.522268518522</v>
      </c>
    </row>
    <row r="4626" spans="4:8" x14ac:dyDescent="0.2">
      <c r="D4626" s="6"/>
      <c r="H4626" s="6">
        <v>42187.521736111114</v>
      </c>
    </row>
    <row r="4627" spans="4:8" x14ac:dyDescent="0.2">
      <c r="D4627" s="6"/>
      <c r="H4627" s="6">
        <v>42150.4453125</v>
      </c>
    </row>
    <row r="4628" spans="4:8" x14ac:dyDescent="0.2">
      <c r="D4628" s="6"/>
      <c r="H4628" s="6">
        <v>42130.584594907406</v>
      </c>
    </row>
    <row r="4629" spans="4:8" x14ac:dyDescent="0.2">
      <c r="D4629" s="6"/>
      <c r="H4629" s="6">
        <v>42139.684664351851</v>
      </c>
    </row>
    <row r="4630" spans="4:8" x14ac:dyDescent="0.2">
      <c r="D4630" s="6"/>
      <c r="H4630" s="6">
        <v>42146.382268518515</v>
      </c>
    </row>
    <row r="4631" spans="4:8" x14ac:dyDescent="0.2">
      <c r="D4631" s="6"/>
      <c r="H4631" s="6">
        <v>42139.685682870368</v>
      </c>
    </row>
    <row r="4632" spans="4:8" x14ac:dyDescent="0.2">
      <c r="D4632" s="6"/>
      <c r="H4632" s="6">
        <v>42146.384444444448</v>
      </c>
    </row>
    <row r="4633" spans="4:8" x14ac:dyDescent="0.2">
      <c r="D4633" s="6"/>
      <c r="H4633" s="6">
        <v>42139.686516203707</v>
      </c>
    </row>
    <row r="4634" spans="4:8" x14ac:dyDescent="0.2">
      <c r="D4634" s="6"/>
      <c r="H4634" s="6">
        <v>42146.384629629632</v>
      </c>
    </row>
    <row r="4635" spans="4:8" x14ac:dyDescent="0.2">
      <c r="D4635" s="6"/>
      <c r="H4635" s="6">
        <v>42139.688923611109</v>
      </c>
    </row>
    <row r="4636" spans="4:8" x14ac:dyDescent="0.2">
      <c r="D4636" s="6"/>
      <c r="H4636" s="6">
        <v>42146.384976851848</v>
      </c>
    </row>
    <row r="4637" spans="4:8" x14ac:dyDescent="0.2">
      <c r="D4637" s="6"/>
      <c r="H4637" s="6">
        <v>42139.691921296297</v>
      </c>
    </row>
    <row r="4638" spans="4:8" x14ac:dyDescent="0.2">
      <c r="D4638" s="6"/>
      <c r="H4638" s="6">
        <v>42146.385462962964</v>
      </c>
    </row>
    <row r="4639" spans="4:8" x14ac:dyDescent="0.2">
      <c r="D4639" s="6"/>
      <c r="H4639" s="6">
        <v>42139.693391203706</v>
      </c>
    </row>
    <row r="4640" spans="4:8" x14ac:dyDescent="0.2">
      <c r="D4640" s="6"/>
      <c r="H4640" s="6">
        <v>42146.385879629626</v>
      </c>
    </row>
    <row r="4641" spans="4:8" x14ac:dyDescent="0.2">
      <c r="D4641" s="6"/>
      <c r="H4641" s="6">
        <v>42139.694606481484</v>
      </c>
    </row>
    <row r="4642" spans="4:8" x14ac:dyDescent="0.2">
      <c r="D4642" s="6"/>
      <c r="H4642" s="6">
        <v>42146.386979166666</v>
      </c>
    </row>
    <row r="4643" spans="4:8" x14ac:dyDescent="0.2">
      <c r="D4643" s="6"/>
      <c r="H4643" s="6">
        <v>42139.6950462963</v>
      </c>
    </row>
    <row r="4644" spans="4:8" x14ac:dyDescent="0.2">
      <c r="D4644" s="6"/>
      <c r="H4644" s="6">
        <v>42146.387129629627</v>
      </c>
    </row>
    <row r="4645" spans="4:8" x14ac:dyDescent="0.2">
      <c r="D4645" s="6"/>
      <c r="H4645" s="6">
        <v>42139.696053240739</v>
      </c>
    </row>
    <row r="4646" spans="4:8" x14ac:dyDescent="0.2">
      <c r="D4646" s="6"/>
      <c r="H4646" s="6">
        <v>42146.387384259258</v>
      </c>
    </row>
    <row r="4647" spans="4:8" x14ac:dyDescent="0.2">
      <c r="D4647" s="6"/>
      <c r="H4647" s="6">
        <v>42145.735486111109</v>
      </c>
    </row>
    <row r="4648" spans="4:8" x14ac:dyDescent="0.2">
      <c r="D4648" s="6"/>
      <c r="H4648" s="6">
        <v>42146.38790509259</v>
      </c>
    </row>
    <row r="4649" spans="4:8" x14ac:dyDescent="0.2">
      <c r="D4649" s="6"/>
      <c r="H4649" s="6">
        <v>42145.736435185187</v>
      </c>
    </row>
    <row r="4650" spans="4:8" x14ac:dyDescent="0.2">
      <c r="D4650" s="6"/>
      <c r="H4650" s="6">
        <v>42146.388113425928</v>
      </c>
    </row>
    <row r="4651" spans="4:8" x14ac:dyDescent="0.2">
      <c r="D4651" s="6"/>
      <c r="H4651" s="6">
        <v>42145.738136574073</v>
      </c>
    </row>
    <row r="4652" spans="4:8" x14ac:dyDescent="0.2">
      <c r="D4652" s="6"/>
      <c r="H4652" s="6">
        <v>42146.388333333336</v>
      </c>
    </row>
    <row r="4653" spans="4:8" x14ac:dyDescent="0.2">
      <c r="D4653" s="6"/>
      <c r="H4653" s="6">
        <v>42139.682766203703</v>
      </c>
    </row>
    <row r="4654" spans="4:8" x14ac:dyDescent="0.2">
      <c r="D4654" s="6"/>
      <c r="H4654" s="6">
        <v>42146.387627314813</v>
      </c>
    </row>
    <row r="4655" spans="4:8" x14ac:dyDescent="0.2">
      <c r="D4655" s="6"/>
      <c r="H4655" s="6">
        <v>40219.522696759261</v>
      </c>
    </row>
    <row r="4656" spans="4:8" x14ac:dyDescent="0.2">
      <c r="D4656" s="6"/>
      <c r="H4656" s="6">
        <v>40212.723935185182</v>
      </c>
    </row>
    <row r="4657" spans="4:8" x14ac:dyDescent="0.2">
      <c r="D4657" s="6"/>
      <c r="H4657" s="6">
        <v>40187.528611111113</v>
      </c>
    </row>
    <row r="4658" spans="4:8" x14ac:dyDescent="0.2">
      <c r="D4658" s="6"/>
      <c r="H4658" s="6">
        <v>42194.727280092593</v>
      </c>
    </row>
    <row r="4659" spans="4:8" x14ac:dyDescent="0.2">
      <c r="D4659" s="6"/>
      <c r="H4659" s="6">
        <v>42381.642199074071</v>
      </c>
    </row>
    <row r="4660" spans="4:8" x14ac:dyDescent="0.2">
      <c r="D4660" s="6"/>
      <c r="H4660" s="6">
        <v>42381.641574074078</v>
      </c>
    </row>
    <row r="4661" spans="4:8" x14ac:dyDescent="0.2">
      <c r="D4661" s="6"/>
      <c r="H4661" s="6">
        <v>42408.553900462961</v>
      </c>
    </row>
    <row r="4662" spans="4:8" x14ac:dyDescent="0.2">
      <c r="D4662" s="6"/>
      <c r="H4662" s="6">
        <v>42382.38685185185</v>
      </c>
    </row>
    <row r="4663" spans="4:8" x14ac:dyDescent="0.2">
      <c r="D4663" s="6"/>
      <c r="H4663" s="6">
        <v>42382.4299537037</v>
      </c>
    </row>
    <row r="4664" spans="4:8" x14ac:dyDescent="0.2">
      <c r="D4664" s="6"/>
      <c r="H4664" s="6">
        <v>42382.44667824074</v>
      </c>
    </row>
    <row r="4665" spans="4:8" x14ac:dyDescent="0.2">
      <c r="D4665" s="6"/>
      <c r="H4665" s="6">
        <v>42412.492511574077</v>
      </c>
    </row>
    <row r="4666" spans="4:8" x14ac:dyDescent="0.2">
      <c r="D4666" s="6"/>
      <c r="H4666" s="6">
        <v>39868.744652777779</v>
      </c>
    </row>
    <row r="4667" spans="4:8" x14ac:dyDescent="0.2">
      <c r="D4667" s="6"/>
      <c r="H4667" s="6">
        <v>39868.743900462963</v>
      </c>
    </row>
    <row r="4668" spans="4:8" x14ac:dyDescent="0.2">
      <c r="D4668" s="6"/>
      <c r="H4668" s="6">
        <v>39868.73982638889</v>
      </c>
    </row>
    <row r="4669" spans="4:8" x14ac:dyDescent="0.2">
      <c r="D4669" s="6"/>
      <c r="H4669" s="6">
        <v>39898.735775462963</v>
      </c>
    </row>
    <row r="4670" spans="4:8" x14ac:dyDescent="0.2">
      <c r="D4670" s="6"/>
      <c r="H4670" s="6">
        <v>39898.739340277774</v>
      </c>
    </row>
    <row r="4671" spans="4:8" x14ac:dyDescent="0.2">
      <c r="D4671" s="6"/>
      <c r="H4671" s="6">
        <v>39941.452939814815</v>
      </c>
    </row>
    <row r="4672" spans="4:8" x14ac:dyDescent="0.2">
      <c r="D4672" s="6"/>
      <c r="H4672" s="6">
        <v>39941.454375000001</v>
      </c>
    </row>
    <row r="4673" spans="4:8" x14ac:dyDescent="0.2">
      <c r="D4673" s="6"/>
      <c r="H4673" s="6">
        <v>39849.741076388891</v>
      </c>
    </row>
    <row r="4674" spans="4:8" x14ac:dyDescent="0.2">
      <c r="D4674" s="6"/>
      <c r="H4674" s="6">
        <v>39874.549618055556</v>
      </c>
    </row>
    <row r="4675" spans="4:8" x14ac:dyDescent="0.2">
      <c r="D4675" s="6"/>
      <c r="H4675" s="6">
        <v>39868.722997685189</v>
      </c>
    </row>
    <row r="4676" spans="4:8" x14ac:dyDescent="0.2">
      <c r="D4676" s="6"/>
      <c r="H4676" s="6">
        <v>39941.35050925926</v>
      </c>
    </row>
    <row r="4677" spans="4:8" x14ac:dyDescent="0.2">
      <c r="D4677" s="6"/>
      <c r="H4677" s="6">
        <v>39868.647743055553</v>
      </c>
    </row>
    <row r="4678" spans="4:8" x14ac:dyDescent="0.2">
      <c r="D4678" s="6"/>
      <c r="H4678" s="6">
        <v>39868.652800925927</v>
      </c>
    </row>
    <row r="4679" spans="4:8" x14ac:dyDescent="0.2">
      <c r="D4679" s="6"/>
      <c r="H4679" s="6">
        <v>42032.740162037036</v>
      </c>
    </row>
    <row r="4680" spans="4:8" x14ac:dyDescent="0.2">
      <c r="D4680" s="6"/>
      <c r="H4680" s="6">
        <v>42083.692037037035</v>
      </c>
    </row>
    <row r="4681" spans="4:8" x14ac:dyDescent="0.2">
      <c r="D4681" s="6"/>
      <c r="H4681" s="6">
        <v>40168.744432870371</v>
      </c>
    </row>
    <row r="4682" spans="4:8" x14ac:dyDescent="0.2">
      <c r="D4682" s="6"/>
      <c r="H4682" s="6">
        <v>39161.370219907411</v>
      </c>
    </row>
    <row r="4683" spans="4:8" x14ac:dyDescent="0.2">
      <c r="D4683" s="6"/>
      <c r="H4683" s="6">
        <v>42408.575810185182</v>
      </c>
    </row>
    <row r="4684" spans="4:8" x14ac:dyDescent="0.2">
      <c r="D4684" s="6"/>
      <c r="H4684" s="6">
        <v>42419.719560185185</v>
      </c>
    </row>
    <row r="4685" spans="4:8" x14ac:dyDescent="0.2">
      <c r="D4685" s="6"/>
      <c r="H4685" s="6">
        <v>42023.512650462966</v>
      </c>
    </row>
    <row r="4686" spans="4:8" x14ac:dyDescent="0.2">
      <c r="D4686" s="6"/>
      <c r="H4686" s="6">
        <v>42023.563067129631</v>
      </c>
    </row>
    <row r="4687" spans="4:8" x14ac:dyDescent="0.2">
      <c r="D4687" s="6"/>
      <c r="H4687" s="6">
        <v>42023.56144675926</v>
      </c>
    </row>
    <row r="4688" spans="4:8" x14ac:dyDescent="0.2">
      <c r="D4688" s="6"/>
      <c r="H4688" s="6">
        <v>42195.675509259258</v>
      </c>
    </row>
    <row r="4689" spans="4:8" x14ac:dyDescent="0.2">
      <c r="D4689" s="6"/>
      <c r="H4689" s="6">
        <v>39105.691006944442</v>
      </c>
    </row>
    <row r="4690" spans="4:8" x14ac:dyDescent="0.2">
      <c r="D4690" s="6"/>
      <c r="H4690" s="6">
        <v>41985.614652777775</v>
      </c>
    </row>
    <row r="4691" spans="4:8" x14ac:dyDescent="0.2">
      <c r="D4691" s="6"/>
      <c r="H4691" s="6">
        <v>40371.412870370368</v>
      </c>
    </row>
    <row r="4692" spans="4:8" x14ac:dyDescent="0.2">
      <c r="D4692" s="6"/>
      <c r="H4692" s="6">
        <v>40088.418993055559</v>
      </c>
    </row>
    <row r="4693" spans="4:8" x14ac:dyDescent="0.2">
      <c r="D4693" s="6"/>
      <c r="H4693" s="6">
        <v>39105.691018518519</v>
      </c>
    </row>
    <row r="4694" spans="4:8" x14ac:dyDescent="0.2">
      <c r="D4694" s="6"/>
      <c r="H4694" s="6">
        <v>40079.513599537036</v>
      </c>
    </row>
    <row r="4695" spans="4:8" x14ac:dyDescent="0.2">
      <c r="D4695" s="6"/>
      <c r="H4695" s="6">
        <v>40093.402708333335</v>
      </c>
    </row>
    <row r="4696" spans="4:8" x14ac:dyDescent="0.2">
      <c r="D4696" s="6"/>
      <c r="H4696" s="6">
        <v>39161.771747685183</v>
      </c>
    </row>
    <row r="4697" spans="4:8" x14ac:dyDescent="0.2">
      <c r="D4697" s="6"/>
      <c r="H4697" s="6">
        <v>40164.643043981479</v>
      </c>
    </row>
    <row r="4698" spans="4:8" x14ac:dyDescent="0.2">
      <c r="D4698" s="6"/>
      <c r="H4698" s="6">
        <v>41318.469351851854</v>
      </c>
    </row>
    <row r="4699" spans="4:8" x14ac:dyDescent="0.2">
      <c r="D4699" s="6"/>
      <c r="H4699" s="6">
        <v>39310.30872685185</v>
      </c>
    </row>
    <row r="4700" spans="4:8" x14ac:dyDescent="0.2">
      <c r="D4700" s="6"/>
      <c r="H4700" s="6">
        <v>39328.591319444444</v>
      </c>
    </row>
    <row r="4701" spans="4:8" x14ac:dyDescent="0.2">
      <c r="D4701" s="6"/>
      <c r="H4701" s="6">
        <v>40485.691469907404</v>
      </c>
    </row>
    <row r="4702" spans="4:8" x14ac:dyDescent="0.2">
      <c r="D4702" s="6"/>
      <c r="H4702" s="6">
        <v>40170.497442129628</v>
      </c>
    </row>
    <row r="4703" spans="4:8" x14ac:dyDescent="0.2">
      <c r="D4703" s="6"/>
      <c r="H4703" s="6">
        <v>39105.691018518519</v>
      </c>
    </row>
    <row r="4704" spans="4:8" x14ac:dyDescent="0.2">
      <c r="D4704" s="6"/>
      <c r="H4704" s="6">
        <v>39878.747291666667</v>
      </c>
    </row>
    <row r="4705" spans="4:8" x14ac:dyDescent="0.2">
      <c r="D4705" s="6"/>
      <c r="H4705" s="6">
        <v>42020.377384259256</v>
      </c>
    </row>
    <row r="4706" spans="4:8" x14ac:dyDescent="0.2">
      <c r="D4706" s="6"/>
      <c r="H4706" s="6">
        <v>39825.647835648146</v>
      </c>
    </row>
    <row r="4707" spans="4:8" x14ac:dyDescent="0.2">
      <c r="D4707" s="6"/>
      <c r="H4707" s="6">
        <v>39203.328321759262</v>
      </c>
    </row>
    <row r="4708" spans="4:8" x14ac:dyDescent="0.2">
      <c r="D4708" s="6"/>
      <c r="H4708" s="6">
        <v>39512.740532407406</v>
      </c>
    </row>
    <row r="4709" spans="4:8" x14ac:dyDescent="0.2">
      <c r="D4709" s="6"/>
      <c r="H4709" s="6">
        <v>40170.477650462963</v>
      </c>
    </row>
    <row r="4710" spans="4:8" x14ac:dyDescent="0.2">
      <c r="D4710" s="6"/>
      <c r="H4710" s="6">
        <v>40170.477361111109</v>
      </c>
    </row>
    <row r="4711" spans="4:8" x14ac:dyDescent="0.2">
      <c r="D4711" s="6"/>
      <c r="H4711" s="6">
        <v>40135.671076388891</v>
      </c>
    </row>
    <row r="4712" spans="4:8" x14ac:dyDescent="0.2">
      <c r="D4712" s="6"/>
      <c r="H4712" s="6">
        <v>41758.729155092595</v>
      </c>
    </row>
    <row r="4713" spans="4:8" x14ac:dyDescent="0.2">
      <c r="D4713" s="6"/>
      <c r="H4713" s="6">
        <v>39105.691018518519</v>
      </c>
    </row>
    <row r="4714" spans="4:8" x14ac:dyDescent="0.2">
      <c r="D4714" s="6"/>
      <c r="H4714" s="6">
        <v>42474.577511574076</v>
      </c>
    </row>
    <row r="4715" spans="4:8" x14ac:dyDescent="0.2">
      <c r="D4715" s="6"/>
      <c r="H4715" s="6">
        <v>39737.589212962965</v>
      </c>
    </row>
    <row r="4716" spans="4:8" x14ac:dyDescent="0.2">
      <c r="D4716" s="6"/>
      <c r="H4716" s="6">
        <v>39743.524768518517</v>
      </c>
    </row>
    <row r="4717" spans="4:8" x14ac:dyDescent="0.2">
      <c r="D4717" s="6"/>
      <c r="H4717" s="6">
        <v>40149.739189814813</v>
      </c>
    </row>
    <row r="4718" spans="4:8" x14ac:dyDescent="0.2">
      <c r="D4718" s="6"/>
      <c r="H4718" s="6">
        <v>41379.400011574071</v>
      </c>
    </row>
    <row r="4719" spans="4:8" x14ac:dyDescent="0.2">
      <c r="D4719" s="6"/>
      <c r="H4719" s="6">
        <v>40228.420601851853</v>
      </c>
    </row>
    <row r="4720" spans="4:8" x14ac:dyDescent="0.2">
      <c r="D4720" s="6"/>
      <c r="H4720" s="6">
        <v>39850.732268518521</v>
      </c>
    </row>
    <row r="4721" spans="4:8" x14ac:dyDescent="0.2">
      <c r="D4721" s="6"/>
      <c r="H4721" s="6">
        <v>41516.340185185189</v>
      </c>
    </row>
    <row r="4722" spans="4:8" x14ac:dyDescent="0.2">
      <c r="D4722" s="6"/>
      <c r="H4722" s="6">
        <v>39993.396979166668</v>
      </c>
    </row>
    <row r="4723" spans="4:8" x14ac:dyDescent="0.2">
      <c r="D4723" s="6"/>
      <c r="H4723" s="6">
        <v>39993.396979166668</v>
      </c>
    </row>
    <row r="4724" spans="4:8" x14ac:dyDescent="0.2">
      <c r="D4724" s="6"/>
      <c r="H4724" s="6">
        <v>39708.4059837963</v>
      </c>
    </row>
    <row r="4725" spans="4:8" x14ac:dyDescent="0.2">
      <c r="D4725" s="6"/>
      <c r="H4725" s="6">
        <v>42360.42763888889</v>
      </c>
    </row>
    <row r="4726" spans="4:8" x14ac:dyDescent="0.2">
      <c r="D4726" s="6"/>
      <c r="H4726" s="6">
        <v>39917.338090277779</v>
      </c>
    </row>
    <row r="4727" spans="4:8" x14ac:dyDescent="0.2">
      <c r="D4727" s="6"/>
      <c r="H4727" s="6">
        <v>42173.712812500002</v>
      </c>
    </row>
    <row r="4728" spans="4:8" x14ac:dyDescent="0.2">
      <c r="D4728" s="6"/>
      <c r="H4728" s="6">
        <v>40114.404560185183</v>
      </c>
    </row>
    <row r="4729" spans="4:8" x14ac:dyDescent="0.2">
      <c r="D4729" s="6"/>
      <c r="H4729" s="6">
        <v>40060.371469907404</v>
      </c>
    </row>
    <row r="4730" spans="4:8" x14ac:dyDescent="0.2">
      <c r="D4730" s="6"/>
      <c r="H4730" s="6">
        <v>39917.336446759262</v>
      </c>
    </row>
    <row r="4731" spans="4:8" x14ac:dyDescent="0.2">
      <c r="D4731" s="6"/>
      <c r="H4731" s="6">
        <v>41379.394247685188</v>
      </c>
    </row>
    <row r="4732" spans="4:8" x14ac:dyDescent="0.2">
      <c r="D4732" s="6"/>
      <c r="H4732" s="6">
        <v>42317.785104166665</v>
      </c>
    </row>
    <row r="4733" spans="4:8" x14ac:dyDescent="0.2">
      <c r="D4733" s="6"/>
      <c r="H4733" s="6">
        <v>40157.451643518521</v>
      </c>
    </row>
    <row r="4734" spans="4:8" x14ac:dyDescent="0.2">
      <c r="D4734" s="6"/>
      <c r="H4734" s="6">
        <v>40157.452210648145</v>
      </c>
    </row>
    <row r="4735" spans="4:8" x14ac:dyDescent="0.2">
      <c r="D4735" s="6"/>
      <c r="H4735" s="6">
        <v>40157.452384259261</v>
      </c>
    </row>
    <row r="4736" spans="4:8" x14ac:dyDescent="0.2">
      <c r="D4736" s="6"/>
      <c r="H4736" s="6">
        <v>42048.74009259259</v>
      </c>
    </row>
    <row r="4737" spans="4:8" x14ac:dyDescent="0.2">
      <c r="D4737" s="6"/>
      <c r="H4737" s="6">
        <v>42051.603425925925</v>
      </c>
    </row>
    <row r="4738" spans="4:8" x14ac:dyDescent="0.2">
      <c r="D4738" s="6"/>
      <c r="H4738" s="6">
        <v>41379.389062499999</v>
      </c>
    </row>
    <row r="4739" spans="4:8" x14ac:dyDescent="0.2">
      <c r="D4739" s="6"/>
      <c r="H4739" s="6">
        <v>42320.342233796298</v>
      </c>
    </row>
    <row r="4740" spans="4:8" x14ac:dyDescent="0.2">
      <c r="D4740" s="6"/>
      <c r="H4740" s="6">
        <v>42115.326145833336</v>
      </c>
    </row>
    <row r="4741" spans="4:8" x14ac:dyDescent="0.2">
      <c r="D4741" s="6"/>
      <c r="H4741" s="6">
        <v>41457.652546296296</v>
      </c>
    </row>
    <row r="4742" spans="4:8" x14ac:dyDescent="0.2">
      <c r="D4742" s="6"/>
      <c r="H4742" s="6">
        <v>40102.421215277776</v>
      </c>
    </row>
    <row r="4743" spans="4:8" x14ac:dyDescent="0.2">
      <c r="D4743" s="6"/>
      <c r="H4743" s="6">
        <v>41387.383587962962</v>
      </c>
    </row>
    <row r="4744" spans="4:8" x14ac:dyDescent="0.2">
      <c r="D4744" s="6"/>
      <c r="H4744" s="6">
        <v>41387.423854166664</v>
      </c>
    </row>
    <row r="4745" spans="4:8" x14ac:dyDescent="0.2">
      <c r="D4745" s="6"/>
      <c r="H4745" s="6">
        <v>41387.425185185188</v>
      </c>
    </row>
    <row r="4746" spans="4:8" x14ac:dyDescent="0.2">
      <c r="D4746" s="6"/>
      <c r="H4746" s="6">
        <v>39882.430439814816</v>
      </c>
    </row>
    <row r="4747" spans="4:8" x14ac:dyDescent="0.2">
      <c r="D4747" s="6"/>
      <c r="H4747" s="6">
        <v>39882.430439814816</v>
      </c>
    </row>
    <row r="4748" spans="4:8" x14ac:dyDescent="0.2">
      <c r="D4748" s="6"/>
      <c r="H4748" s="6">
        <v>39883.604097222225</v>
      </c>
    </row>
    <row r="4749" spans="4:8" x14ac:dyDescent="0.2">
      <c r="D4749" s="6"/>
      <c r="H4749" s="6">
        <v>39883.604097222225</v>
      </c>
    </row>
    <row r="4750" spans="4:8" x14ac:dyDescent="0.2">
      <c r="D4750" s="6"/>
      <c r="H4750" s="6">
        <v>41641.734664351854</v>
      </c>
    </row>
    <row r="4751" spans="4:8" x14ac:dyDescent="0.2">
      <c r="D4751" s="6"/>
      <c r="H4751" s="6">
        <v>39875.474918981483</v>
      </c>
    </row>
    <row r="4752" spans="4:8" x14ac:dyDescent="0.2">
      <c r="D4752" s="6"/>
      <c r="H4752" s="6">
        <v>39876.540613425925</v>
      </c>
    </row>
    <row r="4753" spans="4:8" x14ac:dyDescent="0.2">
      <c r="D4753" s="6"/>
      <c r="H4753" s="6">
        <v>39871.691076388888</v>
      </c>
    </row>
    <row r="4754" spans="4:8" x14ac:dyDescent="0.2">
      <c r="D4754" s="6"/>
      <c r="H4754" s="6">
        <v>41156.489907407406</v>
      </c>
    </row>
    <row r="4755" spans="4:8" x14ac:dyDescent="0.2">
      <c r="D4755" s="6"/>
      <c r="H4755" s="6">
        <v>41156.489907407406</v>
      </c>
    </row>
    <row r="4756" spans="4:8" x14ac:dyDescent="0.2">
      <c r="D4756" s="6"/>
      <c r="H4756" s="6">
        <v>41149.635706018518</v>
      </c>
    </row>
    <row r="4757" spans="4:8" x14ac:dyDescent="0.2">
      <c r="D4757" s="6"/>
      <c r="H4757" s="6">
        <v>41149.700949074075</v>
      </c>
    </row>
    <row r="4758" spans="4:8" x14ac:dyDescent="0.2">
      <c r="D4758" s="6"/>
      <c r="H4758" s="6">
        <v>39200.407905092594</v>
      </c>
    </row>
    <row r="4759" spans="4:8" x14ac:dyDescent="0.2">
      <c r="D4759" s="6"/>
      <c r="H4759" s="6">
        <v>39407.553923611114</v>
      </c>
    </row>
    <row r="4760" spans="4:8" x14ac:dyDescent="0.2">
      <c r="D4760" s="6"/>
      <c r="H4760" s="6">
        <v>39391.650833333333</v>
      </c>
    </row>
    <row r="4761" spans="4:8" x14ac:dyDescent="0.2">
      <c r="D4761" s="6"/>
      <c r="H4761" s="6">
        <v>39392.802395833336</v>
      </c>
    </row>
    <row r="4762" spans="4:8" x14ac:dyDescent="0.2">
      <c r="D4762" s="6"/>
      <c r="H4762" s="6">
        <v>40154.916342592594</v>
      </c>
    </row>
    <row r="4763" spans="4:8" x14ac:dyDescent="0.2">
      <c r="D4763" s="6"/>
      <c r="H4763" s="6">
        <v>39877.704606481479</v>
      </c>
    </row>
    <row r="4764" spans="4:8" x14ac:dyDescent="0.2">
      <c r="D4764" s="6"/>
      <c r="H4764" s="6">
        <v>39883.614259259259</v>
      </c>
    </row>
    <row r="4765" spans="4:8" x14ac:dyDescent="0.2">
      <c r="D4765" s="6"/>
      <c r="H4765" s="6">
        <v>39884.498576388891</v>
      </c>
    </row>
    <row r="4766" spans="4:8" x14ac:dyDescent="0.2">
      <c r="D4766" s="6"/>
      <c r="H4766" s="6">
        <v>40135.750335648147</v>
      </c>
    </row>
    <row r="4767" spans="4:8" x14ac:dyDescent="0.2">
      <c r="D4767" s="6"/>
      <c r="H4767" s="6">
        <v>40135.750335648147</v>
      </c>
    </row>
    <row r="4768" spans="4:8" x14ac:dyDescent="0.2">
      <c r="D4768" s="6"/>
      <c r="H4768" s="6">
        <v>40249.672719907408</v>
      </c>
    </row>
    <row r="4769" spans="4:8" x14ac:dyDescent="0.2">
      <c r="D4769" s="6"/>
      <c r="H4769" s="6">
        <v>40135.811620370368</v>
      </c>
    </row>
    <row r="4770" spans="4:8" x14ac:dyDescent="0.2">
      <c r="D4770" s="6"/>
      <c r="H4770" s="6">
        <v>41604.717129629629</v>
      </c>
    </row>
    <row r="4771" spans="4:8" x14ac:dyDescent="0.2">
      <c r="D4771" s="6"/>
      <c r="H4771" s="6">
        <v>40142.839097222219</v>
      </c>
    </row>
    <row r="4772" spans="4:8" x14ac:dyDescent="0.2">
      <c r="D4772" s="6"/>
      <c r="H4772" s="6">
        <v>40161.65662037037</v>
      </c>
    </row>
    <row r="4773" spans="4:8" x14ac:dyDescent="0.2">
      <c r="D4773" s="6"/>
      <c r="H4773" s="6">
        <v>41565.567326388889</v>
      </c>
    </row>
    <row r="4774" spans="4:8" x14ac:dyDescent="0.2">
      <c r="D4774" s="6"/>
      <c r="H4774" s="6">
        <v>41324.716354166667</v>
      </c>
    </row>
    <row r="4775" spans="4:8" x14ac:dyDescent="0.2">
      <c r="D4775" s="6"/>
      <c r="H4775" s="6">
        <v>41229.637060185189</v>
      </c>
    </row>
    <row r="4776" spans="4:8" x14ac:dyDescent="0.2">
      <c r="D4776" s="6"/>
      <c r="H4776" s="6">
        <v>41283.774305555555</v>
      </c>
    </row>
    <row r="4777" spans="4:8" x14ac:dyDescent="0.2">
      <c r="D4777" s="6"/>
      <c r="H4777" s="6">
        <v>42066.716851851852</v>
      </c>
    </row>
    <row r="4778" spans="4:8" x14ac:dyDescent="0.2">
      <c r="D4778" s="6"/>
      <c r="H4778" s="6">
        <v>40101.401921296296</v>
      </c>
    </row>
    <row r="4779" spans="4:8" x14ac:dyDescent="0.2">
      <c r="D4779" s="6"/>
      <c r="H4779" s="6">
        <v>39379.792847222219</v>
      </c>
    </row>
    <row r="4780" spans="4:8" x14ac:dyDescent="0.2">
      <c r="D4780" s="6"/>
      <c r="H4780" s="6">
        <v>39666.724953703706</v>
      </c>
    </row>
    <row r="4781" spans="4:8" x14ac:dyDescent="0.2">
      <c r="D4781" s="6"/>
      <c r="H4781" s="6">
        <v>42445.688287037039</v>
      </c>
    </row>
    <row r="4782" spans="4:8" x14ac:dyDescent="0.2">
      <c r="D4782" s="6"/>
      <c r="H4782" s="6">
        <v>42445.688298611109</v>
      </c>
    </row>
    <row r="4783" spans="4:8" x14ac:dyDescent="0.2">
      <c r="D4783" s="6"/>
      <c r="H4783" s="6">
        <v>42359.526712962965</v>
      </c>
    </row>
    <row r="4784" spans="4:8" x14ac:dyDescent="0.2">
      <c r="D4784" s="6"/>
      <c r="H4784" s="6">
        <v>42388.81753472222</v>
      </c>
    </row>
    <row r="4785" spans="4:8" x14ac:dyDescent="0.2">
      <c r="D4785" s="6"/>
      <c r="H4785" s="6">
        <v>42398.458958333336</v>
      </c>
    </row>
    <row r="4786" spans="4:8" x14ac:dyDescent="0.2">
      <c r="D4786" s="6"/>
      <c r="H4786" s="6">
        <v>42419.638935185183</v>
      </c>
    </row>
    <row r="4787" spans="4:8" x14ac:dyDescent="0.2">
      <c r="D4787" s="6"/>
      <c r="H4787" s="6">
        <v>42416.374942129631</v>
      </c>
    </row>
    <row r="4788" spans="4:8" x14ac:dyDescent="0.2">
      <c r="D4788" s="6"/>
      <c r="H4788" s="6">
        <v>42429.916585648149</v>
      </c>
    </row>
    <row r="4789" spans="4:8" x14ac:dyDescent="0.2">
      <c r="D4789" s="6"/>
      <c r="H4789" s="6">
        <v>39888.549212962964</v>
      </c>
    </row>
    <row r="4790" spans="4:8" x14ac:dyDescent="0.2">
      <c r="D4790" s="6"/>
      <c r="H4790" s="6">
        <v>39878.774641203701</v>
      </c>
    </row>
    <row r="4791" spans="4:8" x14ac:dyDescent="0.2">
      <c r="D4791" s="6"/>
      <c r="H4791" s="6">
        <v>40072.58321759259</v>
      </c>
    </row>
    <row r="4792" spans="4:8" x14ac:dyDescent="0.2">
      <c r="D4792" s="6"/>
      <c r="H4792" s="6">
        <v>40038.43309027778</v>
      </c>
    </row>
    <row r="4793" spans="4:8" x14ac:dyDescent="0.2">
      <c r="D4793" s="6"/>
      <c r="H4793" s="6">
        <v>39861.770069444443</v>
      </c>
    </row>
    <row r="4794" spans="4:8" x14ac:dyDescent="0.2">
      <c r="D4794" s="6"/>
      <c r="H4794" s="6">
        <v>42039.761840277781</v>
      </c>
    </row>
    <row r="4795" spans="4:8" x14ac:dyDescent="0.2">
      <c r="D4795" s="6"/>
      <c r="H4795" s="6">
        <v>39721.595729166664</v>
      </c>
    </row>
    <row r="4796" spans="4:8" x14ac:dyDescent="0.2">
      <c r="D4796" s="6"/>
      <c r="H4796" s="6">
        <v>39721.544594907406</v>
      </c>
    </row>
    <row r="4797" spans="4:8" x14ac:dyDescent="0.2">
      <c r="D4797" s="6"/>
      <c r="H4797" s="6">
        <v>39721.595729166664</v>
      </c>
    </row>
    <row r="4798" spans="4:8" x14ac:dyDescent="0.2">
      <c r="D4798" s="6"/>
      <c r="H4798" s="6">
        <v>39721.544594907406</v>
      </c>
    </row>
    <row r="4799" spans="4:8" x14ac:dyDescent="0.2">
      <c r="D4799" s="6"/>
      <c r="H4799" s="6">
        <v>39721.543564814812</v>
      </c>
    </row>
    <row r="4800" spans="4:8" x14ac:dyDescent="0.2">
      <c r="D4800" s="6"/>
      <c r="H4800" s="6">
        <v>42338.616527777776</v>
      </c>
    </row>
    <row r="4801" spans="4:8" x14ac:dyDescent="0.2">
      <c r="D4801" s="6"/>
      <c r="H4801" s="6">
        <v>42402.771215277775</v>
      </c>
    </row>
    <row r="4802" spans="4:8" x14ac:dyDescent="0.2">
      <c r="D4802" s="6"/>
      <c r="H4802" s="6">
        <v>42402.771215277775</v>
      </c>
    </row>
    <row r="4803" spans="4:8" x14ac:dyDescent="0.2">
      <c r="D4803" s="6"/>
      <c r="H4803" s="6">
        <v>42402.771215277775</v>
      </c>
    </row>
    <row r="4804" spans="4:8" x14ac:dyDescent="0.2">
      <c r="D4804" s="6"/>
      <c r="H4804" s="6">
        <v>42032.742905092593</v>
      </c>
    </row>
    <row r="4805" spans="4:8" x14ac:dyDescent="0.2">
      <c r="D4805" s="6"/>
      <c r="H4805" s="6">
        <v>42398.48709490741</v>
      </c>
    </row>
    <row r="4806" spans="4:8" x14ac:dyDescent="0.2">
      <c r="D4806" s="6"/>
      <c r="H4806" s="6">
        <v>42398.485300925924</v>
      </c>
    </row>
    <row r="4807" spans="4:8" x14ac:dyDescent="0.2">
      <c r="D4807" s="6"/>
      <c r="H4807" s="6">
        <v>42426.318622685183</v>
      </c>
    </row>
    <row r="4808" spans="4:8" x14ac:dyDescent="0.2">
      <c r="D4808" s="6"/>
      <c r="H4808" s="6">
        <v>42444.372812499998</v>
      </c>
    </row>
    <row r="4809" spans="4:8" x14ac:dyDescent="0.2">
      <c r="D4809" s="6"/>
      <c r="H4809" s="6">
        <v>42402.771203703705</v>
      </c>
    </row>
    <row r="4810" spans="4:8" x14ac:dyDescent="0.2">
      <c r="D4810" s="6"/>
      <c r="H4810" s="6">
        <v>42404.559641203705</v>
      </c>
    </row>
    <row r="4811" spans="4:8" x14ac:dyDescent="0.2">
      <c r="D4811" s="6"/>
      <c r="H4811" s="6">
        <v>42380.388067129628</v>
      </c>
    </row>
    <row r="4812" spans="4:8" x14ac:dyDescent="0.2">
      <c r="D4812" s="6"/>
      <c r="H4812" s="6">
        <v>42404.56150462963</v>
      </c>
    </row>
    <row r="4813" spans="4:8" x14ac:dyDescent="0.2">
      <c r="D4813" s="6"/>
      <c r="H4813" s="6">
        <v>42402.771203703705</v>
      </c>
    </row>
    <row r="4814" spans="4:8" x14ac:dyDescent="0.2">
      <c r="D4814" s="6"/>
      <c r="H4814" s="6">
        <v>42404.560347222221</v>
      </c>
    </row>
    <row r="4815" spans="4:8" x14ac:dyDescent="0.2">
      <c r="D4815" s="6"/>
      <c r="H4815" s="6">
        <v>42401.700416666667</v>
      </c>
    </row>
    <row r="4816" spans="4:8" x14ac:dyDescent="0.2">
      <c r="D4816" s="6"/>
      <c r="H4816" s="6">
        <v>42404.560960648145</v>
      </c>
    </row>
    <row r="4817" spans="4:8" x14ac:dyDescent="0.2">
      <c r="D4817" s="6"/>
      <c r="H4817" s="6">
        <v>42404.486967592595</v>
      </c>
    </row>
    <row r="4818" spans="4:8" x14ac:dyDescent="0.2">
      <c r="D4818" s="6"/>
      <c r="H4818" s="6">
        <v>42422.698240740741</v>
      </c>
    </row>
    <row r="4819" spans="4:8" x14ac:dyDescent="0.2">
      <c r="D4819" s="6"/>
      <c r="H4819" s="6">
        <v>42422.571689814817</v>
      </c>
    </row>
    <row r="4820" spans="4:8" x14ac:dyDescent="0.2">
      <c r="D4820" s="6"/>
      <c r="H4820" s="6">
        <v>42436.420543981483</v>
      </c>
    </row>
    <row r="4821" spans="4:8" x14ac:dyDescent="0.2">
      <c r="D4821" s="6"/>
      <c r="H4821" s="6">
        <v>42444.373553240737</v>
      </c>
    </row>
    <row r="4822" spans="4:8" x14ac:dyDescent="0.2">
      <c r="D4822" s="6"/>
      <c r="H4822" s="6">
        <v>42445.45175925926</v>
      </c>
    </row>
    <row r="4823" spans="4:8" x14ac:dyDescent="0.2">
      <c r="D4823" s="6"/>
      <c r="H4823" s="6">
        <v>42458.590902777774</v>
      </c>
    </row>
    <row r="4824" spans="4:8" x14ac:dyDescent="0.2">
      <c r="D4824" s="6"/>
      <c r="H4824" s="6">
        <v>42488.486666666664</v>
      </c>
    </row>
    <row r="4825" spans="4:8" x14ac:dyDescent="0.2">
      <c r="D4825" s="6"/>
      <c r="H4825" s="6">
        <v>42488.420960648145</v>
      </c>
    </row>
    <row r="4826" spans="4:8" x14ac:dyDescent="0.2">
      <c r="D4826" s="6"/>
      <c r="H4826" s="6">
        <v>42436.541238425925</v>
      </c>
    </row>
    <row r="4827" spans="4:8" x14ac:dyDescent="0.2">
      <c r="D4827" s="6"/>
      <c r="H4827" s="6">
        <v>39511.772951388892</v>
      </c>
    </row>
    <row r="4828" spans="4:8" x14ac:dyDescent="0.2">
      <c r="D4828" s="6"/>
      <c r="H4828" s="6">
        <v>39511.772951388892</v>
      </c>
    </row>
    <row r="4829" spans="4:8" x14ac:dyDescent="0.2">
      <c r="D4829" s="6"/>
      <c r="H4829" s="6">
        <v>39511.772951388892</v>
      </c>
    </row>
    <row r="4830" spans="4:8" x14ac:dyDescent="0.2">
      <c r="D4830" s="6"/>
      <c r="H4830" s="6">
        <v>39511.772951388892</v>
      </c>
    </row>
    <row r="4831" spans="4:8" x14ac:dyDescent="0.2">
      <c r="D4831" s="6"/>
      <c r="H4831" s="6">
        <v>39511.772997685184</v>
      </c>
    </row>
    <row r="4832" spans="4:8" x14ac:dyDescent="0.2">
      <c r="D4832" s="6"/>
      <c r="H4832" s="6">
        <v>39511.772997685184</v>
      </c>
    </row>
    <row r="4833" spans="4:8" x14ac:dyDescent="0.2">
      <c r="D4833" s="6"/>
      <c r="H4833" s="6">
        <v>39511.772951388892</v>
      </c>
    </row>
    <row r="4834" spans="4:8" x14ac:dyDescent="0.2">
      <c r="D4834" s="6"/>
      <c r="H4834" s="6">
        <v>39741.036817129629</v>
      </c>
    </row>
    <row r="4835" spans="4:8" x14ac:dyDescent="0.2">
      <c r="D4835" s="6"/>
      <c r="H4835" s="6">
        <v>39511.772939814815</v>
      </c>
    </row>
    <row r="4836" spans="4:8" x14ac:dyDescent="0.2">
      <c r="D4836" s="6"/>
      <c r="H4836" s="6">
        <v>41100.390266203707</v>
      </c>
    </row>
    <row r="4837" spans="4:8" x14ac:dyDescent="0.2">
      <c r="D4837" s="6"/>
      <c r="H4837" s="6">
        <v>42060.617175925923</v>
      </c>
    </row>
    <row r="4838" spans="4:8" x14ac:dyDescent="0.2">
      <c r="D4838" s="6"/>
      <c r="H4838" s="6">
        <v>42093.728784722225</v>
      </c>
    </row>
    <row r="4839" spans="4:8" x14ac:dyDescent="0.2">
      <c r="D4839" s="6"/>
      <c r="H4839" s="6">
        <v>42095.503437500003</v>
      </c>
    </row>
    <row r="4840" spans="4:8" x14ac:dyDescent="0.2">
      <c r="D4840" s="6"/>
      <c r="H4840" s="6">
        <v>42146.41002314815</v>
      </c>
    </row>
    <row r="4841" spans="4:8" x14ac:dyDescent="0.2">
      <c r="D4841" s="6"/>
      <c r="H4841" s="6">
        <v>42163.428124999999</v>
      </c>
    </row>
    <row r="4842" spans="4:8" x14ac:dyDescent="0.2">
      <c r="D4842" s="6"/>
      <c r="H4842" s="6">
        <v>42163.430891203701</v>
      </c>
    </row>
    <row r="4843" spans="4:8" x14ac:dyDescent="0.2">
      <c r="D4843" s="6"/>
      <c r="H4843" s="6">
        <v>42354.413900462961</v>
      </c>
    </row>
    <row r="4844" spans="4:8" x14ac:dyDescent="0.2">
      <c r="D4844" s="6"/>
      <c r="H4844" s="6">
        <v>42359.688969907409</v>
      </c>
    </row>
    <row r="4845" spans="4:8" x14ac:dyDescent="0.2">
      <c r="D4845" s="6"/>
      <c r="H4845" s="6">
        <v>42038.486620370371</v>
      </c>
    </row>
    <row r="4846" spans="4:8" x14ac:dyDescent="0.2">
      <c r="D4846" s="6"/>
      <c r="H4846" s="6">
        <v>42038.520729166667</v>
      </c>
    </row>
    <row r="4847" spans="4:8" x14ac:dyDescent="0.2">
      <c r="D4847" s="6"/>
      <c r="H4847" s="6">
        <v>42060.497824074075</v>
      </c>
    </row>
    <row r="4848" spans="4:8" x14ac:dyDescent="0.2">
      <c r="D4848" s="6"/>
      <c r="H4848" s="6">
        <v>42066.531006944446</v>
      </c>
    </row>
    <row r="4849" spans="4:8" x14ac:dyDescent="0.2">
      <c r="D4849" s="6"/>
      <c r="H4849" s="6">
        <v>42093.679791666669</v>
      </c>
    </row>
    <row r="4850" spans="4:8" x14ac:dyDescent="0.2">
      <c r="D4850" s="6"/>
      <c r="H4850" s="6">
        <v>42095.526319444441</v>
      </c>
    </row>
    <row r="4851" spans="4:8" x14ac:dyDescent="0.2">
      <c r="D4851" s="6"/>
      <c r="H4851" s="6">
        <v>42129.582384259258</v>
      </c>
    </row>
    <row r="4852" spans="4:8" x14ac:dyDescent="0.2">
      <c r="D4852" s="6"/>
      <c r="H4852" s="6">
        <v>42129.646319444444</v>
      </c>
    </row>
    <row r="4853" spans="4:8" x14ac:dyDescent="0.2">
      <c r="D4853" s="6"/>
      <c r="H4853" s="6">
        <v>42153.497361111113</v>
      </c>
    </row>
    <row r="4854" spans="4:8" x14ac:dyDescent="0.2">
      <c r="D4854" s="6"/>
      <c r="H4854" s="6">
        <v>42157.602627314816</v>
      </c>
    </row>
    <row r="4855" spans="4:8" x14ac:dyDescent="0.2">
      <c r="D4855" s="6"/>
      <c r="H4855" s="6">
        <v>42184.346435185187</v>
      </c>
    </row>
    <row r="4856" spans="4:8" x14ac:dyDescent="0.2">
      <c r="D4856" s="6"/>
      <c r="H4856" s="6">
        <v>42185.397129629629</v>
      </c>
    </row>
    <row r="4857" spans="4:8" x14ac:dyDescent="0.2">
      <c r="D4857" s="6"/>
      <c r="H4857" s="6">
        <v>42185.403715277775</v>
      </c>
    </row>
    <row r="4858" spans="4:8" x14ac:dyDescent="0.2">
      <c r="D4858" s="6"/>
      <c r="H4858" s="6">
        <v>42228.441712962966</v>
      </c>
    </row>
    <row r="4859" spans="4:8" x14ac:dyDescent="0.2">
      <c r="D4859" s="6"/>
      <c r="H4859" s="6">
        <v>42228.448981481481</v>
      </c>
    </row>
    <row r="4860" spans="4:8" x14ac:dyDescent="0.2">
      <c r="D4860" s="6"/>
      <c r="H4860" s="6">
        <v>42248.654548611114</v>
      </c>
    </row>
    <row r="4861" spans="4:8" x14ac:dyDescent="0.2">
      <c r="D4861" s="6"/>
      <c r="H4861" s="6">
        <v>42248.674513888887</v>
      </c>
    </row>
    <row r="4862" spans="4:8" x14ac:dyDescent="0.2">
      <c r="D4862" s="6"/>
      <c r="H4862" s="6">
        <v>42278.430462962962</v>
      </c>
    </row>
    <row r="4863" spans="4:8" x14ac:dyDescent="0.2">
      <c r="D4863" s="6"/>
      <c r="H4863" s="6">
        <v>42278.503009259257</v>
      </c>
    </row>
    <row r="4864" spans="4:8" x14ac:dyDescent="0.2">
      <c r="D4864" s="6"/>
      <c r="H4864" s="6">
        <v>42305.779548611114</v>
      </c>
    </row>
    <row r="4865" spans="4:8" x14ac:dyDescent="0.2">
      <c r="D4865" s="6"/>
      <c r="H4865" s="6">
        <v>42305.788599537038</v>
      </c>
    </row>
    <row r="4866" spans="4:8" x14ac:dyDescent="0.2">
      <c r="D4866" s="6"/>
      <c r="H4866" s="6">
        <v>42335.774548611109</v>
      </c>
    </row>
    <row r="4867" spans="4:8" x14ac:dyDescent="0.2">
      <c r="D4867" s="6"/>
      <c r="H4867" s="6">
        <v>42341.452685185184</v>
      </c>
    </row>
    <row r="4868" spans="4:8" x14ac:dyDescent="0.2">
      <c r="D4868" s="6"/>
      <c r="H4868" s="6">
        <v>42377.600983796299</v>
      </c>
    </row>
    <row r="4869" spans="4:8" x14ac:dyDescent="0.2">
      <c r="D4869" s="6"/>
      <c r="H4869" s="6">
        <v>42377.607499999998</v>
      </c>
    </row>
    <row r="4870" spans="4:8" x14ac:dyDescent="0.2">
      <c r="D4870" s="6"/>
      <c r="H4870" s="6">
        <v>42403.329745370371</v>
      </c>
    </row>
    <row r="4871" spans="4:8" x14ac:dyDescent="0.2">
      <c r="D4871" s="6"/>
      <c r="H4871" s="6">
        <v>42403.367465277777</v>
      </c>
    </row>
    <row r="4872" spans="4:8" x14ac:dyDescent="0.2">
      <c r="D4872" s="6"/>
      <c r="H4872" s="6">
        <v>42403.432511574072</v>
      </c>
    </row>
    <row r="4873" spans="4:8" x14ac:dyDescent="0.2">
      <c r="D4873" s="6"/>
      <c r="H4873" s="6">
        <v>42403.602719907409</v>
      </c>
    </row>
    <row r="4874" spans="4:8" x14ac:dyDescent="0.2">
      <c r="D4874" s="6"/>
      <c r="H4874" s="6">
        <v>42429.780347222222</v>
      </c>
    </row>
    <row r="4875" spans="4:8" x14ac:dyDescent="0.2">
      <c r="D4875" s="6"/>
      <c r="H4875" s="6">
        <v>42429.785081018519</v>
      </c>
    </row>
    <row r="4876" spans="4:8" x14ac:dyDescent="0.2">
      <c r="D4876" s="6"/>
      <c r="H4876" s="6">
        <v>42465.59652777778</v>
      </c>
    </row>
    <row r="4877" spans="4:8" x14ac:dyDescent="0.2">
      <c r="D4877" s="6"/>
      <c r="H4877" s="6">
        <v>42465.640706018516</v>
      </c>
    </row>
    <row r="4878" spans="4:8" x14ac:dyDescent="0.2">
      <c r="D4878" s="6"/>
      <c r="H4878" s="6">
        <v>42275.378981481481</v>
      </c>
    </row>
    <row r="4879" spans="4:8" x14ac:dyDescent="0.2">
      <c r="D4879" s="6"/>
      <c r="H4879" s="6">
        <v>41885.413113425922</v>
      </c>
    </row>
    <row r="4880" spans="4:8" x14ac:dyDescent="0.2">
      <c r="D4880" s="6"/>
      <c r="H4880" s="6">
        <v>41885.413078703707</v>
      </c>
    </row>
    <row r="4881" spans="4:8" x14ac:dyDescent="0.2">
      <c r="D4881" s="6"/>
      <c r="H4881" s="6">
        <v>41169.35564814815</v>
      </c>
    </row>
    <row r="4882" spans="4:8" x14ac:dyDescent="0.2">
      <c r="D4882" s="6"/>
      <c r="H4882" s="6">
        <v>42318.633298611108</v>
      </c>
    </row>
    <row r="4883" spans="4:8" x14ac:dyDescent="0.2">
      <c r="D4883" s="6"/>
      <c r="H4883" s="6">
        <v>39860.562268518515</v>
      </c>
    </row>
    <row r="4884" spans="4:8" x14ac:dyDescent="0.2">
      <c r="D4884" s="6"/>
      <c r="H4884" s="6">
        <v>39860.56177083333</v>
      </c>
    </row>
    <row r="4885" spans="4:8" x14ac:dyDescent="0.2">
      <c r="D4885" s="6"/>
      <c r="H4885" s="6">
        <v>40025.59746527778</v>
      </c>
    </row>
    <row r="4886" spans="4:8" x14ac:dyDescent="0.2">
      <c r="D4886" s="6"/>
      <c r="H4886" s="6">
        <v>39261.671111111114</v>
      </c>
    </row>
    <row r="4887" spans="4:8" x14ac:dyDescent="0.2">
      <c r="D4887" s="6"/>
      <c r="H4887" s="6">
        <v>39261.671111111114</v>
      </c>
    </row>
    <row r="4888" spans="4:8" x14ac:dyDescent="0.2">
      <c r="D4888" s="6"/>
      <c r="H4888" s="6">
        <v>39175.4452662037</v>
      </c>
    </row>
    <row r="4889" spans="4:8" x14ac:dyDescent="0.2">
      <c r="D4889" s="6"/>
      <c r="H4889" s="6">
        <v>42310.772974537038</v>
      </c>
    </row>
    <row r="4890" spans="4:8" x14ac:dyDescent="0.2">
      <c r="D4890" s="6"/>
      <c r="H4890" s="6">
        <v>42415.650821759256</v>
      </c>
    </row>
    <row r="4891" spans="4:8" x14ac:dyDescent="0.2">
      <c r="D4891" s="6"/>
      <c r="H4891" s="6">
        <v>40094.66028935185</v>
      </c>
    </row>
    <row r="4892" spans="4:8" x14ac:dyDescent="0.2">
      <c r="D4892" s="6"/>
      <c r="H4892" s="6">
        <v>41247.674166666664</v>
      </c>
    </row>
    <row r="4893" spans="4:8" x14ac:dyDescent="0.2">
      <c r="D4893" s="6"/>
      <c r="H4893" s="6">
        <v>40147.661493055559</v>
      </c>
    </row>
    <row r="4894" spans="4:8" x14ac:dyDescent="0.2">
      <c r="D4894" s="6"/>
      <c r="H4894" s="6">
        <v>40207.727743055555</v>
      </c>
    </row>
    <row r="4895" spans="4:8" x14ac:dyDescent="0.2">
      <c r="D4895" s="6"/>
      <c r="H4895" s="6">
        <v>40207.728773148148</v>
      </c>
    </row>
    <row r="4896" spans="4:8" x14ac:dyDescent="0.2">
      <c r="D4896" s="6"/>
      <c r="H4896" s="6">
        <v>40207.729710648149</v>
      </c>
    </row>
    <row r="4897" spans="4:8" x14ac:dyDescent="0.2">
      <c r="D4897" s="6"/>
      <c r="H4897" s="6">
        <v>40207.730590277781</v>
      </c>
    </row>
    <row r="4898" spans="4:8" x14ac:dyDescent="0.2">
      <c r="D4898" s="6"/>
      <c r="H4898" s="6">
        <v>40207.731493055559</v>
      </c>
    </row>
    <row r="4899" spans="4:8" x14ac:dyDescent="0.2">
      <c r="D4899" s="6"/>
      <c r="H4899" s="6">
        <v>40207.732499999998</v>
      </c>
    </row>
    <row r="4900" spans="4:8" x14ac:dyDescent="0.2">
      <c r="D4900" s="6"/>
      <c r="H4900" s="6">
        <v>39931.620185185187</v>
      </c>
    </row>
    <row r="4901" spans="4:8" x14ac:dyDescent="0.2">
      <c r="D4901" s="6"/>
      <c r="H4901" s="6">
        <v>39931.61818287037</v>
      </c>
    </row>
    <row r="4902" spans="4:8" x14ac:dyDescent="0.2">
      <c r="D4902" s="6"/>
      <c r="H4902" s="6">
        <v>39934.582002314812</v>
      </c>
    </row>
    <row r="4903" spans="4:8" x14ac:dyDescent="0.2">
      <c r="D4903" s="6"/>
      <c r="H4903" s="6">
        <v>39925.735289351855</v>
      </c>
    </row>
    <row r="4904" spans="4:8" x14ac:dyDescent="0.2">
      <c r="D4904" s="6"/>
      <c r="H4904" s="6">
        <v>39925.735891203702</v>
      </c>
    </row>
    <row r="4905" spans="4:8" x14ac:dyDescent="0.2">
      <c r="D4905" s="6"/>
      <c r="H4905" s="6">
        <v>39946.521469907406</v>
      </c>
    </row>
    <row r="4906" spans="4:8" x14ac:dyDescent="0.2">
      <c r="D4906" s="6"/>
      <c r="H4906" s="6">
        <v>39927.665486111109</v>
      </c>
    </row>
    <row r="4907" spans="4:8" x14ac:dyDescent="0.2">
      <c r="D4907" s="6"/>
      <c r="H4907" s="6">
        <v>39927.7578587963</v>
      </c>
    </row>
    <row r="4908" spans="4:8" x14ac:dyDescent="0.2">
      <c r="D4908" s="6"/>
      <c r="H4908" s="6">
        <v>39930.630127314813</v>
      </c>
    </row>
    <row r="4909" spans="4:8" x14ac:dyDescent="0.2">
      <c r="D4909" s="6"/>
      <c r="H4909" s="6">
        <v>39930.629502314812</v>
      </c>
    </row>
    <row r="4910" spans="4:8" x14ac:dyDescent="0.2">
      <c r="D4910" s="6"/>
      <c r="H4910" s="6">
        <v>39934.583310185182</v>
      </c>
    </row>
    <row r="4911" spans="4:8" x14ac:dyDescent="0.2">
      <c r="D4911" s="6"/>
      <c r="H4911" s="6">
        <v>39912.474293981482</v>
      </c>
    </row>
    <row r="4912" spans="4:8" x14ac:dyDescent="0.2">
      <c r="D4912" s="6"/>
      <c r="H4912" s="6">
        <v>39912.476087962961</v>
      </c>
    </row>
    <row r="4913" spans="4:8" x14ac:dyDescent="0.2">
      <c r="D4913" s="6"/>
      <c r="H4913" s="6">
        <v>42292.472268518519</v>
      </c>
    </row>
    <row r="4914" spans="4:8" x14ac:dyDescent="0.2">
      <c r="D4914" s="6"/>
      <c r="H4914" s="6">
        <v>42292.472268518519</v>
      </c>
    </row>
    <row r="4915" spans="4:8" x14ac:dyDescent="0.2">
      <c r="D4915" s="6"/>
      <c r="H4915" s="6">
        <v>41787.562662037039</v>
      </c>
    </row>
    <row r="4916" spans="4:8" x14ac:dyDescent="0.2">
      <c r="D4916" s="6"/>
      <c r="H4916" s="6">
        <v>41564.710648148146</v>
      </c>
    </row>
    <row r="4917" spans="4:8" x14ac:dyDescent="0.2">
      <c r="D4917" s="6"/>
      <c r="H4917" s="6">
        <v>41292.546724537038</v>
      </c>
    </row>
    <row r="4918" spans="4:8" x14ac:dyDescent="0.2">
      <c r="D4918" s="6"/>
      <c r="H4918" s="6">
        <v>41169.851412037038</v>
      </c>
    </row>
    <row r="4919" spans="4:8" x14ac:dyDescent="0.2">
      <c r="D4919" s="6"/>
      <c r="H4919" s="6">
        <v>40564.796412037038</v>
      </c>
    </row>
    <row r="4920" spans="4:8" x14ac:dyDescent="0.2">
      <c r="D4920" s="6"/>
      <c r="H4920" s="6">
        <v>40219.423032407409</v>
      </c>
    </row>
    <row r="4921" spans="4:8" x14ac:dyDescent="0.2">
      <c r="D4921" s="6"/>
      <c r="H4921" s="6">
        <v>40900.437858796293</v>
      </c>
    </row>
    <row r="4922" spans="4:8" x14ac:dyDescent="0.2">
      <c r="D4922" s="6"/>
      <c r="H4922" s="6">
        <v>41332.40384259259</v>
      </c>
    </row>
    <row r="4923" spans="4:8" x14ac:dyDescent="0.2">
      <c r="D4923" s="6"/>
      <c r="H4923" s="6">
        <v>40217.459953703707</v>
      </c>
    </row>
    <row r="4924" spans="4:8" x14ac:dyDescent="0.2">
      <c r="D4924" s="6"/>
      <c r="H4924" s="6">
        <v>42124.630243055559</v>
      </c>
    </row>
    <row r="4925" spans="4:8" x14ac:dyDescent="0.2">
      <c r="D4925" s="6"/>
      <c r="H4925" s="6">
        <v>40224.730347222219</v>
      </c>
    </row>
    <row r="4926" spans="4:8" x14ac:dyDescent="0.2">
      <c r="D4926" s="6"/>
      <c r="H4926" s="6">
        <v>41754.702905092592</v>
      </c>
    </row>
    <row r="4927" spans="4:8" x14ac:dyDescent="0.2">
      <c r="D4927" s="6"/>
      <c r="H4927" s="6">
        <v>41759.58829861111</v>
      </c>
    </row>
    <row r="4928" spans="4:8" x14ac:dyDescent="0.2">
      <c r="D4928" s="6"/>
      <c r="H4928" s="6">
        <v>41759.589039351849</v>
      </c>
    </row>
    <row r="4929" spans="4:8" x14ac:dyDescent="0.2">
      <c r="D4929" s="6"/>
      <c r="H4929" s="6">
        <v>41753.648356481484</v>
      </c>
    </row>
    <row r="4930" spans="4:8" x14ac:dyDescent="0.2">
      <c r="D4930" s="6"/>
      <c r="H4930" s="6">
        <v>41754.701863425929</v>
      </c>
    </row>
    <row r="4931" spans="4:8" x14ac:dyDescent="0.2">
      <c r="D4931" s="6"/>
      <c r="H4931" s="6">
        <v>42060.767754629633</v>
      </c>
    </row>
    <row r="4932" spans="4:8" x14ac:dyDescent="0.2">
      <c r="D4932" s="6"/>
      <c r="H4932" s="6">
        <v>41303.690381944441</v>
      </c>
    </row>
    <row r="4933" spans="4:8" x14ac:dyDescent="0.2">
      <c r="D4933" s="6"/>
      <c r="H4933" s="6">
        <v>40168.507916666669</v>
      </c>
    </row>
    <row r="4934" spans="4:8" x14ac:dyDescent="0.2">
      <c r="D4934" s="6"/>
      <c r="H4934" s="6">
        <v>40168.635393518518</v>
      </c>
    </row>
    <row r="4935" spans="4:8" x14ac:dyDescent="0.2">
      <c r="D4935" s="6"/>
      <c r="H4935" s="6">
        <v>40060.530555555553</v>
      </c>
    </row>
    <row r="4936" spans="4:8" x14ac:dyDescent="0.2">
      <c r="D4936" s="6"/>
      <c r="H4936" s="6">
        <v>39954.513506944444</v>
      </c>
    </row>
    <row r="4937" spans="4:8" x14ac:dyDescent="0.2">
      <c r="D4937" s="6"/>
      <c r="H4937" s="6">
        <v>39951.634953703702</v>
      </c>
    </row>
    <row r="4938" spans="4:8" x14ac:dyDescent="0.2">
      <c r="D4938" s="6"/>
      <c r="H4938" s="6">
        <v>40197.6721875</v>
      </c>
    </row>
    <row r="4939" spans="4:8" x14ac:dyDescent="0.2">
      <c r="D4939" s="6"/>
      <c r="H4939" s="6">
        <v>39954.493368055555</v>
      </c>
    </row>
    <row r="4940" spans="4:8" x14ac:dyDescent="0.2">
      <c r="D4940" s="6"/>
      <c r="H4940" s="6">
        <v>40197.672673611109</v>
      </c>
    </row>
    <row r="4941" spans="4:8" x14ac:dyDescent="0.2">
      <c r="D4941" s="6"/>
      <c r="H4941" s="6">
        <v>39954.508009259262</v>
      </c>
    </row>
    <row r="4942" spans="4:8" x14ac:dyDescent="0.2">
      <c r="D4942" s="6"/>
      <c r="H4942" s="6">
        <v>40158.736701388887</v>
      </c>
    </row>
    <row r="4943" spans="4:8" x14ac:dyDescent="0.2">
      <c r="D4943" s="6"/>
      <c r="H4943" s="6">
        <v>41334.489374999997</v>
      </c>
    </row>
    <row r="4944" spans="4:8" x14ac:dyDescent="0.2">
      <c r="D4944" s="6"/>
      <c r="H4944" s="6">
        <v>41358.680810185186</v>
      </c>
    </row>
    <row r="4945" spans="4:8" x14ac:dyDescent="0.2">
      <c r="D4945" s="6"/>
      <c r="H4945" s="6">
        <v>41359.445555555554</v>
      </c>
    </row>
    <row r="4946" spans="4:8" x14ac:dyDescent="0.2">
      <c r="D4946" s="6"/>
      <c r="H4946" s="6">
        <v>41346.596655092595</v>
      </c>
    </row>
    <row r="4947" spans="4:8" x14ac:dyDescent="0.2">
      <c r="D4947" s="6"/>
      <c r="H4947" s="6">
        <v>41325.674224537041</v>
      </c>
    </row>
    <row r="4948" spans="4:8" x14ac:dyDescent="0.2">
      <c r="D4948" s="6"/>
      <c r="H4948" s="6">
        <v>41358.68645833333</v>
      </c>
    </row>
    <row r="4949" spans="4:8" x14ac:dyDescent="0.2">
      <c r="D4949" s="6"/>
      <c r="H4949" s="6">
        <v>41325.996331018519</v>
      </c>
    </row>
    <row r="4950" spans="4:8" x14ac:dyDescent="0.2">
      <c r="D4950" s="6"/>
      <c r="H4950" s="6">
        <v>41326.038194444445</v>
      </c>
    </row>
    <row r="4951" spans="4:8" x14ac:dyDescent="0.2">
      <c r="D4951" s="6"/>
      <c r="H4951" s="6">
        <v>41326.469027777777</v>
      </c>
    </row>
    <row r="4952" spans="4:8" x14ac:dyDescent="0.2">
      <c r="D4952" s="6"/>
      <c r="H4952" s="6">
        <v>41295.454247685186</v>
      </c>
    </row>
    <row r="4953" spans="4:8" x14ac:dyDescent="0.2">
      <c r="D4953" s="6"/>
      <c r="H4953" s="6">
        <v>41295.431215277778</v>
      </c>
    </row>
    <row r="4954" spans="4:8" x14ac:dyDescent="0.2">
      <c r="D4954" s="6"/>
      <c r="H4954" s="6">
        <v>41295.431215277778</v>
      </c>
    </row>
    <row r="4955" spans="4:8" x14ac:dyDescent="0.2">
      <c r="D4955" s="6"/>
      <c r="H4955" s="6">
        <v>41527.504618055558</v>
      </c>
    </row>
    <row r="4956" spans="4:8" x14ac:dyDescent="0.2">
      <c r="D4956" s="6"/>
      <c r="H4956" s="6">
        <v>41295.431238425925</v>
      </c>
    </row>
    <row r="4957" spans="4:8" x14ac:dyDescent="0.2">
      <c r="D4957" s="6"/>
      <c r="H4957" s="6">
        <v>41295.431273148148</v>
      </c>
    </row>
    <row r="4958" spans="4:8" x14ac:dyDescent="0.2">
      <c r="D4958" s="6"/>
      <c r="H4958" s="6">
        <v>41372.659537037034</v>
      </c>
    </row>
    <row r="4959" spans="4:8" x14ac:dyDescent="0.2">
      <c r="D4959" s="6"/>
      <c r="H4959" s="6">
        <v>41256.489363425928</v>
      </c>
    </row>
    <row r="4960" spans="4:8" x14ac:dyDescent="0.2">
      <c r="D4960" s="6"/>
      <c r="H4960" s="6">
        <v>41256.489363425928</v>
      </c>
    </row>
    <row r="4961" spans="4:8" x14ac:dyDescent="0.2">
      <c r="D4961" s="6"/>
      <c r="H4961" s="6">
        <v>41256.492384259262</v>
      </c>
    </row>
    <row r="4962" spans="4:8" x14ac:dyDescent="0.2">
      <c r="D4962" s="6"/>
      <c r="H4962" s="6">
        <v>41256.489363425928</v>
      </c>
    </row>
    <row r="4963" spans="4:8" x14ac:dyDescent="0.2">
      <c r="D4963" s="6"/>
      <c r="H4963" s="6">
        <v>41256.489363425928</v>
      </c>
    </row>
    <row r="4964" spans="4:8" x14ac:dyDescent="0.2">
      <c r="D4964" s="6"/>
      <c r="H4964" s="6">
        <v>41256.489363425928</v>
      </c>
    </row>
    <row r="4965" spans="4:8" x14ac:dyDescent="0.2">
      <c r="D4965" s="6"/>
      <c r="H4965" s="6">
        <v>41256.489374999997</v>
      </c>
    </row>
    <row r="4966" spans="4:8" x14ac:dyDescent="0.2">
      <c r="D4966" s="6"/>
      <c r="H4966" s="6">
        <v>41256.489374999997</v>
      </c>
    </row>
    <row r="4967" spans="4:8" x14ac:dyDescent="0.2">
      <c r="D4967" s="6"/>
      <c r="H4967" s="6">
        <v>41256.489374999997</v>
      </c>
    </row>
    <row r="4968" spans="4:8" x14ac:dyDescent="0.2">
      <c r="D4968" s="6"/>
      <c r="H4968" s="6">
        <v>41256.489374999997</v>
      </c>
    </row>
    <row r="4969" spans="4:8" x14ac:dyDescent="0.2">
      <c r="D4969" s="6"/>
      <c r="H4969" s="6">
        <v>41256.489386574074</v>
      </c>
    </row>
    <row r="4970" spans="4:8" x14ac:dyDescent="0.2">
      <c r="D4970" s="6"/>
      <c r="H4970" s="6">
        <v>41256.489386574074</v>
      </c>
    </row>
    <row r="4971" spans="4:8" x14ac:dyDescent="0.2">
      <c r="D4971" s="6"/>
      <c r="H4971" s="6">
        <v>41256.489386574074</v>
      </c>
    </row>
    <row r="4972" spans="4:8" x14ac:dyDescent="0.2">
      <c r="D4972" s="6"/>
      <c r="H4972" s="6">
        <v>41256.489386574074</v>
      </c>
    </row>
    <row r="4973" spans="4:8" x14ac:dyDescent="0.2">
      <c r="D4973" s="6"/>
      <c r="H4973" s="6">
        <v>41256.489386574074</v>
      </c>
    </row>
    <row r="4974" spans="4:8" x14ac:dyDescent="0.2">
      <c r="D4974" s="6"/>
      <c r="H4974" s="6">
        <v>41256.489386574074</v>
      </c>
    </row>
    <row r="4975" spans="4:8" x14ac:dyDescent="0.2">
      <c r="D4975" s="6"/>
      <c r="H4975" s="6">
        <v>41256.489398148151</v>
      </c>
    </row>
    <row r="4976" spans="4:8" x14ac:dyDescent="0.2">
      <c r="D4976" s="6"/>
      <c r="H4976" s="6">
        <v>40221.411643518521</v>
      </c>
    </row>
    <row r="4977" spans="4:8" x14ac:dyDescent="0.2">
      <c r="D4977" s="6"/>
      <c r="H4977" s="6">
        <v>40154.810601851852</v>
      </c>
    </row>
    <row r="4978" spans="4:8" x14ac:dyDescent="0.2">
      <c r="D4978" s="6"/>
      <c r="H4978" s="6">
        <v>40221.467673611114</v>
      </c>
    </row>
    <row r="4979" spans="4:8" x14ac:dyDescent="0.2">
      <c r="D4979" s="6"/>
      <c r="H4979" s="6">
        <v>41600.422476851854</v>
      </c>
    </row>
    <row r="4980" spans="4:8" x14ac:dyDescent="0.2">
      <c r="D4980" s="6"/>
      <c r="H4980" s="6">
        <v>40330.648935185185</v>
      </c>
    </row>
    <row r="4981" spans="4:8" x14ac:dyDescent="0.2">
      <c r="D4981" s="6"/>
      <c r="H4981" s="6">
        <v>40221.412754629629</v>
      </c>
    </row>
    <row r="4982" spans="4:8" x14ac:dyDescent="0.2">
      <c r="D4982" s="6"/>
      <c r="H4982" s="6">
        <v>40221.436840277776</v>
      </c>
    </row>
    <row r="4983" spans="4:8" x14ac:dyDescent="0.2">
      <c r="D4983" s="6"/>
      <c r="H4983" s="6">
        <v>40330.64738425926</v>
      </c>
    </row>
    <row r="4984" spans="4:8" x14ac:dyDescent="0.2">
      <c r="D4984" s="6"/>
      <c r="H4984" s="6">
        <v>40330.589560185188</v>
      </c>
    </row>
    <row r="4985" spans="4:8" x14ac:dyDescent="0.2">
      <c r="D4985" s="6"/>
      <c r="H4985" s="6">
        <v>40322.598171296297</v>
      </c>
    </row>
    <row r="4986" spans="4:8" x14ac:dyDescent="0.2">
      <c r="D4986" s="6"/>
      <c r="H4986" s="6">
        <v>40221.436886574076</v>
      </c>
    </row>
    <row r="4987" spans="4:8" x14ac:dyDescent="0.2">
      <c r="D4987" s="6"/>
      <c r="H4987" s="6">
        <v>40322.605763888889</v>
      </c>
    </row>
    <row r="4988" spans="4:8" x14ac:dyDescent="0.2">
      <c r="D4988" s="6"/>
      <c r="H4988" s="6">
        <v>40221.436944444446</v>
      </c>
    </row>
    <row r="4989" spans="4:8" x14ac:dyDescent="0.2">
      <c r="D4989" s="6"/>
      <c r="H4989" s="6">
        <v>40294.461712962962</v>
      </c>
    </row>
    <row r="4990" spans="4:8" x14ac:dyDescent="0.2">
      <c r="D4990" s="6"/>
      <c r="H4990" s="6">
        <v>40221.471643518518</v>
      </c>
    </row>
    <row r="4991" spans="4:8" x14ac:dyDescent="0.2">
      <c r="D4991" s="6"/>
      <c r="H4991" s="6">
        <v>41584.556979166664</v>
      </c>
    </row>
    <row r="4992" spans="4:8" x14ac:dyDescent="0.2">
      <c r="D4992" s="6"/>
      <c r="H4992" s="6">
        <v>41584.558368055557</v>
      </c>
    </row>
    <row r="4993" spans="4:8" x14ac:dyDescent="0.2">
      <c r="D4993" s="6"/>
      <c r="H4993" s="6">
        <v>41584.556990740741</v>
      </c>
    </row>
    <row r="4994" spans="4:8" x14ac:dyDescent="0.2">
      <c r="D4994" s="6"/>
      <c r="H4994" s="6">
        <v>41584.558958333335</v>
      </c>
    </row>
    <row r="4995" spans="4:8" x14ac:dyDescent="0.2">
      <c r="D4995" s="6"/>
      <c r="H4995" s="6">
        <v>41584.556990740741</v>
      </c>
    </row>
    <row r="4996" spans="4:8" x14ac:dyDescent="0.2">
      <c r="D4996" s="6"/>
      <c r="H4996" s="6">
        <v>41584.559861111113</v>
      </c>
    </row>
    <row r="4997" spans="4:8" x14ac:dyDescent="0.2">
      <c r="D4997" s="6"/>
      <c r="H4997" s="6">
        <v>41584.556990740741</v>
      </c>
    </row>
    <row r="4998" spans="4:8" x14ac:dyDescent="0.2">
      <c r="D4998" s="6"/>
      <c r="H4998" s="6">
        <v>41584.560613425929</v>
      </c>
    </row>
    <row r="4999" spans="4:8" x14ac:dyDescent="0.2">
      <c r="D4999" s="6"/>
      <c r="H4999" s="6">
        <v>41584.556990740741</v>
      </c>
    </row>
    <row r="5000" spans="4:8" x14ac:dyDescent="0.2">
      <c r="D5000" s="6"/>
      <c r="H5000" s="6">
        <v>41584.561145833337</v>
      </c>
    </row>
    <row r="5001" spans="4:8" x14ac:dyDescent="0.2">
      <c r="D5001" s="6"/>
      <c r="H5001" s="6">
        <v>41584.557002314818</v>
      </c>
    </row>
    <row r="5002" spans="4:8" x14ac:dyDescent="0.2">
      <c r="D5002" s="6"/>
      <c r="H5002" s="6">
        <v>41584.557002314818</v>
      </c>
    </row>
    <row r="5003" spans="4:8" x14ac:dyDescent="0.2">
      <c r="D5003" s="6"/>
      <c r="H5003" s="6">
        <v>41584.562048611115</v>
      </c>
    </row>
    <row r="5004" spans="4:8" x14ac:dyDescent="0.2">
      <c r="D5004" s="6"/>
      <c r="H5004" s="6">
        <v>41584.557002314818</v>
      </c>
    </row>
    <row r="5005" spans="4:8" x14ac:dyDescent="0.2">
      <c r="D5005" s="6"/>
      <c r="H5005" s="6">
        <v>41584.557013888887</v>
      </c>
    </row>
    <row r="5006" spans="4:8" x14ac:dyDescent="0.2">
      <c r="D5006" s="6"/>
      <c r="H5006" s="6">
        <v>41584.557002314818</v>
      </c>
    </row>
    <row r="5007" spans="4:8" x14ac:dyDescent="0.2">
      <c r="D5007" s="6"/>
      <c r="H5007" s="6">
        <v>41584.557002314818</v>
      </c>
    </row>
    <row r="5008" spans="4:8" x14ac:dyDescent="0.2">
      <c r="D5008" s="6"/>
      <c r="H5008" s="6">
        <v>41584.557002314818</v>
      </c>
    </row>
    <row r="5009" spans="4:8" x14ac:dyDescent="0.2">
      <c r="D5009" s="6"/>
      <c r="H5009" s="6">
        <v>41584.557002314818</v>
      </c>
    </row>
    <row r="5010" spans="4:8" x14ac:dyDescent="0.2">
      <c r="D5010" s="6"/>
      <c r="H5010" s="6">
        <v>41584.557002314818</v>
      </c>
    </row>
    <row r="5011" spans="4:8" x14ac:dyDescent="0.2">
      <c r="D5011" s="6"/>
      <c r="H5011" s="6">
        <v>41584.557002314818</v>
      </c>
    </row>
    <row r="5012" spans="4:8" x14ac:dyDescent="0.2">
      <c r="D5012" s="6"/>
      <c r="H5012" s="6">
        <v>41584.557002314818</v>
      </c>
    </row>
    <row r="5013" spans="4:8" x14ac:dyDescent="0.2">
      <c r="D5013" s="6"/>
      <c r="H5013" s="6">
        <v>41584.557002314818</v>
      </c>
    </row>
    <row r="5014" spans="4:8" x14ac:dyDescent="0.2">
      <c r="D5014" s="6"/>
      <c r="H5014" s="6">
        <v>41584.557002314818</v>
      </c>
    </row>
    <row r="5015" spans="4:8" x14ac:dyDescent="0.2">
      <c r="D5015" s="6"/>
      <c r="H5015" s="6">
        <v>41584.557002314818</v>
      </c>
    </row>
    <row r="5016" spans="4:8" x14ac:dyDescent="0.2">
      <c r="D5016" s="6"/>
      <c r="H5016" s="6">
        <v>41584.557002314818</v>
      </c>
    </row>
    <row r="5017" spans="4:8" x14ac:dyDescent="0.2">
      <c r="D5017" s="6"/>
      <c r="H5017" s="6">
        <v>41584.562395833331</v>
      </c>
    </row>
    <row r="5018" spans="4:8" x14ac:dyDescent="0.2">
      <c r="D5018" s="6"/>
      <c r="H5018" s="6">
        <v>41584.557013888887</v>
      </c>
    </row>
    <row r="5019" spans="4:8" x14ac:dyDescent="0.2">
      <c r="D5019" s="6"/>
      <c r="H5019" s="6">
        <v>40203.47960648148</v>
      </c>
    </row>
    <row r="5020" spans="4:8" x14ac:dyDescent="0.2">
      <c r="D5020" s="6"/>
      <c r="H5020" s="6">
        <v>40203.47960648148</v>
      </c>
    </row>
    <row r="5021" spans="4:8" x14ac:dyDescent="0.2">
      <c r="D5021" s="6"/>
      <c r="H5021" s="6">
        <v>40203.479641203703</v>
      </c>
    </row>
    <row r="5022" spans="4:8" x14ac:dyDescent="0.2">
      <c r="D5022" s="6"/>
      <c r="H5022" s="6">
        <v>40203.479641203703</v>
      </c>
    </row>
    <row r="5023" spans="4:8" x14ac:dyDescent="0.2">
      <c r="D5023" s="6"/>
      <c r="H5023" s="6">
        <v>40203.479629629626</v>
      </c>
    </row>
    <row r="5024" spans="4:8" x14ac:dyDescent="0.2">
      <c r="D5024" s="6"/>
      <c r="H5024" s="6">
        <v>40203.479618055557</v>
      </c>
    </row>
    <row r="5025" spans="4:8" x14ac:dyDescent="0.2">
      <c r="D5025" s="6"/>
      <c r="H5025" s="6">
        <v>40203.479629629626</v>
      </c>
    </row>
    <row r="5026" spans="4:8" x14ac:dyDescent="0.2">
      <c r="D5026" s="6"/>
      <c r="H5026" s="6">
        <v>40203.479629629626</v>
      </c>
    </row>
    <row r="5027" spans="4:8" x14ac:dyDescent="0.2">
      <c r="D5027" s="6"/>
      <c r="H5027" s="6">
        <v>40203.479629629626</v>
      </c>
    </row>
    <row r="5028" spans="4:8" x14ac:dyDescent="0.2">
      <c r="D5028" s="6"/>
      <c r="H5028" s="6">
        <v>40203.479641203703</v>
      </c>
    </row>
    <row r="5029" spans="4:8" x14ac:dyDescent="0.2">
      <c r="D5029" s="6"/>
      <c r="H5029" s="6">
        <v>40203.479641203703</v>
      </c>
    </row>
    <row r="5030" spans="4:8" x14ac:dyDescent="0.2">
      <c r="D5030" s="6"/>
      <c r="H5030" s="6">
        <v>40203.47960648148</v>
      </c>
    </row>
    <row r="5031" spans="4:8" x14ac:dyDescent="0.2">
      <c r="D5031" s="6"/>
      <c r="H5031" s="6">
        <v>40203.47960648148</v>
      </c>
    </row>
    <row r="5032" spans="4:8" x14ac:dyDescent="0.2">
      <c r="D5032" s="6"/>
      <c r="H5032" s="6">
        <v>40203.479618055557</v>
      </c>
    </row>
    <row r="5033" spans="4:8" x14ac:dyDescent="0.2">
      <c r="D5033" s="6"/>
      <c r="H5033" s="6">
        <v>40203.479618055557</v>
      </c>
    </row>
    <row r="5034" spans="4:8" x14ac:dyDescent="0.2">
      <c r="D5034" s="6"/>
      <c r="H5034" s="6">
        <v>40203.479618055557</v>
      </c>
    </row>
    <row r="5035" spans="4:8" x14ac:dyDescent="0.2">
      <c r="D5035" s="6"/>
      <c r="H5035" s="6">
        <v>40203.479618055557</v>
      </c>
    </row>
    <row r="5036" spans="4:8" x14ac:dyDescent="0.2">
      <c r="D5036" s="6"/>
      <c r="H5036" s="6">
        <v>40203.479629629626</v>
      </c>
    </row>
    <row r="5037" spans="4:8" x14ac:dyDescent="0.2">
      <c r="D5037" s="6"/>
      <c r="H5037" s="6">
        <v>40203.479629629626</v>
      </c>
    </row>
    <row r="5038" spans="4:8" x14ac:dyDescent="0.2">
      <c r="D5038" s="6"/>
      <c r="H5038" s="6">
        <v>40203.479629629626</v>
      </c>
    </row>
    <row r="5039" spans="4:8" x14ac:dyDescent="0.2">
      <c r="D5039" s="6"/>
      <c r="H5039" s="6">
        <v>40203.479594907411</v>
      </c>
    </row>
    <row r="5040" spans="4:8" x14ac:dyDescent="0.2">
      <c r="D5040" s="6"/>
      <c r="H5040" s="6">
        <v>40220.856736111113</v>
      </c>
    </row>
    <row r="5041" spans="4:8" x14ac:dyDescent="0.2">
      <c r="D5041" s="6"/>
      <c r="H5041" s="6">
        <v>40156.721585648149</v>
      </c>
    </row>
    <row r="5042" spans="4:8" x14ac:dyDescent="0.2">
      <c r="D5042" s="6"/>
      <c r="H5042" s="6">
        <v>41759.583969907406</v>
      </c>
    </row>
    <row r="5043" spans="4:8" x14ac:dyDescent="0.2">
      <c r="D5043" s="6"/>
      <c r="H5043" s="6">
        <v>39972.599270833336</v>
      </c>
    </row>
    <row r="5044" spans="4:8" x14ac:dyDescent="0.2">
      <c r="D5044" s="6"/>
      <c r="H5044" s="6">
        <v>41019.449675925927</v>
      </c>
    </row>
    <row r="5045" spans="4:8" x14ac:dyDescent="0.2">
      <c r="D5045" s="6"/>
      <c r="H5045" s="6">
        <v>39899.547615740739</v>
      </c>
    </row>
    <row r="5046" spans="4:8" x14ac:dyDescent="0.2">
      <c r="D5046" s="6"/>
      <c r="H5046" s="6">
        <v>39951.646979166668</v>
      </c>
    </row>
    <row r="5047" spans="4:8" x14ac:dyDescent="0.2">
      <c r="D5047" s="6"/>
      <c r="H5047" s="6">
        <v>41043.641712962963</v>
      </c>
    </row>
    <row r="5048" spans="4:8" x14ac:dyDescent="0.2">
      <c r="D5048" s="6"/>
      <c r="H5048" s="6">
        <v>41057.611319444448</v>
      </c>
    </row>
    <row r="5049" spans="4:8" x14ac:dyDescent="0.2">
      <c r="D5049" s="6"/>
      <c r="H5049" s="6">
        <v>41074.630914351852</v>
      </c>
    </row>
    <row r="5050" spans="4:8" x14ac:dyDescent="0.2">
      <c r="D5050" s="6"/>
      <c r="H5050" s="6">
        <v>40136.368287037039</v>
      </c>
    </row>
    <row r="5051" spans="4:8" x14ac:dyDescent="0.2">
      <c r="D5051" s="6"/>
      <c r="H5051" s="6">
        <v>39972.47314814815</v>
      </c>
    </row>
    <row r="5052" spans="4:8" x14ac:dyDescent="0.2">
      <c r="D5052" s="6"/>
      <c r="H5052" s="6">
        <v>39951.601736111108</v>
      </c>
    </row>
    <row r="5053" spans="4:8" x14ac:dyDescent="0.2">
      <c r="D5053" s="6"/>
      <c r="H5053" s="6">
        <v>39951.602442129632</v>
      </c>
    </row>
    <row r="5054" spans="4:8" x14ac:dyDescent="0.2">
      <c r="D5054" s="6"/>
      <c r="H5054" s="6">
        <v>39951.60119212963</v>
      </c>
    </row>
    <row r="5055" spans="4:8" x14ac:dyDescent="0.2">
      <c r="D5055" s="6"/>
      <c r="H5055" s="6">
        <v>39951.603645833333</v>
      </c>
    </row>
    <row r="5056" spans="4:8" x14ac:dyDescent="0.2">
      <c r="D5056" s="6"/>
      <c r="H5056" s="6">
        <v>39951.602881944447</v>
      </c>
    </row>
    <row r="5057" spans="4:8" x14ac:dyDescent="0.2">
      <c r="D5057" s="6"/>
      <c r="H5057" s="6">
        <v>39951.600312499999</v>
      </c>
    </row>
    <row r="5058" spans="4:8" x14ac:dyDescent="0.2">
      <c r="D5058" s="6"/>
      <c r="H5058" s="6">
        <v>39951.59412037037</v>
      </c>
    </row>
    <row r="5059" spans="4:8" x14ac:dyDescent="0.2">
      <c r="D5059" s="6"/>
      <c r="H5059" s="6">
        <v>39951.585752314815</v>
      </c>
    </row>
    <row r="5060" spans="4:8" x14ac:dyDescent="0.2">
      <c r="D5060" s="6"/>
      <c r="H5060" s="6">
        <v>39951.584814814814</v>
      </c>
    </row>
    <row r="5061" spans="4:8" x14ac:dyDescent="0.2">
      <c r="D5061" s="6"/>
      <c r="H5061" s="6">
        <v>39951.580787037034</v>
      </c>
    </row>
    <row r="5062" spans="4:8" x14ac:dyDescent="0.2">
      <c r="D5062" s="6"/>
      <c r="H5062" s="6">
        <v>39951.592592592591</v>
      </c>
    </row>
    <row r="5063" spans="4:8" x14ac:dyDescent="0.2">
      <c r="D5063" s="6"/>
      <c r="H5063" s="6">
        <v>38958.67287037037</v>
      </c>
    </row>
    <row r="5064" spans="4:8" x14ac:dyDescent="0.2">
      <c r="D5064" s="6"/>
      <c r="H5064" s="6">
        <v>38958.687361111108</v>
      </c>
    </row>
    <row r="5065" spans="4:8" x14ac:dyDescent="0.2">
      <c r="D5065" s="6"/>
      <c r="H5065" s="6">
        <v>39321.538981481484</v>
      </c>
    </row>
    <row r="5066" spans="4:8" x14ac:dyDescent="0.2">
      <c r="D5066" s="6"/>
      <c r="H5066" s="6">
        <v>39115.438240740739</v>
      </c>
    </row>
    <row r="5067" spans="4:8" x14ac:dyDescent="0.2">
      <c r="D5067" s="6"/>
      <c r="H5067" s="6">
        <v>38958.673032407409</v>
      </c>
    </row>
    <row r="5068" spans="4:8" x14ac:dyDescent="0.2">
      <c r="D5068" s="6"/>
      <c r="H5068" s="6">
        <v>38252.664074074077</v>
      </c>
    </row>
    <row r="5069" spans="4:8" x14ac:dyDescent="0.2">
      <c r="D5069" s="6"/>
      <c r="H5069" s="6">
        <v>38975.691736111112</v>
      </c>
    </row>
    <row r="5070" spans="4:8" x14ac:dyDescent="0.2">
      <c r="D5070" s="6"/>
      <c r="H5070" s="6">
        <v>39951.604745370372</v>
      </c>
    </row>
    <row r="5071" spans="4:8" x14ac:dyDescent="0.2">
      <c r="D5071" s="6"/>
      <c r="H5071" s="6">
        <v>39951.604733796295</v>
      </c>
    </row>
    <row r="5072" spans="4:8" x14ac:dyDescent="0.2">
      <c r="D5072" s="6"/>
      <c r="H5072" s="6">
        <v>39951.604305555556</v>
      </c>
    </row>
    <row r="5073" spans="4:8" x14ac:dyDescent="0.2">
      <c r="D5073" s="6"/>
      <c r="H5073" s="6">
        <v>39951.605092592596</v>
      </c>
    </row>
    <row r="5074" spans="4:8" x14ac:dyDescent="0.2">
      <c r="D5074" s="6"/>
      <c r="H5074" s="6">
        <v>39951.606168981481</v>
      </c>
    </row>
    <row r="5075" spans="4:8" x14ac:dyDescent="0.2">
      <c r="D5075" s="6"/>
      <c r="H5075" s="6">
        <v>39951.605775462966</v>
      </c>
    </row>
    <row r="5076" spans="4:8" x14ac:dyDescent="0.2">
      <c r="D5076" s="6"/>
      <c r="H5076" s="6">
        <v>39951.607523148145</v>
      </c>
    </row>
    <row r="5077" spans="4:8" x14ac:dyDescent="0.2">
      <c r="D5077" s="6"/>
      <c r="H5077" s="6">
        <v>40231.754074074073</v>
      </c>
    </row>
    <row r="5078" spans="4:8" x14ac:dyDescent="0.2">
      <c r="D5078" s="6"/>
      <c r="H5078" s="6">
        <v>40231.753159722219</v>
      </c>
    </row>
    <row r="5079" spans="4:8" x14ac:dyDescent="0.2">
      <c r="D5079" s="6"/>
      <c r="H5079" s="6">
        <v>41607.63962962963</v>
      </c>
    </row>
    <row r="5080" spans="4:8" x14ac:dyDescent="0.2">
      <c r="D5080" s="6"/>
      <c r="H5080" s="6">
        <v>41543.376157407409</v>
      </c>
    </row>
    <row r="5081" spans="4:8" x14ac:dyDescent="0.2">
      <c r="D5081" s="6"/>
      <c r="H5081" s="6">
        <v>41347.413449074076</v>
      </c>
    </row>
    <row r="5082" spans="4:8" x14ac:dyDescent="0.2">
      <c r="D5082" s="6"/>
      <c r="H5082" s="6">
        <v>40158.675891203704</v>
      </c>
    </row>
    <row r="5083" spans="4:8" x14ac:dyDescent="0.2">
      <c r="D5083" s="6"/>
      <c r="H5083" s="6">
        <v>40190.462546296294</v>
      </c>
    </row>
    <row r="5084" spans="4:8" x14ac:dyDescent="0.2">
      <c r="D5084" s="6"/>
      <c r="H5084" s="6">
        <v>41754.399710648147</v>
      </c>
    </row>
    <row r="5085" spans="4:8" x14ac:dyDescent="0.2">
      <c r="D5085" s="6"/>
      <c r="H5085" s="6">
        <v>40206.622731481482</v>
      </c>
    </row>
    <row r="5086" spans="4:8" x14ac:dyDescent="0.2">
      <c r="D5086" s="6"/>
      <c r="H5086" s="6">
        <v>41303.479803240742</v>
      </c>
    </row>
    <row r="5087" spans="4:8" x14ac:dyDescent="0.2">
      <c r="D5087" s="6"/>
      <c r="H5087" s="6">
        <v>40190.702569444446</v>
      </c>
    </row>
    <row r="5088" spans="4:8" x14ac:dyDescent="0.2">
      <c r="D5088" s="6"/>
      <c r="H5088" s="6">
        <v>40190.476678240739</v>
      </c>
    </row>
    <row r="5089" spans="4:8" x14ac:dyDescent="0.2">
      <c r="D5089" s="6"/>
      <c r="H5089" s="6">
        <v>40190.467453703706</v>
      </c>
    </row>
    <row r="5090" spans="4:8" x14ac:dyDescent="0.2">
      <c r="D5090" s="6"/>
      <c r="H5090" s="6">
        <v>41596.395543981482</v>
      </c>
    </row>
    <row r="5091" spans="4:8" x14ac:dyDescent="0.2">
      <c r="D5091" s="6"/>
      <c r="H5091" s="6">
        <v>40219.448842592596</v>
      </c>
    </row>
    <row r="5092" spans="4:8" x14ac:dyDescent="0.2">
      <c r="D5092" s="6"/>
      <c r="H5092" s="6">
        <v>41744.421689814815</v>
      </c>
    </row>
    <row r="5093" spans="4:8" x14ac:dyDescent="0.2">
      <c r="D5093" s="6"/>
      <c r="H5093" s="6">
        <v>41596.395543981482</v>
      </c>
    </row>
    <row r="5094" spans="4:8" x14ac:dyDescent="0.2">
      <c r="D5094" s="6"/>
      <c r="H5094" s="6">
        <v>42229.419849537036</v>
      </c>
    </row>
    <row r="5095" spans="4:8" x14ac:dyDescent="0.2">
      <c r="D5095" s="6"/>
      <c r="H5095" s="6">
        <v>40072.581053240741</v>
      </c>
    </row>
    <row r="5096" spans="4:8" x14ac:dyDescent="0.2">
      <c r="D5096" s="6"/>
      <c r="H5096" s="6">
        <v>39961.560752314814</v>
      </c>
    </row>
    <row r="5097" spans="4:8" x14ac:dyDescent="0.2">
      <c r="D5097" s="6"/>
      <c r="H5097" s="6">
        <v>41788.39744212963</v>
      </c>
    </row>
    <row r="5098" spans="4:8" x14ac:dyDescent="0.2">
      <c r="D5098" s="6"/>
      <c r="H5098" s="6">
        <v>40067.367719907408</v>
      </c>
    </row>
    <row r="5099" spans="4:8" x14ac:dyDescent="0.2">
      <c r="D5099" s="6"/>
      <c r="H5099" s="6">
        <v>40158.651284722226</v>
      </c>
    </row>
    <row r="5100" spans="4:8" x14ac:dyDescent="0.2">
      <c r="D5100" s="6"/>
      <c r="H5100" s="6">
        <v>40126.657164351855</v>
      </c>
    </row>
    <row r="5101" spans="4:8" x14ac:dyDescent="0.2">
      <c r="D5101" s="6"/>
      <c r="H5101" s="6">
        <v>40220.498854166668</v>
      </c>
    </row>
    <row r="5102" spans="4:8" x14ac:dyDescent="0.2">
      <c r="D5102" s="6"/>
      <c r="H5102" s="6">
        <v>39946.584305555552</v>
      </c>
    </row>
    <row r="5103" spans="4:8" x14ac:dyDescent="0.2">
      <c r="D5103" s="6"/>
      <c r="H5103" s="6">
        <v>40141.576377314814</v>
      </c>
    </row>
    <row r="5104" spans="4:8" x14ac:dyDescent="0.2">
      <c r="D5104" s="6"/>
      <c r="H5104" s="6">
        <v>40141.564606481479</v>
      </c>
    </row>
    <row r="5105" spans="4:8" x14ac:dyDescent="0.2">
      <c r="D5105" s="6"/>
      <c r="H5105" s="6">
        <v>39934.448819444442</v>
      </c>
    </row>
    <row r="5106" spans="4:8" x14ac:dyDescent="0.2">
      <c r="D5106" s="6"/>
      <c r="H5106" s="6">
        <v>40196.424039351848</v>
      </c>
    </row>
    <row r="5107" spans="4:8" x14ac:dyDescent="0.2">
      <c r="D5107" s="6"/>
      <c r="H5107" s="6">
        <v>40193.756388888891</v>
      </c>
    </row>
    <row r="5108" spans="4:8" x14ac:dyDescent="0.2">
      <c r="D5108" s="6"/>
      <c r="H5108" s="6">
        <v>40196.443287037036</v>
      </c>
    </row>
    <row r="5109" spans="4:8" x14ac:dyDescent="0.2">
      <c r="D5109" s="6"/>
      <c r="H5109" s="6">
        <v>42334.432106481479</v>
      </c>
    </row>
    <row r="5110" spans="4:8" x14ac:dyDescent="0.2">
      <c r="D5110" s="6"/>
      <c r="H5110" s="6">
        <v>42334.421817129631</v>
      </c>
    </row>
    <row r="5111" spans="4:8" x14ac:dyDescent="0.2">
      <c r="D5111" s="6"/>
      <c r="H5111" s="6">
        <v>41759.55537037037</v>
      </c>
    </row>
    <row r="5112" spans="4:8" x14ac:dyDescent="0.2">
      <c r="D5112" s="6"/>
      <c r="H5112" s="6">
        <v>41759.551516203705</v>
      </c>
    </row>
    <row r="5113" spans="4:8" x14ac:dyDescent="0.2">
      <c r="D5113" s="6"/>
      <c r="H5113" s="6">
        <v>41598.773888888885</v>
      </c>
    </row>
    <row r="5114" spans="4:8" x14ac:dyDescent="0.2">
      <c r="D5114" s="6"/>
      <c r="H5114" s="6">
        <v>40184.869652777779</v>
      </c>
    </row>
    <row r="5115" spans="4:8" x14ac:dyDescent="0.2">
      <c r="D5115" s="6"/>
      <c r="H5115" s="6">
        <v>40208.666226851848</v>
      </c>
    </row>
    <row r="5116" spans="4:8" x14ac:dyDescent="0.2">
      <c r="D5116" s="6"/>
      <c r="H5116" s="6">
        <v>40234.450335648151</v>
      </c>
    </row>
    <row r="5117" spans="4:8" x14ac:dyDescent="0.2">
      <c r="D5117" s="6"/>
      <c r="H5117" s="6">
        <v>41277.765115740738</v>
      </c>
    </row>
    <row r="5118" spans="4:8" x14ac:dyDescent="0.2">
      <c r="D5118" s="6"/>
      <c r="H5118" s="6">
        <v>41289.474479166667</v>
      </c>
    </row>
    <row r="5119" spans="4:8" x14ac:dyDescent="0.2">
      <c r="D5119" s="6"/>
      <c r="H5119" s="6">
        <v>41562.430821759262</v>
      </c>
    </row>
    <row r="5120" spans="4:8" x14ac:dyDescent="0.2">
      <c r="D5120" s="6"/>
      <c r="H5120" s="6">
        <v>40183.669085648151</v>
      </c>
    </row>
    <row r="5121" spans="4:8" x14ac:dyDescent="0.2">
      <c r="D5121" s="6"/>
      <c r="H5121" s="6">
        <v>41494.652673611112</v>
      </c>
    </row>
    <row r="5122" spans="4:8" x14ac:dyDescent="0.2">
      <c r="D5122" s="6"/>
      <c r="H5122" s="6">
        <v>41499.716770833336</v>
      </c>
    </row>
    <row r="5123" spans="4:8" x14ac:dyDescent="0.2">
      <c r="D5123" s="6"/>
      <c r="H5123" s="6">
        <v>41499.620208333334</v>
      </c>
    </row>
    <row r="5124" spans="4:8" x14ac:dyDescent="0.2">
      <c r="D5124" s="6"/>
      <c r="H5124" s="6">
        <v>41499.6091087963</v>
      </c>
    </row>
    <row r="5125" spans="4:8" x14ac:dyDescent="0.2">
      <c r="D5125" s="6"/>
      <c r="H5125" s="6">
        <v>41495.730254629627</v>
      </c>
    </row>
    <row r="5126" spans="4:8" x14ac:dyDescent="0.2">
      <c r="D5126" s="6"/>
      <c r="H5126" s="6">
        <v>41499.609097222223</v>
      </c>
    </row>
    <row r="5127" spans="4:8" x14ac:dyDescent="0.2">
      <c r="D5127" s="6"/>
      <c r="H5127" s="6">
        <v>41486.623344907406</v>
      </c>
    </row>
    <row r="5128" spans="4:8" x14ac:dyDescent="0.2">
      <c r="D5128" s="6"/>
      <c r="H5128" s="6">
        <v>40072.479675925926</v>
      </c>
    </row>
    <row r="5129" spans="4:8" x14ac:dyDescent="0.2">
      <c r="D5129" s="6"/>
      <c r="H5129" s="6">
        <v>40072.450416666667</v>
      </c>
    </row>
    <row r="5130" spans="4:8" x14ac:dyDescent="0.2">
      <c r="D5130" s="6"/>
      <c r="H5130" s="6">
        <v>40072.450428240743</v>
      </c>
    </row>
    <row r="5131" spans="4:8" x14ac:dyDescent="0.2">
      <c r="D5131" s="6"/>
      <c r="H5131" s="6">
        <v>40072.450428240743</v>
      </c>
    </row>
    <row r="5132" spans="4:8" x14ac:dyDescent="0.2">
      <c r="D5132" s="6"/>
      <c r="H5132" s="6">
        <v>40072.450439814813</v>
      </c>
    </row>
    <row r="5133" spans="4:8" x14ac:dyDescent="0.2">
      <c r="D5133" s="6"/>
      <c r="H5133" s="6">
        <v>40072.450439814813</v>
      </c>
    </row>
    <row r="5134" spans="4:8" x14ac:dyDescent="0.2">
      <c r="D5134" s="6"/>
      <c r="H5134" s="6">
        <v>40072.450428240743</v>
      </c>
    </row>
    <row r="5135" spans="4:8" x14ac:dyDescent="0.2">
      <c r="D5135" s="6"/>
      <c r="H5135" s="6">
        <v>40072.450439814813</v>
      </c>
    </row>
    <row r="5136" spans="4:8" x14ac:dyDescent="0.2">
      <c r="D5136" s="6"/>
      <c r="H5136" s="6">
        <v>41332.681041666663</v>
      </c>
    </row>
    <row r="5137" spans="4:8" x14ac:dyDescent="0.2">
      <c r="D5137" s="6"/>
      <c r="H5137" s="6">
        <v>41332.672708333332</v>
      </c>
    </row>
    <row r="5138" spans="4:8" x14ac:dyDescent="0.2">
      <c r="D5138" s="6"/>
      <c r="H5138" s="6">
        <v>40995.485451388886</v>
      </c>
    </row>
    <row r="5139" spans="4:8" x14ac:dyDescent="0.2">
      <c r="D5139" s="6"/>
      <c r="H5139" s="6">
        <v>40203.508819444447</v>
      </c>
    </row>
    <row r="5140" spans="4:8" x14ac:dyDescent="0.2">
      <c r="D5140" s="6"/>
      <c r="H5140" s="6">
        <v>39105.691006944442</v>
      </c>
    </row>
    <row r="5141" spans="4:8" x14ac:dyDescent="0.2">
      <c r="D5141" s="6"/>
      <c r="H5141" s="6">
        <v>42468.639768518522</v>
      </c>
    </row>
    <row r="5142" spans="4:8" x14ac:dyDescent="0.2">
      <c r="D5142" s="6"/>
      <c r="H5142" s="6">
        <v>42468.685115740744</v>
      </c>
    </row>
    <row r="5143" spans="4:8" x14ac:dyDescent="0.2">
      <c r="D5143" s="6"/>
      <c r="H5143" s="6">
        <v>41390.604594907411</v>
      </c>
    </row>
    <row r="5144" spans="4:8" x14ac:dyDescent="0.2">
      <c r="D5144" s="6"/>
      <c r="H5144" s="6">
        <v>41390.60392361111</v>
      </c>
    </row>
    <row r="5145" spans="4:8" x14ac:dyDescent="0.2">
      <c r="D5145" s="6"/>
      <c r="H5145" s="6">
        <v>41390.603321759256</v>
      </c>
    </row>
    <row r="5146" spans="4:8" x14ac:dyDescent="0.2">
      <c r="D5146" s="6"/>
      <c r="H5146" s="6">
        <v>41390.605763888889</v>
      </c>
    </row>
    <row r="5147" spans="4:8" x14ac:dyDescent="0.2">
      <c r="D5147" s="6"/>
      <c r="H5147" s="6">
        <v>41390.604988425926</v>
      </c>
    </row>
    <row r="5148" spans="4:8" x14ac:dyDescent="0.2">
      <c r="D5148" s="6"/>
      <c r="H5148" s="6">
        <v>41988.515567129631</v>
      </c>
    </row>
    <row r="5149" spans="4:8" x14ac:dyDescent="0.2">
      <c r="D5149" s="6"/>
      <c r="H5149" s="6">
        <v>41990.543275462966</v>
      </c>
    </row>
    <row r="5150" spans="4:8" x14ac:dyDescent="0.2">
      <c r="D5150" s="6"/>
      <c r="H5150" s="6">
        <v>41744.414814814816</v>
      </c>
    </row>
    <row r="5151" spans="4:8" x14ac:dyDescent="0.2">
      <c r="D5151" s="6"/>
      <c r="H5151" s="6">
        <v>42198.484386574077</v>
      </c>
    </row>
    <row r="5152" spans="4:8" x14ac:dyDescent="0.2">
      <c r="D5152" s="6"/>
      <c r="H5152" s="6">
        <v>40240.766944444447</v>
      </c>
    </row>
    <row r="5153" spans="4:8" x14ac:dyDescent="0.2">
      <c r="D5153" s="6"/>
      <c r="H5153" s="6">
        <v>40052.469108796293</v>
      </c>
    </row>
    <row r="5154" spans="4:8" x14ac:dyDescent="0.2">
      <c r="D5154" s="6"/>
      <c r="H5154" s="6">
        <v>42143.645949074074</v>
      </c>
    </row>
    <row r="5155" spans="4:8" x14ac:dyDescent="0.2">
      <c r="D5155" s="6"/>
      <c r="H5155" s="6">
        <v>41177.641018518516</v>
      </c>
    </row>
    <row r="5156" spans="4:8" x14ac:dyDescent="0.2">
      <c r="D5156" s="6"/>
      <c r="H5156" s="6">
        <v>42275.63177083333</v>
      </c>
    </row>
    <row r="5157" spans="4:8" x14ac:dyDescent="0.2">
      <c r="D5157" s="6"/>
      <c r="H5157" s="6">
        <v>40802.693310185183</v>
      </c>
    </row>
    <row r="5158" spans="4:8" x14ac:dyDescent="0.2">
      <c r="D5158" s="6"/>
      <c r="H5158" s="6">
        <v>41716.564953703702</v>
      </c>
    </row>
    <row r="5159" spans="4:8" x14ac:dyDescent="0.2">
      <c r="D5159" s="6"/>
      <c r="H5159" s="6">
        <v>42352.494803240741</v>
      </c>
    </row>
    <row r="5160" spans="4:8" x14ac:dyDescent="0.2">
      <c r="D5160" s="6"/>
      <c r="H5160" s="6">
        <v>42341.769131944442</v>
      </c>
    </row>
    <row r="5161" spans="4:8" x14ac:dyDescent="0.2">
      <c r="D5161" s="6"/>
      <c r="H5161" s="6">
        <v>41341.731550925928</v>
      </c>
    </row>
    <row r="5162" spans="4:8" x14ac:dyDescent="0.2">
      <c r="D5162" s="6"/>
      <c r="H5162" s="6">
        <v>41396.460497685184</v>
      </c>
    </row>
    <row r="5163" spans="4:8" x14ac:dyDescent="0.2">
      <c r="D5163" s="6"/>
      <c r="H5163" s="6">
        <v>41396.460347222222</v>
      </c>
    </row>
    <row r="5164" spans="4:8" x14ac:dyDescent="0.2">
      <c r="D5164" s="6"/>
      <c r="H5164" s="6">
        <v>41628.429907407408</v>
      </c>
    </row>
    <row r="5165" spans="4:8" x14ac:dyDescent="0.2">
      <c r="D5165" s="6"/>
      <c r="H5165" s="6">
        <v>41626.526006944441</v>
      </c>
    </row>
    <row r="5166" spans="4:8" x14ac:dyDescent="0.2">
      <c r="D5166" s="6"/>
      <c r="H5166" s="6">
        <v>41766.64571759259</v>
      </c>
    </row>
    <row r="5167" spans="4:8" x14ac:dyDescent="0.2">
      <c r="D5167" s="6"/>
      <c r="H5167" s="6">
        <v>42326.814710648148</v>
      </c>
    </row>
    <row r="5168" spans="4:8" x14ac:dyDescent="0.2">
      <c r="D5168" s="6"/>
      <c r="H5168" s="6">
        <v>42326.814756944441</v>
      </c>
    </row>
    <row r="5169" spans="4:8" x14ac:dyDescent="0.2">
      <c r="D5169" s="6"/>
      <c r="H5169" s="6">
        <v>42326.814814814818</v>
      </c>
    </row>
    <row r="5170" spans="4:8" x14ac:dyDescent="0.2">
      <c r="D5170" s="6"/>
      <c r="H5170" s="6">
        <v>42326.818668981483</v>
      </c>
    </row>
    <row r="5171" spans="4:8" x14ac:dyDescent="0.2">
      <c r="D5171" s="6"/>
      <c r="H5171" s="6">
        <v>42326.814942129633</v>
      </c>
    </row>
    <row r="5172" spans="4:8" x14ac:dyDescent="0.2">
      <c r="D5172" s="6"/>
      <c r="H5172" s="6">
        <v>42318.808692129627</v>
      </c>
    </row>
    <row r="5173" spans="4:8" x14ac:dyDescent="0.2">
      <c r="D5173" s="6"/>
      <c r="H5173" s="6">
        <v>42198.692881944444</v>
      </c>
    </row>
    <row r="5174" spans="4:8" x14ac:dyDescent="0.2">
      <c r="D5174" s="6"/>
      <c r="H5174" s="6">
        <v>42318.808854166666</v>
      </c>
    </row>
    <row r="5175" spans="4:8" x14ac:dyDescent="0.2">
      <c r="D5175" s="6"/>
      <c r="H5175" s="6">
        <v>41444.511747685188</v>
      </c>
    </row>
    <row r="5176" spans="4:8" x14ac:dyDescent="0.2">
      <c r="D5176" s="6"/>
      <c r="H5176" s="6">
        <v>40116.724456018521</v>
      </c>
    </row>
    <row r="5177" spans="4:8" x14ac:dyDescent="0.2">
      <c r="D5177" s="6"/>
      <c r="H5177" s="6">
        <v>42419.578148148146</v>
      </c>
    </row>
    <row r="5178" spans="4:8" x14ac:dyDescent="0.2">
      <c r="D5178" s="6"/>
      <c r="H5178" s="6">
        <v>40052.452523148146</v>
      </c>
    </row>
    <row r="5179" spans="4:8" x14ac:dyDescent="0.2">
      <c r="D5179" s="6"/>
      <c r="H5179" s="6">
        <v>40080.510312500002</v>
      </c>
    </row>
    <row r="5180" spans="4:8" x14ac:dyDescent="0.2">
      <c r="D5180" s="6"/>
      <c r="H5180" s="6">
        <v>40080.495798611111</v>
      </c>
    </row>
    <row r="5181" spans="4:8" x14ac:dyDescent="0.2">
      <c r="D5181" s="6"/>
      <c r="H5181" s="6">
        <v>40080.510069444441</v>
      </c>
    </row>
    <row r="5182" spans="4:8" x14ac:dyDescent="0.2">
      <c r="D5182" s="6"/>
      <c r="H5182" s="6">
        <v>40080.506643518522</v>
      </c>
    </row>
    <row r="5183" spans="4:8" x14ac:dyDescent="0.2">
      <c r="D5183" s="6"/>
      <c r="H5183" s="6">
        <v>40164.552083333336</v>
      </c>
    </row>
    <row r="5184" spans="4:8" x14ac:dyDescent="0.2">
      <c r="D5184" s="6"/>
      <c r="H5184" s="6">
        <v>40164.512881944444</v>
      </c>
    </row>
    <row r="5185" spans="4:8" x14ac:dyDescent="0.2">
      <c r="D5185" s="6"/>
      <c r="H5185" s="6">
        <v>40196.678136574075</v>
      </c>
    </row>
    <row r="5186" spans="4:8" x14ac:dyDescent="0.2">
      <c r="D5186" s="6"/>
      <c r="H5186" s="6">
        <v>42415.626400462963</v>
      </c>
    </row>
    <row r="5187" spans="4:8" x14ac:dyDescent="0.2">
      <c r="D5187" s="6"/>
      <c r="H5187" s="6">
        <v>40262.701238425929</v>
      </c>
    </row>
    <row r="5188" spans="4:8" x14ac:dyDescent="0.2">
      <c r="D5188" s="6"/>
      <c r="H5188" s="6">
        <v>41359.741840277777</v>
      </c>
    </row>
    <row r="5189" spans="4:8" x14ac:dyDescent="0.2">
      <c r="D5189" s="6"/>
      <c r="H5189" s="6">
        <v>40165.521851851852</v>
      </c>
    </row>
    <row r="5190" spans="4:8" x14ac:dyDescent="0.2">
      <c r="D5190" s="6"/>
      <c r="H5190" s="6">
        <v>41949.765335648146</v>
      </c>
    </row>
    <row r="5191" spans="4:8" x14ac:dyDescent="0.2">
      <c r="D5191" s="6"/>
      <c r="H5191" s="6">
        <v>41590.524502314816</v>
      </c>
    </row>
    <row r="5192" spans="4:8" x14ac:dyDescent="0.2">
      <c r="D5192" s="6"/>
      <c r="H5192" s="6">
        <v>39938.53398148148</v>
      </c>
    </row>
    <row r="5193" spans="4:8" x14ac:dyDescent="0.2">
      <c r="D5193" s="6"/>
      <c r="H5193" s="6">
        <v>40052.432013888887</v>
      </c>
    </row>
    <row r="5194" spans="4:8" x14ac:dyDescent="0.2">
      <c r="D5194" s="6"/>
      <c r="H5194" s="6">
        <v>40052.62945601852</v>
      </c>
    </row>
    <row r="5195" spans="4:8" x14ac:dyDescent="0.2">
      <c r="D5195" s="6"/>
      <c r="H5195" s="6">
        <v>41159.704513888886</v>
      </c>
    </row>
    <row r="5196" spans="4:8" x14ac:dyDescent="0.2">
      <c r="D5196" s="6"/>
      <c r="H5196" s="6">
        <v>41389.67696759259</v>
      </c>
    </row>
    <row r="5197" spans="4:8" x14ac:dyDescent="0.2">
      <c r="D5197" s="6"/>
      <c r="H5197" s="6">
        <v>41389.67491898148</v>
      </c>
    </row>
    <row r="5198" spans="4:8" x14ac:dyDescent="0.2">
      <c r="D5198" s="6"/>
      <c r="H5198" s="6">
        <v>39667.646770833337</v>
      </c>
    </row>
    <row r="5199" spans="4:8" x14ac:dyDescent="0.2">
      <c r="D5199" s="6"/>
      <c r="H5199" s="6">
        <v>39310.308981481481</v>
      </c>
    </row>
    <row r="5200" spans="4:8" x14ac:dyDescent="0.2">
      <c r="D5200" s="6"/>
      <c r="H5200" s="6">
        <v>40039.607974537037</v>
      </c>
    </row>
    <row r="5201" spans="4:8" x14ac:dyDescent="0.2">
      <c r="D5201" s="6"/>
      <c r="H5201" s="6">
        <v>42433.546851851854</v>
      </c>
    </row>
    <row r="5202" spans="4:8" x14ac:dyDescent="0.2">
      <c r="D5202" s="6"/>
      <c r="H5202" s="6">
        <v>40812.46193287037</v>
      </c>
    </row>
    <row r="5203" spans="4:8" x14ac:dyDescent="0.2">
      <c r="D5203" s="6"/>
      <c r="H5203" s="6">
        <v>40802.698414351849</v>
      </c>
    </row>
    <row r="5204" spans="4:8" x14ac:dyDescent="0.2">
      <c r="D5204" s="6"/>
      <c r="H5204" s="6">
        <v>41716.565081018518</v>
      </c>
    </row>
    <row r="5205" spans="4:8" x14ac:dyDescent="0.2">
      <c r="D5205" s="6"/>
      <c r="H5205" s="6">
        <v>40190.509930555556</v>
      </c>
    </row>
    <row r="5206" spans="4:8" x14ac:dyDescent="0.2">
      <c r="D5206" s="6"/>
      <c r="H5206" s="6">
        <v>40100.594259259262</v>
      </c>
    </row>
    <row r="5207" spans="4:8" x14ac:dyDescent="0.2">
      <c r="D5207" s="6"/>
      <c r="H5207" s="6">
        <v>40161.691724537035</v>
      </c>
    </row>
    <row r="5208" spans="4:8" x14ac:dyDescent="0.2">
      <c r="D5208" s="6"/>
      <c r="H5208" s="6">
        <v>40161.778854166667</v>
      </c>
    </row>
    <row r="5209" spans="4:8" x14ac:dyDescent="0.2">
      <c r="D5209" s="6"/>
      <c r="H5209" s="6">
        <v>40162.420717592591</v>
      </c>
    </row>
    <row r="5210" spans="4:8" x14ac:dyDescent="0.2">
      <c r="D5210" s="6"/>
      <c r="H5210" s="6">
        <v>40161.785370370373</v>
      </c>
    </row>
    <row r="5211" spans="4:8" x14ac:dyDescent="0.2">
      <c r="D5211" s="6"/>
      <c r="H5211" s="6">
        <v>40162.615717592591</v>
      </c>
    </row>
    <row r="5212" spans="4:8" x14ac:dyDescent="0.2">
      <c r="D5212" s="6"/>
      <c r="H5212" s="6">
        <v>40162.615717592591</v>
      </c>
    </row>
    <row r="5213" spans="4:8" x14ac:dyDescent="0.2">
      <c r="D5213" s="6"/>
      <c r="H5213" s="6">
        <v>40162.615717592591</v>
      </c>
    </row>
    <row r="5214" spans="4:8" x14ac:dyDescent="0.2">
      <c r="D5214" s="6"/>
      <c r="H5214" s="6">
        <v>40162.615717592591</v>
      </c>
    </row>
    <row r="5215" spans="4:8" x14ac:dyDescent="0.2">
      <c r="D5215" s="6"/>
      <c r="H5215" s="6">
        <v>40162.615717592591</v>
      </c>
    </row>
    <row r="5216" spans="4:8" x14ac:dyDescent="0.2">
      <c r="D5216" s="6"/>
      <c r="H5216" s="6">
        <v>40162.615717592591</v>
      </c>
    </row>
    <row r="5217" spans="4:8" x14ac:dyDescent="0.2">
      <c r="D5217" s="6"/>
      <c r="H5217" s="6">
        <v>40161.785370370373</v>
      </c>
    </row>
    <row r="5218" spans="4:8" x14ac:dyDescent="0.2">
      <c r="D5218" s="6"/>
      <c r="H5218" s="6">
        <v>40161.768611111111</v>
      </c>
    </row>
    <row r="5219" spans="4:8" x14ac:dyDescent="0.2">
      <c r="D5219" s="6"/>
      <c r="H5219" s="6">
        <v>40186.542291666665</v>
      </c>
    </row>
    <row r="5220" spans="4:8" x14ac:dyDescent="0.2">
      <c r="D5220" s="6"/>
      <c r="H5220" s="6">
        <v>40190.731863425928</v>
      </c>
    </row>
    <row r="5221" spans="4:8" x14ac:dyDescent="0.2">
      <c r="D5221" s="6"/>
      <c r="H5221" s="6">
        <v>40207.548518518517</v>
      </c>
    </row>
    <row r="5222" spans="4:8" x14ac:dyDescent="0.2">
      <c r="D5222" s="6"/>
      <c r="H5222" s="6">
        <v>40308.409826388888</v>
      </c>
    </row>
    <row r="5223" spans="4:8" x14ac:dyDescent="0.2">
      <c r="D5223" s="6"/>
      <c r="H5223" s="6">
        <v>40161.785370370373</v>
      </c>
    </row>
    <row r="5224" spans="4:8" x14ac:dyDescent="0.2">
      <c r="D5224" s="6"/>
      <c r="H5224" s="6">
        <v>40162.615787037037</v>
      </c>
    </row>
    <row r="5225" spans="4:8" x14ac:dyDescent="0.2">
      <c r="D5225" s="6"/>
      <c r="H5225" s="6">
        <v>40162.615787037037</v>
      </c>
    </row>
    <row r="5226" spans="4:8" x14ac:dyDescent="0.2">
      <c r="D5226" s="6"/>
      <c r="H5226" s="6">
        <v>40162.615787037037</v>
      </c>
    </row>
    <row r="5227" spans="4:8" x14ac:dyDescent="0.2">
      <c r="D5227" s="6"/>
      <c r="H5227" s="6">
        <v>40162.615787037037</v>
      </c>
    </row>
    <row r="5228" spans="4:8" x14ac:dyDescent="0.2">
      <c r="D5228" s="6"/>
      <c r="H5228" s="6">
        <v>40162.615787037037</v>
      </c>
    </row>
    <row r="5229" spans="4:8" x14ac:dyDescent="0.2">
      <c r="D5229" s="6"/>
      <c r="H5229" s="6">
        <v>40162.615787037037</v>
      </c>
    </row>
    <row r="5230" spans="4:8" x14ac:dyDescent="0.2">
      <c r="D5230" s="6"/>
      <c r="H5230" s="6">
        <v>40100.589317129627</v>
      </c>
    </row>
    <row r="5231" spans="4:8" x14ac:dyDescent="0.2">
      <c r="D5231" s="6"/>
      <c r="H5231" s="6">
        <v>39912.670289351852</v>
      </c>
    </row>
    <row r="5232" spans="4:8" x14ac:dyDescent="0.2">
      <c r="D5232" s="6"/>
      <c r="H5232" s="6">
        <v>39912.709479166668</v>
      </c>
    </row>
    <row r="5233" spans="4:8" x14ac:dyDescent="0.2">
      <c r="D5233" s="6"/>
      <c r="H5233" s="6">
        <v>39912.670289351852</v>
      </c>
    </row>
    <row r="5234" spans="4:8" x14ac:dyDescent="0.2">
      <c r="D5234" s="6"/>
      <c r="H5234" s="6">
        <v>39912.670289351852</v>
      </c>
    </row>
    <row r="5235" spans="4:8" x14ac:dyDescent="0.2">
      <c r="D5235" s="6"/>
      <c r="H5235" s="6">
        <v>39792.547013888892</v>
      </c>
    </row>
    <row r="5236" spans="4:8" x14ac:dyDescent="0.2">
      <c r="D5236" s="6"/>
      <c r="H5236" s="6">
        <v>39941.51321759259</v>
      </c>
    </row>
    <row r="5237" spans="4:8" x14ac:dyDescent="0.2">
      <c r="D5237" s="6"/>
      <c r="H5237" s="6">
        <v>39787.647361111114</v>
      </c>
    </row>
    <row r="5238" spans="4:8" x14ac:dyDescent="0.2">
      <c r="D5238" s="6"/>
      <c r="H5238" s="6">
        <v>39787.656435185185</v>
      </c>
    </row>
    <row r="5239" spans="4:8" x14ac:dyDescent="0.2">
      <c r="D5239" s="6"/>
      <c r="H5239" s="6">
        <v>39792.547002314815</v>
      </c>
    </row>
    <row r="5240" spans="4:8" x14ac:dyDescent="0.2">
      <c r="D5240" s="6"/>
      <c r="H5240" s="6">
        <v>39787.625092592592</v>
      </c>
    </row>
    <row r="5241" spans="4:8" x14ac:dyDescent="0.2">
      <c r="D5241" s="6"/>
      <c r="H5241" s="6">
        <v>39787.637511574074</v>
      </c>
    </row>
    <row r="5242" spans="4:8" x14ac:dyDescent="0.2">
      <c r="D5242" s="6"/>
      <c r="H5242" s="6">
        <v>39784.52076388889</v>
      </c>
    </row>
    <row r="5243" spans="4:8" x14ac:dyDescent="0.2">
      <c r="D5243" s="6"/>
      <c r="H5243" s="6">
        <v>39787.63790509259</v>
      </c>
    </row>
    <row r="5244" spans="4:8" x14ac:dyDescent="0.2">
      <c r="D5244" s="6"/>
      <c r="H5244" s="6">
        <v>39791.613368055558</v>
      </c>
    </row>
    <row r="5245" spans="4:8" x14ac:dyDescent="0.2">
      <c r="D5245" s="6"/>
      <c r="H5245" s="6">
        <v>39903.771157407406</v>
      </c>
    </row>
    <row r="5246" spans="4:8" x14ac:dyDescent="0.2">
      <c r="D5246" s="6"/>
      <c r="H5246" s="6">
        <v>39890.679652777777</v>
      </c>
    </row>
    <row r="5247" spans="4:8" x14ac:dyDescent="0.2">
      <c r="D5247" s="6"/>
      <c r="H5247" s="6">
        <v>39891.460590277777</v>
      </c>
    </row>
    <row r="5248" spans="4:8" x14ac:dyDescent="0.2">
      <c r="D5248" s="6"/>
      <c r="H5248" s="6">
        <v>39512.555462962962</v>
      </c>
    </row>
    <row r="5249" spans="4:8" x14ac:dyDescent="0.2">
      <c r="D5249" s="6"/>
      <c r="H5249" s="6">
        <v>39892.64439814815</v>
      </c>
    </row>
    <row r="5250" spans="4:8" x14ac:dyDescent="0.2">
      <c r="D5250" s="6"/>
      <c r="H5250" s="6">
        <v>39511.561481481483</v>
      </c>
    </row>
    <row r="5251" spans="4:8" x14ac:dyDescent="0.2">
      <c r="D5251" s="6"/>
      <c r="H5251" s="6">
        <v>39511.561481481483</v>
      </c>
    </row>
    <row r="5252" spans="4:8" x14ac:dyDescent="0.2">
      <c r="D5252" s="6"/>
      <c r="H5252" s="6">
        <v>39511.561481481483</v>
      </c>
    </row>
    <row r="5253" spans="4:8" x14ac:dyDescent="0.2">
      <c r="D5253" s="6"/>
      <c r="H5253" s="6">
        <v>39890.732430555552</v>
      </c>
    </row>
    <row r="5254" spans="4:8" x14ac:dyDescent="0.2">
      <c r="D5254" s="6"/>
      <c r="H5254" s="6">
        <v>39778.642881944441</v>
      </c>
    </row>
    <row r="5255" spans="4:8" x14ac:dyDescent="0.2">
      <c r="D5255" s="6"/>
      <c r="H5255" s="6">
        <v>39511.561481481483</v>
      </c>
    </row>
    <row r="5256" spans="4:8" x14ac:dyDescent="0.2">
      <c r="D5256" s="6"/>
      <c r="H5256" s="6">
        <v>39511.561481481483</v>
      </c>
    </row>
    <row r="5257" spans="4:8" x14ac:dyDescent="0.2">
      <c r="D5257" s="6"/>
      <c r="H5257" s="6">
        <v>39511.561469907407</v>
      </c>
    </row>
    <row r="5258" spans="4:8" x14ac:dyDescent="0.2">
      <c r="D5258" s="6"/>
      <c r="H5258" s="6">
        <v>39511.561481481483</v>
      </c>
    </row>
    <row r="5259" spans="4:8" x14ac:dyDescent="0.2">
      <c r="D5259" s="6"/>
      <c r="H5259" s="6">
        <v>39804.652222222219</v>
      </c>
    </row>
    <row r="5260" spans="4:8" x14ac:dyDescent="0.2">
      <c r="D5260" s="6"/>
      <c r="H5260" s="6">
        <v>39804.652222222219</v>
      </c>
    </row>
    <row r="5261" spans="4:8" x14ac:dyDescent="0.2">
      <c r="D5261" s="6"/>
      <c r="H5261" s="6">
        <v>39804.652222222219</v>
      </c>
    </row>
    <row r="5262" spans="4:8" x14ac:dyDescent="0.2">
      <c r="D5262" s="6"/>
      <c r="H5262" s="6">
        <v>39787.655451388891</v>
      </c>
    </row>
    <row r="5263" spans="4:8" x14ac:dyDescent="0.2">
      <c r="D5263" s="6"/>
      <c r="H5263" s="6">
        <v>39787.655659722222</v>
      </c>
    </row>
    <row r="5264" spans="4:8" x14ac:dyDescent="0.2">
      <c r="D5264" s="6"/>
      <c r="H5264" s="6">
        <v>39918.472708333335</v>
      </c>
    </row>
    <row r="5265" spans="4:8" x14ac:dyDescent="0.2">
      <c r="D5265" s="6"/>
      <c r="H5265" s="6">
        <v>39787.628564814811</v>
      </c>
    </row>
    <row r="5266" spans="4:8" x14ac:dyDescent="0.2">
      <c r="D5266" s="6"/>
      <c r="H5266" s="6">
        <v>39787.63685185185</v>
      </c>
    </row>
    <row r="5267" spans="4:8" x14ac:dyDescent="0.2">
      <c r="D5267" s="6"/>
      <c r="H5267" s="6">
        <v>39871.571527777778</v>
      </c>
    </row>
    <row r="5268" spans="4:8" x14ac:dyDescent="0.2">
      <c r="D5268" s="6"/>
      <c r="H5268" s="6">
        <v>39871.571527777778</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I1321"/>
  <sheetViews>
    <sheetView showGridLines="0" workbookViewId="0">
      <selection activeCell="B1265" sqref="B1265"/>
    </sheetView>
  </sheetViews>
  <sheetFormatPr defaultRowHeight="12.75" x14ac:dyDescent="0.2"/>
  <cols>
    <col min="1" max="1" width="8.7109375" customWidth="1"/>
    <col min="2" max="2" width="28.28515625" customWidth="1"/>
    <col min="3" max="3" width="19.85546875" customWidth="1"/>
    <col min="4" max="4" width="28" customWidth="1"/>
    <col min="5" max="5" width="24" customWidth="1"/>
    <col min="6" max="6" width="45.140625" customWidth="1"/>
    <col min="7" max="7" width="41" customWidth="1"/>
    <col min="8" max="8" width="30.7109375" customWidth="1"/>
    <col min="9" max="9" width="31.28515625" customWidth="1"/>
  </cols>
  <sheetData>
    <row r="2" spans="1:9" x14ac:dyDescent="0.2">
      <c r="B2" t="s">
        <v>3096</v>
      </c>
    </row>
    <row r="3" spans="1:9" x14ac:dyDescent="0.2">
      <c r="B3" t="s">
        <v>3097</v>
      </c>
    </row>
    <row r="4" spans="1:9" x14ac:dyDescent="0.2">
      <c r="B4" t="s">
        <v>3098</v>
      </c>
    </row>
    <row r="6" spans="1:9" x14ac:dyDescent="0.2">
      <c r="B6" t="s">
        <v>3099</v>
      </c>
    </row>
    <row r="7" spans="1:9" x14ac:dyDescent="0.2">
      <c r="B7" t="s">
        <v>3100</v>
      </c>
    </row>
    <row r="9" spans="1:9" x14ac:dyDescent="0.2">
      <c r="B9" s="2" t="s">
        <v>3101</v>
      </c>
    </row>
    <row r="15" spans="1:9" s="21" customFormat="1" x14ac:dyDescent="0.2">
      <c r="A15" s="32" t="s">
        <v>3095</v>
      </c>
      <c r="B15" s="32" t="s">
        <v>3214</v>
      </c>
      <c r="C15" s="32" t="s">
        <v>2817</v>
      </c>
      <c r="D15" s="32" t="s">
        <v>2</v>
      </c>
      <c r="E15" s="32" t="s">
        <v>8</v>
      </c>
      <c r="F15" s="32" t="s">
        <v>2818</v>
      </c>
      <c r="G15" s="32" t="s">
        <v>2819</v>
      </c>
      <c r="H15" s="32" t="s">
        <v>2900</v>
      </c>
      <c r="I15" s="32" t="s">
        <v>2825</v>
      </c>
    </row>
    <row r="16" spans="1:9" x14ac:dyDescent="0.2">
      <c r="A16" s="5">
        <v>1</v>
      </c>
      <c r="B16" s="5" t="s">
        <v>3215</v>
      </c>
      <c r="C16" s="5" t="s">
        <v>1502</v>
      </c>
      <c r="D16" s="5" t="s">
        <v>1503</v>
      </c>
      <c r="E16" s="5" t="s">
        <v>60</v>
      </c>
      <c r="F16" s="5" t="s">
        <v>3162</v>
      </c>
      <c r="G16" s="5" t="s">
        <v>3163</v>
      </c>
      <c r="H16" s="5" t="s">
        <v>3132</v>
      </c>
      <c r="I16" s="5"/>
    </row>
    <row r="17" spans="1:9" x14ac:dyDescent="0.2">
      <c r="A17" s="5">
        <v>1</v>
      </c>
      <c r="B17" s="5" t="s">
        <v>3216</v>
      </c>
      <c r="C17" s="5" t="s">
        <v>1502</v>
      </c>
      <c r="D17" s="5" t="s">
        <v>1503</v>
      </c>
      <c r="E17" s="5" t="s">
        <v>60</v>
      </c>
      <c r="F17" s="5" t="s">
        <v>3110</v>
      </c>
      <c r="G17" s="5" t="s">
        <v>3164</v>
      </c>
      <c r="H17" s="5" t="s">
        <v>3133</v>
      </c>
      <c r="I17" s="5"/>
    </row>
    <row r="18" spans="1:9" x14ac:dyDescent="0.2">
      <c r="A18" s="5">
        <v>1</v>
      </c>
      <c r="B18" s="5" t="s">
        <v>3216</v>
      </c>
      <c r="C18" s="5" t="s">
        <v>1502</v>
      </c>
      <c r="D18" s="5" t="s">
        <v>1503</v>
      </c>
      <c r="E18" s="5" t="s">
        <v>60</v>
      </c>
      <c r="F18" s="5" t="s">
        <v>3165</v>
      </c>
      <c r="G18" s="5" t="s">
        <v>3166</v>
      </c>
      <c r="H18" s="5" t="s">
        <v>3130</v>
      </c>
      <c r="I18" s="5"/>
    </row>
    <row r="19" spans="1:9" x14ac:dyDescent="0.2">
      <c r="A19" s="5">
        <v>1</v>
      </c>
      <c r="B19" s="5" t="s">
        <v>3453</v>
      </c>
      <c r="C19" s="5" t="s">
        <v>1502</v>
      </c>
      <c r="D19" s="5" t="s">
        <v>1503</v>
      </c>
      <c r="E19" s="5" t="s">
        <v>60</v>
      </c>
      <c r="F19" s="5" t="s">
        <v>3274</v>
      </c>
      <c r="G19" s="5" t="s">
        <v>3275</v>
      </c>
      <c r="H19" s="5" t="s">
        <v>3268</v>
      </c>
      <c r="I19" s="5"/>
    </row>
    <row r="20" spans="1:9" x14ac:dyDescent="0.2">
      <c r="A20" s="5">
        <v>1</v>
      </c>
      <c r="B20" s="5" t="s">
        <v>3453</v>
      </c>
      <c r="C20" s="5" t="s">
        <v>1502</v>
      </c>
      <c r="D20" s="5" t="s">
        <v>1503</v>
      </c>
      <c r="E20" s="5" t="s">
        <v>60</v>
      </c>
      <c r="F20" s="5" t="s">
        <v>3129</v>
      </c>
      <c r="G20" s="5" t="s">
        <v>3275</v>
      </c>
      <c r="H20" s="5" t="s">
        <v>3269</v>
      </c>
      <c r="I20" s="5"/>
    </row>
    <row r="21" spans="1:9" x14ac:dyDescent="0.2">
      <c r="A21" s="5">
        <v>1</v>
      </c>
      <c r="B21" s="5" t="s">
        <v>3217</v>
      </c>
      <c r="C21" s="5" t="s">
        <v>1502</v>
      </c>
      <c r="D21" s="5" t="s">
        <v>1503</v>
      </c>
      <c r="E21" s="5" t="s">
        <v>60</v>
      </c>
      <c r="F21" s="5" t="s">
        <v>3128</v>
      </c>
      <c r="G21" s="5"/>
      <c r="H21" s="5" t="s">
        <v>3226</v>
      </c>
      <c r="I21" s="5"/>
    </row>
    <row r="22" spans="1:9" x14ac:dyDescent="0.2">
      <c r="A22" s="5">
        <v>1</v>
      </c>
      <c r="B22" s="5" t="s">
        <v>3218</v>
      </c>
      <c r="C22" s="5" t="s">
        <v>1502</v>
      </c>
      <c r="D22" s="5" t="s">
        <v>1503</v>
      </c>
      <c r="E22" s="5" t="s">
        <v>60</v>
      </c>
      <c r="F22" s="5" t="s">
        <v>3116</v>
      </c>
      <c r="G22" s="5"/>
      <c r="H22" s="5" t="s">
        <v>3227</v>
      </c>
      <c r="I22" s="5"/>
    </row>
    <row r="23" spans="1:9" x14ac:dyDescent="0.2">
      <c r="A23" s="5">
        <v>1</v>
      </c>
      <c r="B23" s="5" t="s">
        <v>3219</v>
      </c>
      <c r="C23" s="5" t="s">
        <v>1502</v>
      </c>
      <c r="D23" s="5" t="s">
        <v>1503</v>
      </c>
      <c r="E23" s="5" t="s">
        <v>60</v>
      </c>
      <c r="F23" s="5" t="s">
        <v>3089</v>
      </c>
      <c r="G23" s="5"/>
      <c r="H23" s="5" t="s">
        <v>3224</v>
      </c>
      <c r="I23" s="5"/>
    </row>
    <row r="24" spans="1:9" x14ac:dyDescent="0.2">
      <c r="A24" s="5">
        <v>1</v>
      </c>
      <c r="B24" s="5" t="s">
        <v>3220</v>
      </c>
      <c r="C24" s="5" t="s">
        <v>1502</v>
      </c>
      <c r="D24" s="5" t="s">
        <v>1503</v>
      </c>
      <c r="E24" s="5" t="s">
        <v>60</v>
      </c>
      <c r="F24" s="5" t="s">
        <v>3243</v>
      </c>
      <c r="G24" s="5"/>
      <c r="H24" s="5" t="s">
        <v>3231</v>
      </c>
      <c r="I24" s="5"/>
    </row>
    <row r="25" spans="1:9" x14ac:dyDescent="0.2">
      <c r="A25" s="5">
        <v>1</v>
      </c>
      <c r="B25" s="5" t="s">
        <v>3220</v>
      </c>
      <c r="C25" s="5" t="s">
        <v>1502</v>
      </c>
      <c r="D25" s="5" t="s">
        <v>1503</v>
      </c>
      <c r="E25" s="5" t="s">
        <v>60</v>
      </c>
      <c r="F25" s="5" t="s">
        <v>3272</v>
      </c>
      <c r="G25" s="5"/>
      <c r="H25" s="5" t="s">
        <v>3273</v>
      </c>
      <c r="I25" s="5"/>
    </row>
    <row r="26" spans="1:9" x14ac:dyDescent="0.2">
      <c r="A26" s="5">
        <v>1</v>
      </c>
      <c r="B26" s="5" t="s">
        <v>3255</v>
      </c>
      <c r="C26" s="5" t="s">
        <v>1502</v>
      </c>
      <c r="D26" s="5" t="s">
        <v>1503</v>
      </c>
      <c r="E26" s="5" t="s">
        <v>60</v>
      </c>
      <c r="F26" s="5" t="s">
        <v>3168</v>
      </c>
      <c r="G26" s="5" t="s">
        <v>3934</v>
      </c>
      <c r="H26" s="5" t="s">
        <v>3935</v>
      </c>
      <c r="I26" s="5"/>
    </row>
    <row r="27" spans="1:9" x14ac:dyDescent="0.2">
      <c r="A27" s="5">
        <v>1</v>
      </c>
      <c r="B27" s="5" t="s">
        <v>3255</v>
      </c>
      <c r="C27" s="5" t="s">
        <v>1502</v>
      </c>
      <c r="D27" s="5" t="s">
        <v>1503</v>
      </c>
      <c r="E27" s="5" t="s">
        <v>60</v>
      </c>
      <c r="F27" s="5" t="s">
        <v>3169</v>
      </c>
      <c r="G27" s="5" t="s">
        <v>3936</v>
      </c>
      <c r="H27" s="5" t="s">
        <v>3937</v>
      </c>
      <c r="I27" s="5"/>
    </row>
    <row r="28" spans="1:9" x14ac:dyDescent="0.2">
      <c r="A28" s="5">
        <v>1</v>
      </c>
      <c r="B28" s="5" t="s">
        <v>3255</v>
      </c>
      <c r="C28" s="5" t="s">
        <v>1502</v>
      </c>
      <c r="D28" s="5" t="s">
        <v>1503</v>
      </c>
      <c r="E28" s="5" t="s">
        <v>60</v>
      </c>
      <c r="F28" s="5" t="s">
        <v>3170</v>
      </c>
      <c r="G28" s="5" t="s">
        <v>3938</v>
      </c>
      <c r="H28" s="5" t="s">
        <v>3939</v>
      </c>
      <c r="I28" s="5"/>
    </row>
    <row r="29" spans="1:9" x14ac:dyDescent="0.2">
      <c r="A29" s="5">
        <v>1</v>
      </c>
      <c r="B29" s="5" t="s">
        <v>3255</v>
      </c>
      <c r="C29" s="5" t="s">
        <v>1502</v>
      </c>
      <c r="D29" s="5" t="s">
        <v>1503</v>
      </c>
      <c r="E29" s="5" t="s">
        <v>60</v>
      </c>
      <c r="F29" s="5" t="s">
        <v>3171</v>
      </c>
      <c r="G29" s="5" t="s">
        <v>3940</v>
      </c>
      <c r="H29" s="5" t="s">
        <v>3941</v>
      </c>
      <c r="I29" s="5"/>
    </row>
    <row r="30" spans="1:9" x14ac:dyDescent="0.2">
      <c r="A30" s="5">
        <v>1</v>
      </c>
      <c r="B30" s="5" t="s">
        <v>3255</v>
      </c>
      <c r="C30" s="5" t="s">
        <v>1502</v>
      </c>
      <c r="D30" s="5" t="s">
        <v>1503</v>
      </c>
      <c r="E30" s="5" t="s">
        <v>60</v>
      </c>
      <c r="F30" s="5" t="s">
        <v>3172</v>
      </c>
      <c r="G30" s="5" t="s">
        <v>3942</v>
      </c>
      <c r="H30" s="5" t="s">
        <v>3943</v>
      </c>
      <c r="I30" s="5"/>
    </row>
    <row r="31" spans="1:9" x14ac:dyDescent="0.2">
      <c r="A31" s="5">
        <v>1</v>
      </c>
      <c r="B31" s="5" t="s">
        <v>3255</v>
      </c>
      <c r="C31" s="5" t="s">
        <v>1502</v>
      </c>
      <c r="D31" s="5" t="s">
        <v>1503</v>
      </c>
      <c r="E31" s="5" t="s">
        <v>60</v>
      </c>
      <c r="F31" s="5" t="s">
        <v>3172</v>
      </c>
      <c r="G31" s="5" t="s">
        <v>3942</v>
      </c>
      <c r="H31" s="5" t="s">
        <v>3944</v>
      </c>
      <c r="I31" s="5"/>
    </row>
    <row r="32" spans="1:9" x14ac:dyDescent="0.2">
      <c r="A32" s="5">
        <v>1</v>
      </c>
      <c r="B32" s="5" t="s">
        <v>3255</v>
      </c>
      <c r="C32" s="5" t="s">
        <v>1502</v>
      </c>
      <c r="D32" s="5" t="s">
        <v>1503</v>
      </c>
      <c r="E32" s="5" t="s">
        <v>60</v>
      </c>
      <c r="F32" s="5" t="s">
        <v>3173</v>
      </c>
      <c r="G32" s="5" t="s">
        <v>3945</v>
      </c>
      <c r="H32" s="5" t="s">
        <v>3946</v>
      </c>
      <c r="I32" s="5"/>
    </row>
    <row r="33" spans="1:9" x14ac:dyDescent="0.2">
      <c r="A33" s="5">
        <v>1</v>
      </c>
      <c r="B33" s="5" t="s">
        <v>3255</v>
      </c>
      <c r="C33" s="5" t="s">
        <v>1502</v>
      </c>
      <c r="D33" s="5" t="s">
        <v>1503</v>
      </c>
      <c r="E33" s="5" t="s">
        <v>60</v>
      </c>
      <c r="F33" s="5" t="s">
        <v>3174</v>
      </c>
      <c r="G33" s="5" t="s">
        <v>3947</v>
      </c>
      <c r="H33" s="5" t="s">
        <v>3948</v>
      </c>
      <c r="I33" s="5"/>
    </row>
    <row r="34" spans="1:9" x14ac:dyDescent="0.2">
      <c r="A34" s="5">
        <v>1</v>
      </c>
      <c r="B34" s="5" t="s">
        <v>3255</v>
      </c>
      <c r="C34" s="5" t="s">
        <v>1502</v>
      </c>
      <c r="D34" s="5" t="s">
        <v>1503</v>
      </c>
      <c r="E34" s="5" t="s">
        <v>60</v>
      </c>
      <c r="F34" s="5" t="s">
        <v>3175</v>
      </c>
      <c r="G34" s="5" t="s">
        <v>3949</v>
      </c>
      <c r="H34" s="5" t="s">
        <v>3950</v>
      </c>
      <c r="I34" s="5"/>
    </row>
    <row r="35" spans="1:9" x14ac:dyDescent="0.2">
      <c r="A35" s="5">
        <v>1</v>
      </c>
      <c r="B35" s="5" t="s">
        <v>3255</v>
      </c>
      <c r="C35" s="5" t="s">
        <v>1502</v>
      </c>
      <c r="D35" s="5" t="s">
        <v>1503</v>
      </c>
      <c r="E35" s="5" t="s">
        <v>60</v>
      </c>
      <c r="F35" s="5" t="s">
        <v>3176</v>
      </c>
      <c r="G35" s="5" t="s">
        <v>3951</v>
      </c>
      <c r="H35" s="5" t="s">
        <v>3952</v>
      </c>
      <c r="I35" s="5"/>
    </row>
    <row r="36" spans="1:9" x14ac:dyDescent="0.2">
      <c r="A36" s="5">
        <v>1</v>
      </c>
      <c r="B36" s="5" t="s">
        <v>3255</v>
      </c>
      <c r="C36" s="5" t="s">
        <v>1502</v>
      </c>
      <c r="D36" s="5" t="s">
        <v>1503</v>
      </c>
      <c r="E36" s="5" t="s">
        <v>60</v>
      </c>
      <c r="F36" s="5" t="s">
        <v>3177</v>
      </c>
      <c r="G36" s="5" t="s">
        <v>3951</v>
      </c>
      <c r="H36" s="5" t="s">
        <v>3953</v>
      </c>
      <c r="I36" s="5"/>
    </row>
    <row r="37" spans="1:9" x14ac:dyDescent="0.2">
      <c r="A37" s="5">
        <v>1</v>
      </c>
      <c r="B37" s="5" t="s">
        <v>3255</v>
      </c>
      <c r="C37" s="5" t="s">
        <v>1502</v>
      </c>
      <c r="D37" s="5" t="s">
        <v>1503</v>
      </c>
      <c r="E37" s="5" t="s">
        <v>60</v>
      </c>
      <c r="F37" s="5" t="s">
        <v>3178</v>
      </c>
      <c r="G37" s="5" t="s">
        <v>3954</v>
      </c>
      <c r="H37" s="5" t="s">
        <v>3937</v>
      </c>
      <c r="I37" s="5"/>
    </row>
    <row r="38" spans="1:9" x14ac:dyDescent="0.2">
      <c r="A38" s="5">
        <v>1</v>
      </c>
      <c r="B38" s="5" t="s">
        <v>3255</v>
      </c>
      <c r="C38" s="5" t="s">
        <v>1502</v>
      </c>
      <c r="D38" s="5" t="s">
        <v>1503</v>
      </c>
      <c r="E38" s="5" t="s">
        <v>60</v>
      </c>
      <c r="F38" s="5" t="s">
        <v>3179</v>
      </c>
      <c r="G38" s="5" t="s">
        <v>3954</v>
      </c>
      <c r="H38" s="5" t="s">
        <v>3955</v>
      </c>
      <c r="I38" s="5"/>
    </row>
    <row r="39" spans="1:9" x14ac:dyDescent="0.2">
      <c r="A39" s="5">
        <v>1</v>
      </c>
      <c r="B39" s="5" t="s">
        <v>3255</v>
      </c>
      <c r="C39" s="5" t="s">
        <v>1502</v>
      </c>
      <c r="D39" s="5" t="s">
        <v>1503</v>
      </c>
      <c r="E39" s="5" t="s">
        <v>60</v>
      </c>
      <c r="F39" s="5" t="s">
        <v>3180</v>
      </c>
      <c r="G39" s="5" t="s">
        <v>3954</v>
      </c>
      <c r="H39" s="5" t="s">
        <v>3937</v>
      </c>
      <c r="I39" s="5"/>
    </row>
    <row r="40" spans="1:9" x14ac:dyDescent="0.2">
      <c r="A40" s="5">
        <v>1</v>
      </c>
      <c r="B40" s="5" t="s">
        <v>3255</v>
      </c>
      <c r="C40" s="5" t="s">
        <v>1502</v>
      </c>
      <c r="D40" s="5" t="s">
        <v>1503</v>
      </c>
      <c r="E40" s="5" t="s">
        <v>60</v>
      </c>
      <c r="F40" s="5" t="s">
        <v>3181</v>
      </c>
      <c r="G40" s="5" t="s">
        <v>3955</v>
      </c>
      <c r="H40" s="5" t="s">
        <v>3956</v>
      </c>
      <c r="I40" s="5"/>
    </row>
    <row r="41" spans="1:9" x14ac:dyDescent="0.2">
      <c r="A41" s="5">
        <v>1</v>
      </c>
      <c r="B41" s="5" t="s">
        <v>3255</v>
      </c>
      <c r="C41" s="5" t="s">
        <v>1502</v>
      </c>
      <c r="D41" s="5" t="s">
        <v>1503</v>
      </c>
      <c r="E41" s="5" t="s">
        <v>60</v>
      </c>
      <c r="F41" s="5" t="s">
        <v>3182</v>
      </c>
      <c r="G41" s="5" t="s">
        <v>3957</v>
      </c>
      <c r="H41" s="5" t="s">
        <v>3958</v>
      </c>
      <c r="I41" s="5"/>
    </row>
    <row r="42" spans="1:9" x14ac:dyDescent="0.2">
      <c r="A42" s="5">
        <v>1</v>
      </c>
      <c r="B42" s="5" t="s">
        <v>3255</v>
      </c>
      <c r="C42" s="5" t="s">
        <v>1502</v>
      </c>
      <c r="D42" s="5" t="s">
        <v>1503</v>
      </c>
      <c r="E42" s="5" t="s">
        <v>60</v>
      </c>
      <c r="F42" s="5" t="s">
        <v>3183</v>
      </c>
      <c r="G42" s="5" t="s">
        <v>3959</v>
      </c>
      <c r="H42" s="5" t="s">
        <v>3960</v>
      </c>
      <c r="I42" s="5"/>
    </row>
    <row r="43" spans="1:9" x14ac:dyDescent="0.2">
      <c r="A43" s="5">
        <v>1</v>
      </c>
      <c r="B43" s="5" t="s">
        <v>3255</v>
      </c>
      <c r="C43" s="5" t="s">
        <v>1502</v>
      </c>
      <c r="D43" s="5" t="s">
        <v>1503</v>
      </c>
      <c r="E43" s="5" t="s">
        <v>60</v>
      </c>
      <c r="F43" s="5" t="s">
        <v>3184</v>
      </c>
      <c r="G43" s="5" t="s">
        <v>3959</v>
      </c>
      <c r="H43" s="5" t="s">
        <v>3961</v>
      </c>
      <c r="I43" s="5"/>
    </row>
    <row r="44" spans="1:9" x14ac:dyDescent="0.2">
      <c r="A44" s="5">
        <v>1</v>
      </c>
      <c r="B44" s="5" t="s">
        <v>3255</v>
      </c>
      <c r="C44" s="5" t="s">
        <v>1502</v>
      </c>
      <c r="D44" s="5" t="s">
        <v>1503</v>
      </c>
      <c r="E44" s="5" t="s">
        <v>60</v>
      </c>
      <c r="F44" s="5" t="s">
        <v>3185</v>
      </c>
      <c r="G44" s="5" t="s">
        <v>3962</v>
      </c>
      <c r="H44" s="5" t="s">
        <v>3963</v>
      </c>
      <c r="I44" s="5"/>
    </row>
    <row r="45" spans="1:9" x14ac:dyDescent="0.2">
      <c r="A45" s="5">
        <v>1</v>
      </c>
      <c r="B45" s="5" t="s">
        <v>3255</v>
      </c>
      <c r="C45" s="5" t="s">
        <v>1502</v>
      </c>
      <c r="D45" s="5" t="s">
        <v>1503</v>
      </c>
      <c r="E45" s="5" t="s">
        <v>60</v>
      </c>
      <c r="F45" s="5" t="s">
        <v>3186</v>
      </c>
      <c r="G45" s="5" t="s">
        <v>3962</v>
      </c>
      <c r="H45" s="5" t="s">
        <v>3963</v>
      </c>
      <c r="I45" s="5"/>
    </row>
    <row r="46" spans="1:9" x14ac:dyDescent="0.2">
      <c r="A46" s="5">
        <v>1</v>
      </c>
      <c r="B46" s="5" t="s">
        <v>3255</v>
      </c>
      <c r="C46" s="5" t="s">
        <v>1502</v>
      </c>
      <c r="D46" s="5" t="s">
        <v>1503</v>
      </c>
      <c r="E46" s="5" t="s">
        <v>60</v>
      </c>
      <c r="F46" s="5" t="s">
        <v>3187</v>
      </c>
      <c r="G46" s="5" t="s">
        <v>3962</v>
      </c>
      <c r="H46" s="5" t="s">
        <v>3963</v>
      </c>
      <c r="I46" s="5"/>
    </row>
    <row r="47" spans="1:9" x14ac:dyDescent="0.2">
      <c r="A47" s="5">
        <v>1</v>
      </c>
      <c r="B47" s="5" t="s">
        <v>3255</v>
      </c>
      <c r="C47" s="5" t="s">
        <v>1502</v>
      </c>
      <c r="D47" s="5" t="s">
        <v>1503</v>
      </c>
      <c r="E47" s="5" t="s">
        <v>60</v>
      </c>
      <c r="F47" s="5" t="s">
        <v>3188</v>
      </c>
      <c r="G47" s="5" t="s">
        <v>3962</v>
      </c>
      <c r="H47" s="5" t="s">
        <v>3963</v>
      </c>
      <c r="I47" s="5"/>
    </row>
    <row r="48" spans="1:9" x14ac:dyDescent="0.2">
      <c r="A48" s="5">
        <v>1</v>
      </c>
      <c r="B48" s="5" t="s">
        <v>3255</v>
      </c>
      <c r="C48" s="5" t="s">
        <v>1502</v>
      </c>
      <c r="D48" s="5" t="s">
        <v>1503</v>
      </c>
      <c r="E48" s="5" t="s">
        <v>60</v>
      </c>
      <c r="F48" s="5" t="s">
        <v>3189</v>
      </c>
      <c r="G48" s="5" t="s">
        <v>3962</v>
      </c>
      <c r="H48" s="5" t="s">
        <v>3963</v>
      </c>
      <c r="I48" s="5"/>
    </row>
    <row r="49" spans="1:9" x14ac:dyDescent="0.2">
      <c r="A49" s="5">
        <v>1</v>
      </c>
      <c r="B49" s="5" t="s">
        <v>3255</v>
      </c>
      <c r="C49" s="5" t="s">
        <v>1502</v>
      </c>
      <c r="D49" s="5" t="s">
        <v>1503</v>
      </c>
      <c r="E49" s="5" t="s">
        <v>60</v>
      </c>
      <c r="F49" s="5" t="s">
        <v>3190</v>
      </c>
      <c r="G49" s="5" t="s">
        <v>3962</v>
      </c>
      <c r="H49" s="5" t="s">
        <v>3963</v>
      </c>
      <c r="I49" s="5"/>
    </row>
    <row r="50" spans="1:9" x14ac:dyDescent="0.2">
      <c r="A50" s="5">
        <v>1</v>
      </c>
      <c r="B50" s="5" t="s">
        <v>3256</v>
      </c>
      <c r="C50" s="5" t="s">
        <v>1502</v>
      </c>
      <c r="D50" s="5" t="s">
        <v>1503</v>
      </c>
      <c r="E50" s="5" t="s">
        <v>60</v>
      </c>
      <c r="F50" s="5" t="s">
        <v>3191</v>
      </c>
      <c r="G50" s="5" t="s">
        <v>3131</v>
      </c>
      <c r="H50" s="5"/>
      <c r="I50" s="5"/>
    </row>
    <row r="51" spans="1:9" x14ac:dyDescent="0.2">
      <c r="A51" s="5">
        <v>1</v>
      </c>
      <c r="B51" s="5" t="s">
        <v>3257</v>
      </c>
      <c r="C51" s="5" t="s">
        <v>1502</v>
      </c>
      <c r="D51" s="5" t="s">
        <v>1503</v>
      </c>
      <c r="E51" s="5" t="s">
        <v>60</v>
      </c>
      <c r="F51" s="5" t="s">
        <v>2984</v>
      </c>
      <c r="G51" s="5" t="s">
        <v>3139</v>
      </c>
      <c r="H51" s="5"/>
      <c r="I51" s="5"/>
    </row>
    <row r="52" spans="1:9" x14ac:dyDescent="0.2">
      <c r="A52" s="5">
        <v>1</v>
      </c>
      <c r="B52" s="5" t="s">
        <v>3257</v>
      </c>
      <c r="C52" s="5" t="s">
        <v>1502</v>
      </c>
      <c r="D52" s="5" t="s">
        <v>1503</v>
      </c>
      <c r="E52" s="5" t="s">
        <v>60</v>
      </c>
      <c r="F52" s="5" t="s">
        <v>3192</v>
      </c>
      <c r="G52" s="5" t="s">
        <v>3142</v>
      </c>
      <c r="H52" s="5"/>
      <c r="I52" s="5"/>
    </row>
    <row r="53" spans="1:9" x14ac:dyDescent="0.2">
      <c r="A53" s="5">
        <v>1</v>
      </c>
      <c r="B53" s="5" t="s">
        <v>3257</v>
      </c>
      <c r="C53" s="5" t="s">
        <v>1502</v>
      </c>
      <c r="D53" s="5" t="s">
        <v>1503</v>
      </c>
      <c r="E53" s="5" t="s">
        <v>60</v>
      </c>
      <c r="F53" s="5" t="s">
        <v>2984</v>
      </c>
      <c r="G53" s="5" t="s">
        <v>3143</v>
      </c>
      <c r="H53" s="5"/>
      <c r="I53" s="5"/>
    </row>
    <row r="54" spans="1:9" x14ac:dyDescent="0.2">
      <c r="A54" s="5">
        <v>1</v>
      </c>
      <c r="B54" s="5" t="s">
        <v>3257</v>
      </c>
      <c r="C54" s="5" t="s">
        <v>1502</v>
      </c>
      <c r="D54" s="5" t="s">
        <v>1503</v>
      </c>
      <c r="E54" s="5" t="s">
        <v>60</v>
      </c>
      <c r="F54" s="5" t="s">
        <v>3192</v>
      </c>
      <c r="G54" s="5" t="s">
        <v>3144</v>
      </c>
      <c r="H54" s="5"/>
      <c r="I54" s="5"/>
    </row>
    <row r="55" spans="1:9" x14ac:dyDescent="0.2">
      <c r="A55" s="5">
        <v>1</v>
      </c>
      <c r="B55" s="5" t="s">
        <v>3257</v>
      </c>
      <c r="C55" s="5" t="s">
        <v>1502</v>
      </c>
      <c r="D55" s="5" t="s">
        <v>1503</v>
      </c>
      <c r="E55" s="5" t="s">
        <v>60</v>
      </c>
      <c r="F55" s="5" t="s">
        <v>3192</v>
      </c>
      <c r="G55" s="5" t="s">
        <v>3145</v>
      </c>
      <c r="H55" s="5"/>
      <c r="I55" s="5"/>
    </row>
    <row r="56" spans="1:9" x14ac:dyDescent="0.2">
      <c r="A56" s="5">
        <v>1</v>
      </c>
      <c r="B56" s="5" t="s">
        <v>3257</v>
      </c>
      <c r="C56" s="5" t="s">
        <v>1502</v>
      </c>
      <c r="D56" s="5" t="s">
        <v>1503</v>
      </c>
      <c r="E56" s="5" t="s">
        <v>60</v>
      </c>
      <c r="F56" s="5" t="s">
        <v>2984</v>
      </c>
      <c r="G56" s="5" t="s">
        <v>3146</v>
      </c>
      <c r="H56" s="5"/>
      <c r="I56" s="5"/>
    </row>
    <row r="57" spans="1:9" x14ac:dyDescent="0.2">
      <c r="A57" s="5">
        <v>1</v>
      </c>
      <c r="B57" s="5" t="s">
        <v>3257</v>
      </c>
      <c r="C57" s="5" t="s">
        <v>1502</v>
      </c>
      <c r="D57" s="5" t="s">
        <v>1503</v>
      </c>
      <c r="E57" s="5" t="s">
        <v>60</v>
      </c>
      <c r="F57" s="5" t="s">
        <v>2984</v>
      </c>
      <c r="G57" s="5" t="s">
        <v>3147</v>
      </c>
      <c r="H57" s="5"/>
      <c r="I57" s="5"/>
    </row>
    <row r="58" spans="1:9" x14ac:dyDescent="0.2">
      <c r="A58" s="5">
        <v>1</v>
      </c>
      <c r="B58" s="5" t="s">
        <v>3257</v>
      </c>
      <c r="C58" s="5" t="s">
        <v>1502</v>
      </c>
      <c r="D58" s="5" t="s">
        <v>1503</v>
      </c>
      <c r="E58" s="5" t="s">
        <v>60</v>
      </c>
      <c r="F58" s="5" t="s">
        <v>2984</v>
      </c>
      <c r="G58" s="5" t="s">
        <v>3148</v>
      </c>
      <c r="H58" s="5"/>
      <c r="I58" s="5"/>
    </row>
    <row r="59" spans="1:9" x14ac:dyDescent="0.2">
      <c r="A59" s="5">
        <v>1</v>
      </c>
      <c r="B59" s="5" t="s">
        <v>3257</v>
      </c>
      <c r="C59" s="5" t="s">
        <v>1502</v>
      </c>
      <c r="D59" s="5" t="s">
        <v>1503</v>
      </c>
      <c r="E59" s="5" t="s">
        <v>60</v>
      </c>
      <c r="F59" s="5" t="s">
        <v>2984</v>
      </c>
      <c r="G59" s="5" t="s">
        <v>3149</v>
      </c>
      <c r="H59" s="5"/>
      <c r="I59" s="5"/>
    </row>
    <row r="60" spans="1:9" x14ac:dyDescent="0.2">
      <c r="A60" s="5">
        <v>1</v>
      </c>
      <c r="B60" s="5" t="s">
        <v>3257</v>
      </c>
      <c r="C60" s="5" t="s">
        <v>1502</v>
      </c>
      <c r="D60" s="5" t="s">
        <v>1503</v>
      </c>
      <c r="E60" s="5" t="s">
        <v>60</v>
      </c>
      <c r="F60" s="5" t="s">
        <v>3123</v>
      </c>
      <c r="G60" s="5" t="s">
        <v>3150</v>
      </c>
      <c r="H60" s="5"/>
      <c r="I60" s="5"/>
    </row>
    <row r="61" spans="1:9" x14ac:dyDescent="0.2">
      <c r="A61" s="5">
        <v>1</v>
      </c>
      <c r="B61" s="5" t="s">
        <v>3257</v>
      </c>
      <c r="C61" s="5" t="s">
        <v>1502</v>
      </c>
      <c r="D61" s="5" t="s">
        <v>1503</v>
      </c>
      <c r="E61" s="5" t="s">
        <v>60</v>
      </c>
      <c r="F61" s="5" t="s">
        <v>3193</v>
      </c>
      <c r="G61" s="5" t="s">
        <v>3150</v>
      </c>
      <c r="H61" s="5"/>
      <c r="I61" s="5"/>
    </row>
    <row r="62" spans="1:9" x14ac:dyDescent="0.2">
      <c r="A62" s="5">
        <v>1</v>
      </c>
      <c r="B62" s="5" t="s">
        <v>3257</v>
      </c>
      <c r="C62" s="5" t="s">
        <v>1502</v>
      </c>
      <c r="D62" s="5" t="s">
        <v>1503</v>
      </c>
      <c r="E62" s="5" t="s">
        <v>60</v>
      </c>
      <c r="F62" s="5" t="s">
        <v>3191</v>
      </c>
      <c r="G62" s="5" t="s">
        <v>3150</v>
      </c>
      <c r="H62" s="5"/>
      <c r="I62" s="5"/>
    </row>
    <row r="63" spans="1:9" x14ac:dyDescent="0.2">
      <c r="A63" s="5">
        <v>1</v>
      </c>
      <c r="B63" s="5" t="s">
        <v>3257</v>
      </c>
      <c r="C63" s="5" t="s">
        <v>1502</v>
      </c>
      <c r="D63" s="5" t="s">
        <v>1503</v>
      </c>
      <c r="E63" s="5" t="s">
        <v>60</v>
      </c>
      <c r="F63" s="5" t="s">
        <v>2984</v>
      </c>
      <c r="G63" s="5" t="s">
        <v>3150</v>
      </c>
      <c r="H63" s="5"/>
      <c r="I63" s="5"/>
    </row>
    <row r="64" spans="1:9" x14ac:dyDescent="0.2">
      <c r="A64" s="5">
        <v>1</v>
      </c>
      <c r="B64" s="5" t="s">
        <v>3257</v>
      </c>
      <c r="C64" s="5" t="s">
        <v>1502</v>
      </c>
      <c r="D64" s="5" t="s">
        <v>1503</v>
      </c>
      <c r="E64" s="5" t="s">
        <v>60</v>
      </c>
      <c r="F64" s="5" t="s">
        <v>3192</v>
      </c>
      <c r="G64" s="5" t="s">
        <v>3150</v>
      </c>
      <c r="H64" s="5"/>
      <c r="I64" s="5"/>
    </row>
    <row r="65" spans="1:9" x14ac:dyDescent="0.2">
      <c r="A65" s="5">
        <v>1</v>
      </c>
      <c r="B65" s="5" t="s">
        <v>3257</v>
      </c>
      <c r="C65" s="5" t="s">
        <v>1502</v>
      </c>
      <c r="D65" s="5" t="s">
        <v>1503</v>
      </c>
      <c r="E65" s="5" t="s">
        <v>60</v>
      </c>
      <c r="F65" s="5" t="s">
        <v>3124</v>
      </c>
      <c r="G65" s="5" t="s">
        <v>3150</v>
      </c>
      <c r="H65" s="5"/>
      <c r="I65" s="5"/>
    </row>
    <row r="66" spans="1:9" x14ac:dyDescent="0.2">
      <c r="A66" s="5">
        <v>1</v>
      </c>
      <c r="B66" s="5" t="s">
        <v>3257</v>
      </c>
      <c r="C66" s="5" t="s">
        <v>1502</v>
      </c>
      <c r="D66" s="5" t="s">
        <v>1503</v>
      </c>
      <c r="E66" s="5" t="s">
        <v>60</v>
      </c>
      <c r="F66" s="5" t="s">
        <v>3194</v>
      </c>
      <c r="G66" s="5" t="s">
        <v>3150</v>
      </c>
      <c r="H66" s="5"/>
      <c r="I66" s="5"/>
    </row>
    <row r="67" spans="1:9" x14ac:dyDescent="0.2">
      <c r="A67" s="5">
        <v>1</v>
      </c>
      <c r="B67" s="5" t="s">
        <v>3257</v>
      </c>
      <c r="C67" s="5" t="s">
        <v>1502</v>
      </c>
      <c r="D67" s="5" t="s">
        <v>1503</v>
      </c>
      <c r="E67" s="5" t="s">
        <v>60</v>
      </c>
      <c r="F67" s="5" t="s">
        <v>3123</v>
      </c>
      <c r="G67" s="5" t="s">
        <v>3151</v>
      </c>
      <c r="H67" s="5"/>
      <c r="I67" s="5"/>
    </row>
    <row r="68" spans="1:9" x14ac:dyDescent="0.2">
      <c r="A68" s="5">
        <v>1</v>
      </c>
      <c r="B68" s="5" t="s">
        <v>3257</v>
      </c>
      <c r="C68" s="5" t="s">
        <v>1502</v>
      </c>
      <c r="D68" s="5" t="s">
        <v>1503</v>
      </c>
      <c r="E68" s="5" t="s">
        <v>60</v>
      </c>
      <c r="F68" s="5" t="s">
        <v>3193</v>
      </c>
      <c r="G68" s="5" t="s">
        <v>3151</v>
      </c>
      <c r="H68" s="5"/>
      <c r="I68" s="5"/>
    </row>
    <row r="69" spans="1:9" x14ac:dyDescent="0.2">
      <c r="A69" s="5">
        <v>1</v>
      </c>
      <c r="B69" s="5" t="s">
        <v>3257</v>
      </c>
      <c r="C69" s="5" t="s">
        <v>1502</v>
      </c>
      <c r="D69" s="5" t="s">
        <v>1503</v>
      </c>
      <c r="E69" s="5" t="s">
        <v>60</v>
      </c>
      <c r="F69" s="5" t="s">
        <v>3191</v>
      </c>
      <c r="G69" s="5" t="s">
        <v>3151</v>
      </c>
      <c r="H69" s="5"/>
      <c r="I69" s="5"/>
    </row>
    <row r="70" spans="1:9" x14ac:dyDescent="0.2">
      <c r="A70" s="5">
        <v>1</v>
      </c>
      <c r="B70" s="5" t="s">
        <v>3257</v>
      </c>
      <c r="C70" s="5" t="s">
        <v>1502</v>
      </c>
      <c r="D70" s="5" t="s">
        <v>1503</v>
      </c>
      <c r="E70" s="5" t="s">
        <v>60</v>
      </c>
      <c r="F70" s="5" t="s">
        <v>2984</v>
      </c>
      <c r="G70" s="5" t="s">
        <v>3151</v>
      </c>
      <c r="H70" s="5"/>
      <c r="I70" s="5"/>
    </row>
    <row r="71" spans="1:9" x14ac:dyDescent="0.2">
      <c r="A71" s="5">
        <v>1</v>
      </c>
      <c r="B71" s="5" t="s">
        <v>3257</v>
      </c>
      <c r="C71" s="5" t="s">
        <v>1502</v>
      </c>
      <c r="D71" s="5" t="s">
        <v>1503</v>
      </c>
      <c r="E71" s="5" t="s">
        <v>60</v>
      </c>
      <c r="F71" s="5" t="s">
        <v>3192</v>
      </c>
      <c r="G71" s="5" t="s">
        <v>3151</v>
      </c>
      <c r="H71" s="5"/>
      <c r="I71" s="5"/>
    </row>
    <row r="72" spans="1:9" x14ac:dyDescent="0.2">
      <c r="A72" s="5">
        <v>1</v>
      </c>
      <c r="B72" s="5" t="s">
        <v>3257</v>
      </c>
      <c r="C72" s="5" t="s">
        <v>1502</v>
      </c>
      <c r="D72" s="5" t="s">
        <v>1503</v>
      </c>
      <c r="E72" s="5" t="s">
        <v>60</v>
      </c>
      <c r="F72" s="5" t="s">
        <v>3124</v>
      </c>
      <c r="G72" s="5" t="s">
        <v>3151</v>
      </c>
      <c r="H72" s="5"/>
      <c r="I72" s="5"/>
    </row>
    <row r="73" spans="1:9" x14ac:dyDescent="0.2">
      <c r="A73" s="5">
        <v>1</v>
      </c>
      <c r="B73" s="5" t="s">
        <v>3257</v>
      </c>
      <c r="C73" s="5" t="s">
        <v>1502</v>
      </c>
      <c r="D73" s="5" t="s">
        <v>1503</v>
      </c>
      <c r="E73" s="5" t="s">
        <v>60</v>
      </c>
      <c r="F73" s="5" t="s">
        <v>3194</v>
      </c>
      <c r="G73" s="5" t="s">
        <v>3151</v>
      </c>
      <c r="H73" s="5"/>
      <c r="I73" s="5"/>
    </row>
    <row r="74" spans="1:9" x14ac:dyDescent="0.2">
      <c r="A74" s="5">
        <v>1</v>
      </c>
      <c r="B74" s="5" t="s">
        <v>3257</v>
      </c>
      <c r="C74" s="5" t="s">
        <v>1502</v>
      </c>
      <c r="D74" s="5" t="s">
        <v>1503</v>
      </c>
      <c r="E74" s="5" t="s">
        <v>60</v>
      </c>
      <c r="F74" s="5" t="s">
        <v>3123</v>
      </c>
      <c r="G74" s="5" t="s">
        <v>3152</v>
      </c>
      <c r="H74" s="5"/>
      <c r="I74" s="5"/>
    </row>
    <row r="75" spans="1:9" x14ac:dyDescent="0.2">
      <c r="A75" s="5">
        <v>1</v>
      </c>
      <c r="B75" s="5" t="s">
        <v>3257</v>
      </c>
      <c r="C75" s="5" t="s">
        <v>1502</v>
      </c>
      <c r="D75" s="5" t="s">
        <v>1503</v>
      </c>
      <c r="E75" s="5" t="s">
        <v>60</v>
      </c>
      <c r="F75" s="5" t="s">
        <v>3193</v>
      </c>
      <c r="G75" s="5" t="s">
        <v>3152</v>
      </c>
      <c r="H75" s="5"/>
      <c r="I75" s="5"/>
    </row>
    <row r="76" spans="1:9" x14ac:dyDescent="0.2">
      <c r="A76" s="5">
        <v>1</v>
      </c>
      <c r="B76" s="5" t="s">
        <v>3257</v>
      </c>
      <c r="C76" s="5" t="s">
        <v>1502</v>
      </c>
      <c r="D76" s="5" t="s">
        <v>1503</v>
      </c>
      <c r="E76" s="5" t="s">
        <v>60</v>
      </c>
      <c r="F76" s="5" t="s">
        <v>3191</v>
      </c>
      <c r="G76" s="5" t="s">
        <v>3152</v>
      </c>
      <c r="H76" s="5"/>
      <c r="I76" s="5"/>
    </row>
    <row r="77" spans="1:9" x14ac:dyDescent="0.2">
      <c r="A77" s="5">
        <v>1</v>
      </c>
      <c r="B77" s="5" t="s">
        <v>3257</v>
      </c>
      <c r="C77" s="5" t="s">
        <v>1502</v>
      </c>
      <c r="D77" s="5" t="s">
        <v>1503</v>
      </c>
      <c r="E77" s="5" t="s">
        <v>60</v>
      </c>
      <c r="F77" s="5" t="s">
        <v>2984</v>
      </c>
      <c r="G77" s="5" t="s">
        <v>3152</v>
      </c>
      <c r="H77" s="5"/>
      <c r="I77" s="5"/>
    </row>
    <row r="78" spans="1:9" x14ac:dyDescent="0.2">
      <c r="A78" s="5">
        <v>1</v>
      </c>
      <c r="B78" s="5" t="s">
        <v>3257</v>
      </c>
      <c r="C78" s="5" t="s">
        <v>1502</v>
      </c>
      <c r="D78" s="5" t="s">
        <v>1503</v>
      </c>
      <c r="E78" s="5" t="s">
        <v>60</v>
      </c>
      <c r="F78" s="5" t="s">
        <v>3192</v>
      </c>
      <c r="G78" s="5" t="s">
        <v>3152</v>
      </c>
      <c r="H78" s="5"/>
      <c r="I78" s="5"/>
    </row>
    <row r="79" spans="1:9" x14ac:dyDescent="0.2">
      <c r="A79" s="5">
        <v>1</v>
      </c>
      <c r="B79" s="5" t="s">
        <v>3257</v>
      </c>
      <c r="C79" s="5" t="s">
        <v>1502</v>
      </c>
      <c r="D79" s="5" t="s">
        <v>1503</v>
      </c>
      <c r="E79" s="5" t="s">
        <v>60</v>
      </c>
      <c r="F79" s="5" t="s">
        <v>3124</v>
      </c>
      <c r="G79" s="5" t="s">
        <v>3152</v>
      </c>
      <c r="H79" s="5"/>
      <c r="I79" s="5"/>
    </row>
    <row r="80" spans="1:9" x14ac:dyDescent="0.2">
      <c r="A80" s="5">
        <v>1</v>
      </c>
      <c r="B80" s="5" t="s">
        <v>3257</v>
      </c>
      <c r="C80" s="5" t="s">
        <v>1502</v>
      </c>
      <c r="D80" s="5" t="s">
        <v>1503</v>
      </c>
      <c r="E80" s="5" t="s">
        <v>60</v>
      </c>
      <c r="F80" s="5" t="s">
        <v>3194</v>
      </c>
      <c r="G80" s="5" t="s">
        <v>3152</v>
      </c>
      <c r="H80" s="5"/>
      <c r="I80" s="5"/>
    </row>
    <row r="81" spans="1:9" x14ac:dyDescent="0.2">
      <c r="A81" s="5">
        <v>1</v>
      </c>
      <c r="B81" s="5" t="s">
        <v>3257</v>
      </c>
      <c r="C81" s="5" t="s">
        <v>1502</v>
      </c>
      <c r="D81" s="5" t="s">
        <v>1503</v>
      </c>
      <c r="E81" s="5" t="s">
        <v>60</v>
      </c>
      <c r="F81" s="5" t="s">
        <v>3123</v>
      </c>
      <c r="G81" s="5" t="s">
        <v>3153</v>
      </c>
      <c r="H81" s="5"/>
      <c r="I81" s="5"/>
    </row>
    <row r="82" spans="1:9" x14ac:dyDescent="0.2">
      <c r="A82" s="5">
        <v>1</v>
      </c>
      <c r="B82" s="5" t="s">
        <v>3257</v>
      </c>
      <c r="C82" s="5" t="s">
        <v>1502</v>
      </c>
      <c r="D82" s="5" t="s">
        <v>1503</v>
      </c>
      <c r="E82" s="5" t="s">
        <v>60</v>
      </c>
      <c r="F82" s="5" t="s">
        <v>3193</v>
      </c>
      <c r="G82" s="5" t="s">
        <v>3153</v>
      </c>
      <c r="H82" s="5"/>
      <c r="I82" s="5"/>
    </row>
    <row r="83" spans="1:9" x14ac:dyDescent="0.2">
      <c r="A83" s="5">
        <v>1</v>
      </c>
      <c r="B83" s="5" t="s">
        <v>3257</v>
      </c>
      <c r="C83" s="5" t="s">
        <v>1502</v>
      </c>
      <c r="D83" s="5" t="s">
        <v>1503</v>
      </c>
      <c r="E83" s="5" t="s">
        <v>60</v>
      </c>
      <c r="F83" s="5" t="s">
        <v>3191</v>
      </c>
      <c r="G83" s="5" t="s">
        <v>3153</v>
      </c>
      <c r="H83" s="5"/>
      <c r="I83" s="5"/>
    </row>
    <row r="84" spans="1:9" x14ac:dyDescent="0.2">
      <c r="A84" s="5">
        <v>1</v>
      </c>
      <c r="B84" s="5" t="s">
        <v>3257</v>
      </c>
      <c r="C84" s="5" t="s">
        <v>1502</v>
      </c>
      <c r="D84" s="5" t="s">
        <v>1503</v>
      </c>
      <c r="E84" s="5" t="s">
        <v>60</v>
      </c>
      <c r="F84" s="5" t="s">
        <v>2984</v>
      </c>
      <c r="G84" s="5" t="s">
        <v>3153</v>
      </c>
      <c r="H84" s="5"/>
      <c r="I84" s="5"/>
    </row>
    <row r="85" spans="1:9" x14ac:dyDescent="0.2">
      <c r="A85" s="5">
        <v>1</v>
      </c>
      <c r="B85" s="5" t="s">
        <v>3257</v>
      </c>
      <c r="C85" s="5" t="s">
        <v>1502</v>
      </c>
      <c r="D85" s="5" t="s">
        <v>1503</v>
      </c>
      <c r="E85" s="5" t="s">
        <v>60</v>
      </c>
      <c r="F85" s="5" t="s">
        <v>3192</v>
      </c>
      <c r="G85" s="5" t="s">
        <v>3153</v>
      </c>
      <c r="H85" s="5"/>
      <c r="I85" s="5"/>
    </row>
    <row r="86" spans="1:9" x14ac:dyDescent="0.2">
      <c r="A86" s="5">
        <v>1</v>
      </c>
      <c r="B86" s="5" t="s">
        <v>3257</v>
      </c>
      <c r="C86" s="5" t="s">
        <v>1502</v>
      </c>
      <c r="D86" s="5" t="s">
        <v>1503</v>
      </c>
      <c r="E86" s="5" t="s">
        <v>60</v>
      </c>
      <c r="F86" s="5" t="s">
        <v>3124</v>
      </c>
      <c r="G86" s="5" t="s">
        <v>3153</v>
      </c>
      <c r="H86" s="5"/>
      <c r="I86" s="5"/>
    </row>
    <row r="87" spans="1:9" x14ac:dyDescent="0.2">
      <c r="A87" s="5">
        <v>1</v>
      </c>
      <c r="B87" s="5" t="s">
        <v>3257</v>
      </c>
      <c r="C87" s="5" t="s">
        <v>1502</v>
      </c>
      <c r="D87" s="5" t="s">
        <v>1503</v>
      </c>
      <c r="E87" s="5" t="s">
        <v>60</v>
      </c>
      <c r="F87" s="5" t="s">
        <v>3194</v>
      </c>
      <c r="G87" s="5" t="s">
        <v>3153</v>
      </c>
      <c r="H87" s="5"/>
      <c r="I87" s="5"/>
    </row>
    <row r="88" spans="1:9" x14ac:dyDescent="0.2">
      <c r="A88" s="5">
        <v>1</v>
      </c>
      <c r="B88" s="5" t="s">
        <v>3257</v>
      </c>
      <c r="C88" s="5" t="s">
        <v>1502</v>
      </c>
      <c r="D88" s="5" t="s">
        <v>1503</v>
      </c>
      <c r="E88" s="5" t="s">
        <v>60</v>
      </c>
      <c r="F88" s="5" t="s">
        <v>3123</v>
      </c>
      <c r="G88" s="5" t="s">
        <v>3154</v>
      </c>
      <c r="H88" s="5"/>
      <c r="I88" s="5"/>
    </row>
    <row r="89" spans="1:9" x14ac:dyDescent="0.2">
      <c r="A89" s="5">
        <v>1</v>
      </c>
      <c r="B89" s="5" t="s">
        <v>3257</v>
      </c>
      <c r="C89" s="5" t="s">
        <v>1502</v>
      </c>
      <c r="D89" s="5" t="s">
        <v>1503</v>
      </c>
      <c r="E89" s="5" t="s">
        <v>60</v>
      </c>
      <c r="F89" s="5" t="s">
        <v>3193</v>
      </c>
      <c r="G89" s="5" t="s">
        <v>3154</v>
      </c>
      <c r="H89" s="5"/>
      <c r="I89" s="5"/>
    </row>
    <row r="90" spans="1:9" x14ac:dyDescent="0.2">
      <c r="A90" s="5">
        <v>1</v>
      </c>
      <c r="B90" s="5" t="s">
        <v>3257</v>
      </c>
      <c r="C90" s="5" t="s">
        <v>1502</v>
      </c>
      <c r="D90" s="5" t="s">
        <v>1503</v>
      </c>
      <c r="E90" s="5" t="s">
        <v>60</v>
      </c>
      <c r="F90" s="5" t="s">
        <v>3191</v>
      </c>
      <c r="G90" s="5" t="s">
        <v>3154</v>
      </c>
      <c r="H90" s="5"/>
      <c r="I90" s="5"/>
    </row>
    <row r="91" spans="1:9" x14ac:dyDescent="0.2">
      <c r="A91" s="5">
        <v>1</v>
      </c>
      <c r="B91" s="5" t="s">
        <v>3257</v>
      </c>
      <c r="C91" s="5" t="s">
        <v>1502</v>
      </c>
      <c r="D91" s="5" t="s">
        <v>1503</v>
      </c>
      <c r="E91" s="5" t="s">
        <v>60</v>
      </c>
      <c r="F91" s="5" t="s">
        <v>2984</v>
      </c>
      <c r="G91" s="5" t="s">
        <v>3154</v>
      </c>
      <c r="H91" s="5"/>
      <c r="I91" s="5"/>
    </row>
    <row r="92" spans="1:9" x14ac:dyDescent="0.2">
      <c r="A92" s="5">
        <v>1</v>
      </c>
      <c r="B92" s="5" t="s">
        <v>3257</v>
      </c>
      <c r="C92" s="5" t="s">
        <v>1502</v>
      </c>
      <c r="D92" s="5" t="s">
        <v>1503</v>
      </c>
      <c r="E92" s="5" t="s">
        <v>60</v>
      </c>
      <c r="F92" s="5" t="s">
        <v>3192</v>
      </c>
      <c r="G92" s="5" t="s">
        <v>3154</v>
      </c>
      <c r="H92" s="5"/>
      <c r="I92" s="5"/>
    </row>
    <row r="93" spans="1:9" x14ac:dyDescent="0.2">
      <c r="A93" s="5">
        <v>1</v>
      </c>
      <c r="B93" s="5" t="s">
        <v>3257</v>
      </c>
      <c r="C93" s="5" t="s">
        <v>1502</v>
      </c>
      <c r="D93" s="5" t="s">
        <v>1503</v>
      </c>
      <c r="E93" s="5" t="s">
        <v>60</v>
      </c>
      <c r="F93" s="5" t="s">
        <v>3124</v>
      </c>
      <c r="G93" s="5" t="s">
        <v>3154</v>
      </c>
      <c r="H93" s="5"/>
      <c r="I93" s="5"/>
    </row>
    <row r="94" spans="1:9" x14ac:dyDescent="0.2">
      <c r="A94" s="5">
        <v>1</v>
      </c>
      <c r="B94" s="5" t="s">
        <v>3257</v>
      </c>
      <c r="C94" s="5" t="s">
        <v>1502</v>
      </c>
      <c r="D94" s="5" t="s">
        <v>1503</v>
      </c>
      <c r="E94" s="5" t="s">
        <v>60</v>
      </c>
      <c r="F94" s="5" t="s">
        <v>3194</v>
      </c>
      <c r="G94" s="5" t="s">
        <v>3154</v>
      </c>
      <c r="H94" s="5"/>
      <c r="I94" s="5"/>
    </row>
    <row r="95" spans="1:9" x14ac:dyDescent="0.2">
      <c r="A95" s="5">
        <v>1</v>
      </c>
      <c r="B95" s="5" t="s">
        <v>3257</v>
      </c>
      <c r="C95" s="5" t="s">
        <v>1502</v>
      </c>
      <c r="D95" s="5" t="s">
        <v>1503</v>
      </c>
      <c r="E95" s="5" t="s">
        <v>60</v>
      </c>
      <c r="F95" s="5" t="s">
        <v>3123</v>
      </c>
      <c r="G95" s="5" t="s">
        <v>3155</v>
      </c>
      <c r="H95" s="5"/>
      <c r="I95" s="5"/>
    </row>
    <row r="96" spans="1:9" x14ac:dyDescent="0.2">
      <c r="A96" s="5">
        <v>1</v>
      </c>
      <c r="B96" s="5" t="s">
        <v>3257</v>
      </c>
      <c r="C96" s="5" t="s">
        <v>1502</v>
      </c>
      <c r="D96" s="5" t="s">
        <v>1503</v>
      </c>
      <c r="E96" s="5" t="s">
        <v>60</v>
      </c>
      <c r="F96" s="5" t="s">
        <v>3193</v>
      </c>
      <c r="G96" s="5" t="s">
        <v>3155</v>
      </c>
      <c r="H96" s="5"/>
      <c r="I96" s="5"/>
    </row>
    <row r="97" spans="1:9" x14ac:dyDescent="0.2">
      <c r="A97" s="5">
        <v>1</v>
      </c>
      <c r="B97" s="5" t="s">
        <v>3257</v>
      </c>
      <c r="C97" s="5" t="s">
        <v>1502</v>
      </c>
      <c r="D97" s="5" t="s">
        <v>1503</v>
      </c>
      <c r="E97" s="5" t="s">
        <v>60</v>
      </c>
      <c r="F97" s="5" t="s">
        <v>3191</v>
      </c>
      <c r="G97" s="5" t="s">
        <v>3155</v>
      </c>
      <c r="H97" s="5"/>
      <c r="I97" s="5"/>
    </row>
    <row r="98" spans="1:9" x14ac:dyDescent="0.2">
      <c r="A98" s="5">
        <v>1</v>
      </c>
      <c r="B98" s="5" t="s">
        <v>3257</v>
      </c>
      <c r="C98" s="5" t="s">
        <v>1502</v>
      </c>
      <c r="D98" s="5" t="s">
        <v>1503</v>
      </c>
      <c r="E98" s="5" t="s">
        <v>60</v>
      </c>
      <c r="F98" s="5" t="s">
        <v>2984</v>
      </c>
      <c r="G98" s="5" t="s">
        <v>3155</v>
      </c>
      <c r="H98" s="5"/>
      <c r="I98" s="5"/>
    </row>
    <row r="99" spans="1:9" x14ac:dyDescent="0.2">
      <c r="A99" s="5">
        <v>1</v>
      </c>
      <c r="B99" s="5" t="s">
        <v>3257</v>
      </c>
      <c r="C99" s="5" t="s">
        <v>1502</v>
      </c>
      <c r="D99" s="5" t="s">
        <v>1503</v>
      </c>
      <c r="E99" s="5" t="s">
        <v>60</v>
      </c>
      <c r="F99" s="5" t="s">
        <v>3192</v>
      </c>
      <c r="G99" s="5" t="s">
        <v>3155</v>
      </c>
      <c r="H99" s="5"/>
      <c r="I99" s="5"/>
    </row>
    <row r="100" spans="1:9" x14ac:dyDescent="0.2">
      <c r="A100" s="5">
        <v>1</v>
      </c>
      <c r="B100" s="5" t="s">
        <v>3257</v>
      </c>
      <c r="C100" s="5" t="s">
        <v>1502</v>
      </c>
      <c r="D100" s="5" t="s">
        <v>1503</v>
      </c>
      <c r="E100" s="5" t="s">
        <v>60</v>
      </c>
      <c r="F100" s="5" t="s">
        <v>3124</v>
      </c>
      <c r="G100" s="5" t="s">
        <v>3155</v>
      </c>
      <c r="H100" s="5"/>
      <c r="I100" s="5"/>
    </row>
    <row r="101" spans="1:9" x14ac:dyDescent="0.2">
      <c r="A101" s="5">
        <v>1</v>
      </c>
      <c r="B101" s="5" t="s">
        <v>3257</v>
      </c>
      <c r="C101" s="5" t="s">
        <v>1502</v>
      </c>
      <c r="D101" s="5" t="s">
        <v>1503</v>
      </c>
      <c r="E101" s="5" t="s">
        <v>60</v>
      </c>
      <c r="F101" s="5" t="s">
        <v>3194</v>
      </c>
      <c r="G101" s="5" t="s">
        <v>3155</v>
      </c>
      <c r="H101" s="5"/>
      <c r="I101" s="5"/>
    </row>
    <row r="102" spans="1:9" x14ac:dyDescent="0.2">
      <c r="A102" s="5">
        <v>1</v>
      </c>
      <c r="B102" s="5" t="s">
        <v>3257</v>
      </c>
      <c r="C102" s="5" t="s">
        <v>1502</v>
      </c>
      <c r="D102" s="5" t="s">
        <v>1503</v>
      </c>
      <c r="E102" s="5" t="s">
        <v>60</v>
      </c>
      <c r="F102" s="5" t="s">
        <v>3123</v>
      </c>
      <c r="G102" s="5" t="s">
        <v>3156</v>
      </c>
      <c r="H102" s="5"/>
      <c r="I102" s="5"/>
    </row>
    <row r="103" spans="1:9" x14ac:dyDescent="0.2">
      <c r="A103" s="5">
        <v>1</v>
      </c>
      <c r="B103" s="5" t="s">
        <v>3257</v>
      </c>
      <c r="C103" s="5" t="s">
        <v>1502</v>
      </c>
      <c r="D103" s="5" t="s">
        <v>1503</v>
      </c>
      <c r="E103" s="5" t="s">
        <v>60</v>
      </c>
      <c r="F103" s="5" t="s">
        <v>3193</v>
      </c>
      <c r="G103" s="5" t="s">
        <v>3156</v>
      </c>
      <c r="H103" s="5"/>
      <c r="I103" s="5"/>
    </row>
    <row r="104" spans="1:9" x14ac:dyDescent="0.2">
      <c r="A104" s="5">
        <v>1</v>
      </c>
      <c r="B104" s="5" t="s">
        <v>3257</v>
      </c>
      <c r="C104" s="5" t="s">
        <v>1502</v>
      </c>
      <c r="D104" s="5" t="s">
        <v>1503</v>
      </c>
      <c r="E104" s="5" t="s">
        <v>60</v>
      </c>
      <c r="F104" s="5" t="s">
        <v>3191</v>
      </c>
      <c r="G104" s="5" t="s">
        <v>3156</v>
      </c>
      <c r="H104" s="5"/>
      <c r="I104" s="5"/>
    </row>
    <row r="105" spans="1:9" x14ac:dyDescent="0.2">
      <c r="A105" s="5">
        <v>1</v>
      </c>
      <c r="B105" s="5" t="s">
        <v>3257</v>
      </c>
      <c r="C105" s="5" t="s">
        <v>1502</v>
      </c>
      <c r="D105" s="5" t="s">
        <v>1503</v>
      </c>
      <c r="E105" s="5" t="s">
        <v>60</v>
      </c>
      <c r="F105" s="5" t="s">
        <v>2984</v>
      </c>
      <c r="G105" s="5" t="s">
        <v>3156</v>
      </c>
      <c r="H105" s="5"/>
      <c r="I105" s="5"/>
    </row>
    <row r="106" spans="1:9" x14ac:dyDescent="0.2">
      <c r="A106" s="5">
        <v>1</v>
      </c>
      <c r="B106" s="5" t="s">
        <v>3257</v>
      </c>
      <c r="C106" s="5" t="s">
        <v>1502</v>
      </c>
      <c r="D106" s="5" t="s">
        <v>1503</v>
      </c>
      <c r="E106" s="5" t="s">
        <v>60</v>
      </c>
      <c r="F106" s="5" t="s">
        <v>3192</v>
      </c>
      <c r="G106" s="5" t="s">
        <v>3156</v>
      </c>
      <c r="H106" s="5"/>
      <c r="I106" s="5"/>
    </row>
    <row r="107" spans="1:9" x14ac:dyDescent="0.2">
      <c r="A107" s="5">
        <v>1</v>
      </c>
      <c r="B107" s="5" t="s">
        <v>3257</v>
      </c>
      <c r="C107" s="5" t="s">
        <v>1502</v>
      </c>
      <c r="D107" s="5" t="s">
        <v>1503</v>
      </c>
      <c r="E107" s="5" t="s">
        <v>60</v>
      </c>
      <c r="F107" s="5" t="s">
        <v>3124</v>
      </c>
      <c r="G107" s="5" t="s">
        <v>3156</v>
      </c>
      <c r="H107" s="5"/>
      <c r="I107" s="5"/>
    </row>
    <row r="108" spans="1:9" x14ac:dyDescent="0.2">
      <c r="A108" s="5">
        <v>1</v>
      </c>
      <c r="B108" s="5" t="s">
        <v>3257</v>
      </c>
      <c r="C108" s="5" t="s">
        <v>1502</v>
      </c>
      <c r="D108" s="5" t="s">
        <v>1503</v>
      </c>
      <c r="E108" s="5" t="s">
        <v>60</v>
      </c>
      <c r="F108" s="5" t="s">
        <v>3194</v>
      </c>
      <c r="G108" s="5" t="s">
        <v>3156</v>
      </c>
      <c r="H108" s="5"/>
      <c r="I108" s="5"/>
    </row>
    <row r="109" spans="1:9" x14ac:dyDescent="0.2">
      <c r="A109" s="5">
        <v>1</v>
      </c>
      <c r="B109" s="5" t="s">
        <v>3257</v>
      </c>
      <c r="C109" s="5" t="s">
        <v>1502</v>
      </c>
      <c r="D109" s="5" t="s">
        <v>1503</v>
      </c>
      <c r="E109" s="5" t="s">
        <v>60</v>
      </c>
      <c r="F109" s="5" t="s">
        <v>3123</v>
      </c>
      <c r="G109" s="5" t="s">
        <v>3157</v>
      </c>
      <c r="H109" s="5"/>
      <c r="I109" s="5"/>
    </row>
    <row r="110" spans="1:9" x14ac:dyDescent="0.2">
      <c r="A110" s="5">
        <v>1</v>
      </c>
      <c r="B110" s="5" t="s">
        <v>3257</v>
      </c>
      <c r="C110" s="5" t="s">
        <v>1502</v>
      </c>
      <c r="D110" s="5" t="s">
        <v>1503</v>
      </c>
      <c r="E110" s="5" t="s">
        <v>60</v>
      </c>
      <c r="F110" s="5" t="s">
        <v>3193</v>
      </c>
      <c r="G110" s="5" t="s">
        <v>3157</v>
      </c>
      <c r="H110" s="5"/>
      <c r="I110" s="5"/>
    </row>
    <row r="111" spans="1:9" x14ac:dyDescent="0.2">
      <c r="A111" s="5">
        <v>1</v>
      </c>
      <c r="B111" s="5" t="s">
        <v>3257</v>
      </c>
      <c r="C111" s="5" t="s">
        <v>1502</v>
      </c>
      <c r="D111" s="5" t="s">
        <v>1503</v>
      </c>
      <c r="E111" s="5" t="s">
        <v>60</v>
      </c>
      <c r="F111" s="5" t="s">
        <v>3191</v>
      </c>
      <c r="G111" s="5" t="s">
        <v>3157</v>
      </c>
      <c r="H111" s="5"/>
      <c r="I111" s="5"/>
    </row>
    <row r="112" spans="1:9" x14ac:dyDescent="0.2">
      <c r="A112" s="5">
        <v>1</v>
      </c>
      <c r="B112" s="5" t="s">
        <v>3257</v>
      </c>
      <c r="C112" s="5" t="s">
        <v>1502</v>
      </c>
      <c r="D112" s="5" t="s">
        <v>1503</v>
      </c>
      <c r="E112" s="5" t="s">
        <v>60</v>
      </c>
      <c r="F112" s="5" t="s">
        <v>2984</v>
      </c>
      <c r="G112" s="5" t="s">
        <v>3157</v>
      </c>
      <c r="H112" s="5"/>
      <c r="I112" s="5"/>
    </row>
    <row r="113" spans="1:9" x14ac:dyDescent="0.2">
      <c r="A113" s="5">
        <v>1</v>
      </c>
      <c r="B113" s="5" t="s">
        <v>3257</v>
      </c>
      <c r="C113" s="5" t="s">
        <v>1502</v>
      </c>
      <c r="D113" s="5" t="s">
        <v>1503</v>
      </c>
      <c r="E113" s="5" t="s">
        <v>60</v>
      </c>
      <c r="F113" s="5" t="s">
        <v>3192</v>
      </c>
      <c r="G113" s="5" t="s">
        <v>3157</v>
      </c>
      <c r="H113" s="5"/>
      <c r="I113" s="5"/>
    </row>
    <row r="114" spans="1:9" x14ac:dyDescent="0.2">
      <c r="A114" s="5">
        <v>1</v>
      </c>
      <c r="B114" s="5" t="s">
        <v>3257</v>
      </c>
      <c r="C114" s="5" t="s">
        <v>1502</v>
      </c>
      <c r="D114" s="5" t="s">
        <v>1503</v>
      </c>
      <c r="E114" s="5" t="s">
        <v>60</v>
      </c>
      <c r="F114" s="5" t="s">
        <v>3124</v>
      </c>
      <c r="G114" s="5" t="s">
        <v>3157</v>
      </c>
      <c r="H114" s="5"/>
      <c r="I114" s="5"/>
    </row>
    <row r="115" spans="1:9" x14ac:dyDescent="0.2">
      <c r="A115" s="5">
        <v>1</v>
      </c>
      <c r="B115" s="5" t="s">
        <v>3257</v>
      </c>
      <c r="C115" s="5" t="s">
        <v>1502</v>
      </c>
      <c r="D115" s="5" t="s">
        <v>1503</v>
      </c>
      <c r="E115" s="5" t="s">
        <v>60</v>
      </c>
      <c r="F115" s="5" t="s">
        <v>3194</v>
      </c>
      <c r="G115" s="5" t="s">
        <v>3157</v>
      </c>
      <c r="H115" s="5"/>
      <c r="I115" s="5"/>
    </row>
    <row r="116" spans="1:9" x14ac:dyDescent="0.2">
      <c r="A116" s="5">
        <v>1</v>
      </c>
      <c r="B116" s="5" t="s">
        <v>3257</v>
      </c>
      <c r="C116" s="5" t="s">
        <v>1502</v>
      </c>
      <c r="D116" s="5" t="s">
        <v>1503</v>
      </c>
      <c r="E116" s="5" t="s">
        <v>60</v>
      </c>
      <c r="F116" s="5" t="s">
        <v>3123</v>
      </c>
      <c r="G116" s="5" t="s">
        <v>3158</v>
      </c>
      <c r="H116" s="5"/>
      <c r="I116" s="5"/>
    </row>
    <row r="117" spans="1:9" x14ac:dyDescent="0.2">
      <c r="A117" s="5">
        <v>1</v>
      </c>
      <c r="B117" s="5" t="s">
        <v>3257</v>
      </c>
      <c r="C117" s="5" t="s">
        <v>1502</v>
      </c>
      <c r="D117" s="5" t="s">
        <v>1503</v>
      </c>
      <c r="E117" s="5" t="s">
        <v>60</v>
      </c>
      <c r="F117" s="5" t="s">
        <v>3193</v>
      </c>
      <c r="G117" s="5" t="s">
        <v>3158</v>
      </c>
      <c r="H117" s="5"/>
      <c r="I117" s="5"/>
    </row>
    <row r="118" spans="1:9" x14ac:dyDescent="0.2">
      <c r="A118" s="5">
        <v>1</v>
      </c>
      <c r="B118" s="5" t="s">
        <v>3257</v>
      </c>
      <c r="C118" s="5" t="s">
        <v>1502</v>
      </c>
      <c r="D118" s="5" t="s">
        <v>1503</v>
      </c>
      <c r="E118" s="5" t="s">
        <v>60</v>
      </c>
      <c r="F118" s="5" t="s">
        <v>3191</v>
      </c>
      <c r="G118" s="5" t="s">
        <v>3158</v>
      </c>
      <c r="H118" s="5"/>
      <c r="I118" s="5"/>
    </row>
    <row r="119" spans="1:9" x14ac:dyDescent="0.2">
      <c r="A119" s="5">
        <v>1</v>
      </c>
      <c r="B119" s="5" t="s">
        <v>3257</v>
      </c>
      <c r="C119" s="5" t="s">
        <v>1502</v>
      </c>
      <c r="D119" s="5" t="s">
        <v>1503</v>
      </c>
      <c r="E119" s="5" t="s">
        <v>60</v>
      </c>
      <c r="F119" s="5" t="s">
        <v>2984</v>
      </c>
      <c r="G119" s="5" t="s">
        <v>3158</v>
      </c>
      <c r="H119" s="5"/>
      <c r="I119" s="5"/>
    </row>
    <row r="120" spans="1:9" x14ac:dyDescent="0.2">
      <c r="A120" s="5">
        <v>1</v>
      </c>
      <c r="B120" s="5" t="s">
        <v>3257</v>
      </c>
      <c r="C120" s="5" t="s">
        <v>1502</v>
      </c>
      <c r="D120" s="5" t="s">
        <v>1503</v>
      </c>
      <c r="E120" s="5" t="s">
        <v>60</v>
      </c>
      <c r="F120" s="5" t="s">
        <v>3192</v>
      </c>
      <c r="G120" s="5" t="s">
        <v>3158</v>
      </c>
      <c r="H120" s="5"/>
      <c r="I120" s="5"/>
    </row>
    <row r="121" spans="1:9" x14ac:dyDescent="0.2">
      <c r="A121" s="5">
        <v>1</v>
      </c>
      <c r="B121" s="5" t="s">
        <v>3257</v>
      </c>
      <c r="C121" s="5" t="s">
        <v>1502</v>
      </c>
      <c r="D121" s="5" t="s">
        <v>1503</v>
      </c>
      <c r="E121" s="5" t="s">
        <v>60</v>
      </c>
      <c r="F121" s="5" t="s">
        <v>3124</v>
      </c>
      <c r="G121" s="5" t="s">
        <v>3158</v>
      </c>
      <c r="H121" s="5"/>
      <c r="I121" s="5"/>
    </row>
    <row r="122" spans="1:9" x14ac:dyDescent="0.2">
      <c r="A122" s="5">
        <v>1</v>
      </c>
      <c r="B122" s="5" t="s">
        <v>3257</v>
      </c>
      <c r="C122" s="5" t="s">
        <v>1502</v>
      </c>
      <c r="D122" s="5" t="s">
        <v>1503</v>
      </c>
      <c r="E122" s="5" t="s">
        <v>60</v>
      </c>
      <c r="F122" s="5" t="s">
        <v>3194</v>
      </c>
      <c r="G122" s="5" t="s">
        <v>3158</v>
      </c>
      <c r="H122" s="5"/>
      <c r="I122" s="5"/>
    </row>
    <row r="123" spans="1:9" x14ac:dyDescent="0.2">
      <c r="A123" s="5">
        <v>1</v>
      </c>
      <c r="B123" s="5" t="s">
        <v>3257</v>
      </c>
      <c r="C123" s="5" t="s">
        <v>1502</v>
      </c>
      <c r="D123" s="5" t="s">
        <v>1503</v>
      </c>
      <c r="E123" s="5" t="s">
        <v>60</v>
      </c>
      <c r="F123" s="5" t="s">
        <v>3123</v>
      </c>
      <c r="G123" s="5" t="s">
        <v>3159</v>
      </c>
      <c r="H123" s="5"/>
      <c r="I123" s="5"/>
    </row>
    <row r="124" spans="1:9" x14ac:dyDescent="0.2">
      <c r="A124" s="5">
        <v>1</v>
      </c>
      <c r="B124" s="5" t="s">
        <v>3257</v>
      </c>
      <c r="C124" s="5" t="s">
        <v>1502</v>
      </c>
      <c r="D124" s="5" t="s">
        <v>1503</v>
      </c>
      <c r="E124" s="5" t="s">
        <v>60</v>
      </c>
      <c r="F124" s="5" t="s">
        <v>3193</v>
      </c>
      <c r="G124" s="5" t="s">
        <v>3159</v>
      </c>
      <c r="H124" s="5"/>
      <c r="I124" s="5"/>
    </row>
    <row r="125" spans="1:9" x14ac:dyDescent="0.2">
      <c r="A125" s="5">
        <v>1</v>
      </c>
      <c r="B125" s="5" t="s">
        <v>3257</v>
      </c>
      <c r="C125" s="5" t="s">
        <v>1502</v>
      </c>
      <c r="D125" s="5" t="s">
        <v>1503</v>
      </c>
      <c r="E125" s="5" t="s">
        <v>60</v>
      </c>
      <c r="F125" s="5" t="s">
        <v>3191</v>
      </c>
      <c r="G125" s="5" t="s">
        <v>3159</v>
      </c>
      <c r="H125" s="5"/>
      <c r="I125" s="5"/>
    </row>
    <row r="126" spans="1:9" x14ac:dyDescent="0.2">
      <c r="A126" s="5">
        <v>1</v>
      </c>
      <c r="B126" s="5" t="s">
        <v>3257</v>
      </c>
      <c r="C126" s="5" t="s">
        <v>1502</v>
      </c>
      <c r="D126" s="5" t="s">
        <v>1503</v>
      </c>
      <c r="E126" s="5" t="s">
        <v>60</v>
      </c>
      <c r="F126" s="5" t="s">
        <v>2984</v>
      </c>
      <c r="G126" s="5" t="s">
        <v>3159</v>
      </c>
      <c r="H126" s="5"/>
      <c r="I126" s="5"/>
    </row>
    <row r="127" spans="1:9" x14ac:dyDescent="0.2">
      <c r="A127" s="5">
        <v>1</v>
      </c>
      <c r="B127" s="5" t="s">
        <v>3257</v>
      </c>
      <c r="C127" s="5" t="s">
        <v>1502</v>
      </c>
      <c r="D127" s="5" t="s">
        <v>1503</v>
      </c>
      <c r="E127" s="5" t="s">
        <v>60</v>
      </c>
      <c r="F127" s="5" t="s">
        <v>3192</v>
      </c>
      <c r="G127" s="5" t="s">
        <v>3159</v>
      </c>
      <c r="H127" s="5"/>
      <c r="I127" s="5"/>
    </row>
    <row r="128" spans="1:9" x14ac:dyDescent="0.2">
      <c r="A128" s="5">
        <v>1</v>
      </c>
      <c r="B128" s="5" t="s">
        <v>3257</v>
      </c>
      <c r="C128" s="5" t="s">
        <v>1502</v>
      </c>
      <c r="D128" s="5" t="s">
        <v>1503</v>
      </c>
      <c r="E128" s="5" t="s">
        <v>60</v>
      </c>
      <c r="F128" s="5" t="s">
        <v>3124</v>
      </c>
      <c r="G128" s="5" t="s">
        <v>3159</v>
      </c>
      <c r="H128" s="5"/>
      <c r="I128" s="5"/>
    </row>
    <row r="129" spans="1:9" x14ac:dyDescent="0.2">
      <c r="A129" s="5">
        <v>1</v>
      </c>
      <c r="B129" s="5" t="s">
        <v>3257</v>
      </c>
      <c r="C129" s="5" t="s">
        <v>1502</v>
      </c>
      <c r="D129" s="5" t="s">
        <v>1503</v>
      </c>
      <c r="E129" s="5" t="s">
        <v>60</v>
      </c>
      <c r="F129" s="5" t="s">
        <v>3194</v>
      </c>
      <c r="G129" s="5" t="s">
        <v>3159</v>
      </c>
      <c r="H129" s="5"/>
      <c r="I129" s="5"/>
    </row>
    <row r="130" spans="1:9" x14ac:dyDescent="0.2">
      <c r="A130" s="5">
        <v>1</v>
      </c>
      <c r="B130" s="5" t="s">
        <v>3257</v>
      </c>
      <c r="C130" s="5" t="s">
        <v>1502</v>
      </c>
      <c r="D130" s="5" t="s">
        <v>1503</v>
      </c>
      <c r="E130" s="5" t="s">
        <v>60</v>
      </c>
      <c r="F130" s="5" t="s">
        <v>3123</v>
      </c>
      <c r="G130" s="5" t="s">
        <v>3160</v>
      </c>
      <c r="H130" s="5"/>
      <c r="I130" s="5"/>
    </row>
    <row r="131" spans="1:9" x14ac:dyDescent="0.2">
      <c r="A131" s="5">
        <v>1</v>
      </c>
      <c r="B131" s="5" t="s">
        <v>3257</v>
      </c>
      <c r="C131" s="5" t="s">
        <v>1502</v>
      </c>
      <c r="D131" s="5" t="s">
        <v>1503</v>
      </c>
      <c r="E131" s="5" t="s">
        <v>60</v>
      </c>
      <c r="F131" s="5" t="s">
        <v>3193</v>
      </c>
      <c r="G131" s="5" t="s">
        <v>3160</v>
      </c>
      <c r="H131" s="5"/>
      <c r="I131" s="5"/>
    </row>
    <row r="132" spans="1:9" x14ac:dyDescent="0.2">
      <c r="A132" s="5">
        <v>1</v>
      </c>
      <c r="B132" s="5" t="s">
        <v>3257</v>
      </c>
      <c r="C132" s="5" t="s">
        <v>1502</v>
      </c>
      <c r="D132" s="5" t="s">
        <v>1503</v>
      </c>
      <c r="E132" s="5" t="s">
        <v>60</v>
      </c>
      <c r="F132" s="5" t="s">
        <v>3191</v>
      </c>
      <c r="G132" s="5" t="s">
        <v>3160</v>
      </c>
      <c r="H132" s="5"/>
      <c r="I132" s="5"/>
    </row>
    <row r="133" spans="1:9" x14ac:dyDescent="0.2">
      <c r="A133" s="5">
        <v>1</v>
      </c>
      <c r="B133" s="5" t="s">
        <v>3257</v>
      </c>
      <c r="C133" s="5" t="s">
        <v>1502</v>
      </c>
      <c r="D133" s="5" t="s">
        <v>1503</v>
      </c>
      <c r="E133" s="5" t="s">
        <v>60</v>
      </c>
      <c r="F133" s="5" t="s">
        <v>2984</v>
      </c>
      <c r="G133" s="5" t="s">
        <v>3160</v>
      </c>
      <c r="H133" s="5"/>
      <c r="I133" s="5"/>
    </row>
    <row r="134" spans="1:9" x14ac:dyDescent="0.2">
      <c r="A134" s="5">
        <v>1</v>
      </c>
      <c r="B134" s="5" t="s">
        <v>3257</v>
      </c>
      <c r="C134" s="5" t="s">
        <v>1502</v>
      </c>
      <c r="D134" s="5" t="s">
        <v>1503</v>
      </c>
      <c r="E134" s="5" t="s">
        <v>60</v>
      </c>
      <c r="F134" s="5" t="s">
        <v>3192</v>
      </c>
      <c r="G134" s="5" t="s">
        <v>3160</v>
      </c>
      <c r="H134" s="5"/>
      <c r="I134" s="5"/>
    </row>
    <row r="135" spans="1:9" x14ac:dyDescent="0.2">
      <c r="A135" s="5">
        <v>1</v>
      </c>
      <c r="B135" s="5" t="s">
        <v>3257</v>
      </c>
      <c r="C135" s="5" t="s">
        <v>1502</v>
      </c>
      <c r="D135" s="5" t="s">
        <v>1503</v>
      </c>
      <c r="E135" s="5" t="s">
        <v>60</v>
      </c>
      <c r="F135" s="5" t="s">
        <v>3124</v>
      </c>
      <c r="G135" s="5" t="s">
        <v>3160</v>
      </c>
      <c r="H135" s="5"/>
      <c r="I135" s="5"/>
    </row>
    <row r="136" spans="1:9" x14ac:dyDescent="0.2">
      <c r="A136" s="5">
        <v>1</v>
      </c>
      <c r="B136" s="5" t="s">
        <v>3257</v>
      </c>
      <c r="C136" s="5" t="s">
        <v>1502</v>
      </c>
      <c r="D136" s="5" t="s">
        <v>1503</v>
      </c>
      <c r="E136" s="5" t="s">
        <v>60</v>
      </c>
      <c r="F136" s="5" t="s">
        <v>3194</v>
      </c>
      <c r="G136" s="5" t="s">
        <v>3160</v>
      </c>
      <c r="H136" s="5"/>
      <c r="I136" s="5"/>
    </row>
    <row r="137" spans="1:9" x14ac:dyDescent="0.2">
      <c r="A137" s="5">
        <v>1</v>
      </c>
      <c r="B137" s="5" t="s">
        <v>3257</v>
      </c>
      <c r="C137" s="5" t="s">
        <v>1502</v>
      </c>
      <c r="D137" s="5" t="s">
        <v>1503</v>
      </c>
      <c r="E137" s="5" t="s">
        <v>60</v>
      </c>
      <c r="F137" s="5" t="s">
        <v>3123</v>
      </c>
      <c r="G137" s="5" t="s">
        <v>3161</v>
      </c>
      <c r="H137" s="5"/>
      <c r="I137" s="5"/>
    </row>
    <row r="138" spans="1:9" x14ac:dyDescent="0.2">
      <c r="A138" s="5">
        <v>1</v>
      </c>
      <c r="B138" s="5" t="s">
        <v>3257</v>
      </c>
      <c r="C138" s="5" t="s">
        <v>1502</v>
      </c>
      <c r="D138" s="5" t="s">
        <v>1503</v>
      </c>
      <c r="E138" s="5" t="s">
        <v>60</v>
      </c>
      <c r="F138" s="5" t="s">
        <v>3193</v>
      </c>
      <c r="G138" s="5" t="s">
        <v>3161</v>
      </c>
      <c r="H138" s="5"/>
      <c r="I138" s="5"/>
    </row>
    <row r="139" spans="1:9" x14ac:dyDescent="0.2">
      <c r="A139" s="5">
        <v>1</v>
      </c>
      <c r="B139" s="5" t="s">
        <v>3257</v>
      </c>
      <c r="C139" s="5" t="s">
        <v>1502</v>
      </c>
      <c r="D139" s="5" t="s">
        <v>1503</v>
      </c>
      <c r="E139" s="5" t="s">
        <v>60</v>
      </c>
      <c r="F139" s="5" t="s">
        <v>3191</v>
      </c>
      <c r="G139" s="5" t="s">
        <v>3161</v>
      </c>
      <c r="H139" s="5"/>
      <c r="I139" s="5"/>
    </row>
    <row r="140" spans="1:9" x14ac:dyDescent="0.2">
      <c r="A140" s="5">
        <v>1</v>
      </c>
      <c r="B140" s="5" t="s">
        <v>3257</v>
      </c>
      <c r="C140" s="5" t="s">
        <v>1502</v>
      </c>
      <c r="D140" s="5" t="s">
        <v>1503</v>
      </c>
      <c r="E140" s="5" t="s">
        <v>60</v>
      </c>
      <c r="F140" s="5" t="s">
        <v>2984</v>
      </c>
      <c r="G140" s="5" t="s">
        <v>3161</v>
      </c>
      <c r="H140" s="5"/>
      <c r="I140" s="5"/>
    </row>
    <row r="141" spans="1:9" x14ac:dyDescent="0.2">
      <c r="A141" s="5">
        <v>1</v>
      </c>
      <c r="B141" s="5" t="s">
        <v>3257</v>
      </c>
      <c r="C141" s="5" t="s">
        <v>1502</v>
      </c>
      <c r="D141" s="5" t="s">
        <v>1503</v>
      </c>
      <c r="E141" s="5" t="s">
        <v>60</v>
      </c>
      <c r="F141" s="5" t="s">
        <v>3192</v>
      </c>
      <c r="G141" s="5" t="s">
        <v>3161</v>
      </c>
      <c r="H141" s="5"/>
      <c r="I141" s="5"/>
    </row>
    <row r="142" spans="1:9" x14ac:dyDescent="0.2">
      <c r="A142" s="5">
        <v>1</v>
      </c>
      <c r="B142" s="5" t="s">
        <v>3257</v>
      </c>
      <c r="C142" s="5" t="s">
        <v>1502</v>
      </c>
      <c r="D142" s="5" t="s">
        <v>1503</v>
      </c>
      <c r="E142" s="5" t="s">
        <v>60</v>
      </c>
      <c r="F142" s="5" t="s">
        <v>3124</v>
      </c>
      <c r="G142" s="5" t="s">
        <v>3161</v>
      </c>
      <c r="H142" s="5"/>
      <c r="I142" s="5"/>
    </row>
    <row r="143" spans="1:9" x14ac:dyDescent="0.2">
      <c r="A143" s="5">
        <v>1</v>
      </c>
      <c r="B143" s="5" t="s">
        <v>3257</v>
      </c>
      <c r="C143" s="5" t="s">
        <v>1502</v>
      </c>
      <c r="D143" s="5" t="s">
        <v>1503</v>
      </c>
      <c r="E143" s="5" t="s">
        <v>60</v>
      </c>
      <c r="F143" s="5" t="s">
        <v>3194</v>
      </c>
      <c r="G143" s="5" t="s">
        <v>3161</v>
      </c>
      <c r="H143" s="5"/>
      <c r="I143" s="5"/>
    </row>
    <row r="144" spans="1:9" x14ac:dyDescent="0.2">
      <c r="A144" s="5">
        <v>1</v>
      </c>
      <c r="B144" s="5" t="s">
        <v>3255</v>
      </c>
      <c r="C144" s="5" t="s">
        <v>1839</v>
      </c>
      <c r="D144" s="5" t="s">
        <v>1840</v>
      </c>
      <c r="E144" s="5" t="s">
        <v>60</v>
      </c>
      <c r="F144" s="5" t="s">
        <v>3162</v>
      </c>
      <c r="G144" s="5" t="s">
        <v>3198</v>
      </c>
      <c r="H144" s="5" t="s">
        <v>3197</v>
      </c>
      <c r="I144" s="5"/>
    </row>
    <row r="145" spans="1:9" x14ac:dyDescent="0.2">
      <c r="A145" s="5">
        <v>1</v>
      </c>
      <c r="B145" s="5" t="s">
        <v>3255</v>
      </c>
      <c r="C145" s="5" t="s">
        <v>1839</v>
      </c>
      <c r="D145" s="5" t="s">
        <v>1840</v>
      </c>
      <c r="E145" s="5" t="s">
        <v>60</v>
      </c>
      <c r="F145" s="5" t="s">
        <v>3199</v>
      </c>
      <c r="G145" s="5" t="s">
        <v>3964</v>
      </c>
      <c r="H145" s="5" t="s">
        <v>3965</v>
      </c>
      <c r="I145" s="5"/>
    </row>
    <row r="146" spans="1:9" x14ac:dyDescent="0.2">
      <c r="A146" s="5">
        <v>1</v>
      </c>
      <c r="B146" s="5" t="s">
        <v>3257</v>
      </c>
      <c r="C146" s="5" t="s">
        <v>1839</v>
      </c>
      <c r="D146" s="5" t="s">
        <v>1840</v>
      </c>
      <c r="E146" s="5" t="s">
        <v>60</v>
      </c>
      <c r="F146" s="5" t="s">
        <v>3200</v>
      </c>
      <c r="G146" s="5" t="s">
        <v>3966</v>
      </c>
      <c r="H146" s="5" t="s">
        <v>3967</v>
      </c>
      <c r="I146" s="5"/>
    </row>
    <row r="147" spans="1:9" x14ac:dyDescent="0.2">
      <c r="A147" s="5">
        <v>1</v>
      </c>
      <c r="B147" s="5" t="s">
        <v>3258</v>
      </c>
      <c r="C147" s="5" t="s">
        <v>1839</v>
      </c>
      <c r="D147" s="5" t="s">
        <v>1840</v>
      </c>
      <c r="E147" s="5" t="s">
        <v>60</v>
      </c>
      <c r="F147" s="5" t="s">
        <v>3123</v>
      </c>
      <c r="G147" s="5" t="s">
        <v>3196</v>
      </c>
      <c r="H147" s="5"/>
      <c r="I147" s="5"/>
    </row>
    <row r="148" spans="1:9" x14ac:dyDescent="0.2">
      <c r="A148" s="5">
        <v>1</v>
      </c>
      <c r="B148" s="5" t="s">
        <v>3255</v>
      </c>
      <c r="C148" s="5" t="s">
        <v>2289</v>
      </c>
      <c r="D148" s="5" t="s">
        <v>2290</v>
      </c>
      <c r="E148" s="5" t="s">
        <v>60</v>
      </c>
      <c r="F148" s="5" t="s">
        <v>3165</v>
      </c>
      <c r="G148" s="5" t="s">
        <v>3205</v>
      </c>
      <c r="H148" s="5" t="s">
        <v>3203</v>
      </c>
      <c r="I148" s="5"/>
    </row>
    <row r="149" spans="1:9" x14ac:dyDescent="0.2">
      <c r="A149" s="5">
        <v>1</v>
      </c>
      <c r="B149" s="5" t="s">
        <v>3257</v>
      </c>
      <c r="C149" s="5" t="s">
        <v>2289</v>
      </c>
      <c r="D149" s="5" t="s">
        <v>2290</v>
      </c>
      <c r="E149" s="5" t="s">
        <v>60</v>
      </c>
      <c r="F149" s="5" t="s">
        <v>3088</v>
      </c>
      <c r="G149" s="5"/>
      <c r="H149" s="5" t="s">
        <v>3223</v>
      </c>
      <c r="I149" s="5"/>
    </row>
    <row r="150" spans="1:9" x14ac:dyDescent="0.2">
      <c r="A150" s="5">
        <v>1</v>
      </c>
      <c r="B150" s="5" t="s">
        <v>3259</v>
      </c>
      <c r="C150" s="5" t="s">
        <v>2289</v>
      </c>
      <c r="D150" s="5" t="s">
        <v>2290</v>
      </c>
      <c r="E150" s="5" t="s">
        <v>60</v>
      </c>
      <c r="F150" s="5" t="s">
        <v>2984</v>
      </c>
      <c r="G150" s="5" t="s">
        <v>3204</v>
      </c>
      <c r="H150" s="5"/>
      <c r="I150" s="5"/>
    </row>
    <row r="151" spans="1:9" x14ac:dyDescent="0.2">
      <c r="A151" s="5">
        <v>1</v>
      </c>
      <c r="B151" s="5" t="s">
        <v>3255</v>
      </c>
      <c r="C151" s="5" t="s">
        <v>2301</v>
      </c>
      <c r="D151" s="5" t="s">
        <v>2302</v>
      </c>
      <c r="E151" s="5" t="s">
        <v>60</v>
      </c>
      <c r="F151" s="5" t="s">
        <v>3165</v>
      </c>
      <c r="G151" s="5" t="s">
        <v>3208</v>
      </c>
      <c r="H151" s="5" t="s">
        <v>3014</v>
      </c>
      <c r="I151" s="5"/>
    </row>
    <row r="152" spans="1:9" x14ac:dyDescent="0.2">
      <c r="A152" s="5">
        <v>1</v>
      </c>
      <c r="B152" s="5" t="s">
        <v>3260</v>
      </c>
      <c r="C152" s="5" t="s">
        <v>2301</v>
      </c>
      <c r="D152" s="5" t="s">
        <v>2302</v>
      </c>
      <c r="E152" s="5" t="s">
        <v>60</v>
      </c>
      <c r="F152" s="5" t="s">
        <v>3088</v>
      </c>
      <c r="G152" s="5"/>
      <c r="H152" s="5" t="s">
        <v>3223</v>
      </c>
      <c r="I152" s="5"/>
    </row>
    <row r="153" spans="1:9" x14ac:dyDescent="0.2">
      <c r="A153" s="5">
        <v>1</v>
      </c>
      <c r="B153" s="5" t="s">
        <v>3260</v>
      </c>
      <c r="C153" s="5" t="s">
        <v>2301</v>
      </c>
      <c r="D153" s="5" t="s">
        <v>2302</v>
      </c>
      <c r="E153" s="5" t="s">
        <v>60</v>
      </c>
      <c r="F153" s="5" t="s">
        <v>3202</v>
      </c>
      <c r="G153" s="5" t="s">
        <v>3209</v>
      </c>
      <c r="H153" s="5" t="s">
        <v>3207</v>
      </c>
      <c r="I153" s="5"/>
    </row>
    <row r="154" spans="1:9" x14ac:dyDescent="0.2">
      <c r="A154" s="5">
        <v>1</v>
      </c>
      <c r="B154" s="5" t="s">
        <v>3260</v>
      </c>
      <c r="C154" s="5" t="s">
        <v>2301</v>
      </c>
      <c r="D154" s="5" t="s">
        <v>2302</v>
      </c>
      <c r="E154" s="5" t="s">
        <v>60</v>
      </c>
      <c r="F154" s="5" t="s">
        <v>3210</v>
      </c>
      <c r="G154" s="5" t="s">
        <v>3211</v>
      </c>
      <c r="H154" s="5" t="s">
        <v>3206</v>
      </c>
      <c r="I154" s="5"/>
    </row>
    <row r="155" spans="1:9" x14ac:dyDescent="0.2">
      <c r="A155" s="5">
        <v>1</v>
      </c>
      <c r="B155" s="5" t="s">
        <v>3257</v>
      </c>
      <c r="C155" s="5" t="s">
        <v>2301</v>
      </c>
      <c r="D155" s="5" t="s">
        <v>2302</v>
      </c>
      <c r="E155" s="5" t="s">
        <v>60</v>
      </c>
      <c r="F155" s="5" t="s">
        <v>3117</v>
      </c>
      <c r="G155" s="5"/>
      <c r="H155" s="5" t="s">
        <v>3230</v>
      </c>
      <c r="I155" s="5"/>
    </row>
    <row r="156" spans="1:9" x14ac:dyDescent="0.2">
      <c r="A156" s="5">
        <v>1</v>
      </c>
      <c r="B156" s="5" t="s">
        <v>3257</v>
      </c>
      <c r="C156" s="5" t="s">
        <v>2487</v>
      </c>
      <c r="D156" s="5" t="s">
        <v>2488</v>
      </c>
      <c r="E156" s="5" t="s">
        <v>60</v>
      </c>
      <c r="F156" s="5" t="s">
        <v>3088</v>
      </c>
      <c r="G156" s="5"/>
      <c r="H156" s="5" t="s">
        <v>3223</v>
      </c>
      <c r="I156" s="5"/>
    </row>
    <row r="157" spans="1:9" x14ac:dyDescent="0.2">
      <c r="A157" s="5">
        <v>1</v>
      </c>
      <c r="B157" s="5" t="s">
        <v>3257</v>
      </c>
      <c r="C157" s="5" t="s">
        <v>2487</v>
      </c>
      <c r="D157" s="5" t="s">
        <v>2488</v>
      </c>
      <c r="E157" s="5" t="s">
        <v>60</v>
      </c>
      <c r="F157" s="5" t="s">
        <v>3117</v>
      </c>
      <c r="G157" s="5"/>
      <c r="H157" s="5" t="s">
        <v>3230</v>
      </c>
      <c r="I157" s="5"/>
    </row>
    <row r="158" spans="1:9" x14ac:dyDescent="0.2">
      <c r="A158" s="5">
        <v>1</v>
      </c>
      <c r="B158" s="5" t="s">
        <v>3261</v>
      </c>
      <c r="C158" s="5" t="s">
        <v>2769</v>
      </c>
      <c r="D158" s="5" t="s">
        <v>2770</v>
      </c>
      <c r="E158" s="5" t="s">
        <v>1968</v>
      </c>
      <c r="F158" s="5" t="s">
        <v>3201</v>
      </c>
      <c r="G158" s="5"/>
      <c r="H158" s="5" t="s">
        <v>3327</v>
      </c>
      <c r="I158" s="5"/>
    </row>
    <row r="159" spans="1:9" x14ac:dyDescent="0.2">
      <c r="A159" s="5">
        <v>1</v>
      </c>
      <c r="B159" s="5" t="s">
        <v>3261</v>
      </c>
      <c r="C159" s="5" t="s">
        <v>2769</v>
      </c>
      <c r="D159" s="5" t="s">
        <v>2770</v>
      </c>
      <c r="E159" s="5" t="s">
        <v>1968</v>
      </c>
      <c r="F159" s="5" t="s">
        <v>3195</v>
      </c>
      <c r="G159" s="5"/>
      <c r="H159" s="5" t="s">
        <v>3289</v>
      </c>
      <c r="I159" s="5"/>
    </row>
    <row r="160" spans="1:9" x14ac:dyDescent="0.2">
      <c r="A160" s="5">
        <v>1</v>
      </c>
      <c r="B160" s="5" t="s">
        <v>3261</v>
      </c>
      <c r="C160" s="5" t="s">
        <v>2769</v>
      </c>
      <c r="D160" s="5" t="s">
        <v>2770</v>
      </c>
      <c r="E160" s="5" t="s">
        <v>1968</v>
      </c>
      <c r="F160" s="5" t="s">
        <v>3114</v>
      </c>
      <c r="G160" s="5"/>
      <c r="H160" s="5" t="s">
        <v>3237</v>
      </c>
      <c r="I160" s="5"/>
    </row>
    <row r="161" spans="1:9" x14ac:dyDescent="0.2">
      <c r="A161" s="5">
        <v>1</v>
      </c>
      <c r="B161" s="5" t="s">
        <v>3261</v>
      </c>
      <c r="C161" s="5" t="s">
        <v>2769</v>
      </c>
      <c r="D161" s="5" t="s">
        <v>2770</v>
      </c>
      <c r="E161" s="5" t="s">
        <v>1968</v>
      </c>
      <c r="F161" s="5" t="s">
        <v>3127</v>
      </c>
      <c r="G161" s="5"/>
      <c r="H161" s="5" t="s">
        <v>3244</v>
      </c>
      <c r="I161" s="5"/>
    </row>
    <row r="162" spans="1:9" x14ac:dyDescent="0.2">
      <c r="A162" s="5">
        <v>1</v>
      </c>
      <c r="B162" s="5" t="s">
        <v>3261</v>
      </c>
      <c r="C162" s="5" t="s">
        <v>2769</v>
      </c>
      <c r="D162" s="5" t="s">
        <v>2770</v>
      </c>
      <c r="E162" s="5" t="s">
        <v>1968</v>
      </c>
      <c r="F162" s="5" t="s">
        <v>3115</v>
      </c>
      <c r="G162" s="5"/>
      <c r="H162" s="5" t="s">
        <v>3238</v>
      </c>
      <c r="I162" s="5"/>
    </row>
    <row r="163" spans="1:9" x14ac:dyDescent="0.2">
      <c r="A163" s="5">
        <v>1</v>
      </c>
      <c r="B163" s="5" t="s">
        <v>3261</v>
      </c>
      <c r="C163" s="5" t="s">
        <v>2769</v>
      </c>
      <c r="D163" s="5" t="s">
        <v>2770</v>
      </c>
      <c r="E163" s="5" t="s">
        <v>1968</v>
      </c>
      <c r="F163" s="5" t="s">
        <v>3088</v>
      </c>
      <c r="G163" s="5"/>
      <c r="H163" s="5" t="s">
        <v>3223</v>
      </c>
      <c r="I163" s="5"/>
    </row>
    <row r="164" spans="1:9" x14ac:dyDescent="0.2">
      <c r="A164" s="5">
        <v>1</v>
      </c>
      <c r="B164" s="5" t="s">
        <v>3261</v>
      </c>
      <c r="C164" s="5" t="s">
        <v>2769</v>
      </c>
      <c r="D164" s="5" t="s">
        <v>2770</v>
      </c>
      <c r="E164" s="5" t="s">
        <v>1968</v>
      </c>
      <c r="F164" s="5" t="s">
        <v>3128</v>
      </c>
      <c r="G164" s="5"/>
      <c r="H164" s="5" t="s">
        <v>3226</v>
      </c>
      <c r="I164" s="5"/>
    </row>
    <row r="165" spans="1:9" x14ac:dyDescent="0.2">
      <c r="A165" s="5">
        <v>1</v>
      </c>
      <c r="B165" s="5" t="s">
        <v>3261</v>
      </c>
      <c r="C165" s="5" t="s">
        <v>2769</v>
      </c>
      <c r="D165" s="5" t="s">
        <v>2770</v>
      </c>
      <c r="E165" s="5" t="s">
        <v>1968</v>
      </c>
      <c r="F165" s="5" t="s">
        <v>3117</v>
      </c>
      <c r="G165" s="5"/>
      <c r="H165" s="5" t="s">
        <v>3230</v>
      </c>
      <c r="I165" s="5"/>
    </row>
    <row r="166" spans="1:9" x14ac:dyDescent="0.2">
      <c r="A166" s="5">
        <v>1</v>
      </c>
      <c r="B166" s="5" t="s">
        <v>3261</v>
      </c>
      <c r="C166" s="5" t="s">
        <v>2769</v>
      </c>
      <c r="D166" s="5" t="s">
        <v>2770</v>
      </c>
      <c r="E166" s="5" t="s">
        <v>1968</v>
      </c>
      <c r="F166" s="5" t="s">
        <v>3089</v>
      </c>
      <c r="G166" s="5"/>
      <c r="H166" s="5" t="s">
        <v>3224</v>
      </c>
      <c r="I166" s="5"/>
    </row>
    <row r="167" spans="1:9" x14ac:dyDescent="0.2">
      <c r="A167" s="5">
        <v>1</v>
      </c>
      <c r="B167" s="5" t="s">
        <v>3261</v>
      </c>
      <c r="C167" s="5" t="s">
        <v>2769</v>
      </c>
      <c r="D167" s="5" t="s">
        <v>2770</v>
      </c>
      <c r="E167" s="5" t="s">
        <v>1968</v>
      </c>
      <c r="F167" s="5" t="s">
        <v>3118</v>
      </c>
      <c r="G167" s="5"/>
      <c r="H167" s="5" t="s">
        <v>3239</v>
      </c>
      <c r="I167" s="5"/>
    </row>
    <row r="168" spans="1:9" x14ac:dyDescent="0.2">
      <c r="A168" s="5">
        <v>1</v>
      </c>
      <c r="B168" s="5" t="s">
        <v>3261</v>
      </c>
      <c r="C168" s="5" t="s">
        <v>2769</v>
      </c>
      <c r="D168" s="5" t="s">
        <v>2770</v>
      </c>
      <c r="E168" s="5" t="s">
        <v>1968</v>
      </c>
      <c r="F168" s="5" t="s">
        <v>3119</v>
      </c>
      <c r="G168" s="5"/>
      <c r="H168" s="5" t="s">
        <v>3231</v>
      </c>
      <c r="I168" s="5"/>
    </row>
    <row r="169" spans="1:9" x14ac:dyDescent="0.2">
      <c r="A169" s="5">
        <v>1</v>
      </c>
      <c r="B169" s="5" t="s">
        <v>3261</v>
      </c>
      <c r="C169" s="5" t="s">
        <v>2769</v>
      </c>
      <c r="D169" s="5" t="s">
        <v>2770</v>
      </c>
      <c r="E169" s="5" t="s">
        <v>1968</v>
      </c>
      <c r="F169" s="5" t="s">
        <v>3167</v>
      </c>
      <c r="G169" s="5"/>
      <c r="H169" s="5" t="s">
        <v>3273</v>
      </c>
      <c r="I169" s="5"/>
    </row>
    <row r="170" spans="1:9" x14ac:dyDescent="0.2">
      <c r="A170" s="5">
        <v>1</v>
      </c>
      <c r="B170" s="5" t="s">
        <v>3261</v>
      </c>
      <c r="C170" s="5" t="s">
        <v>2769</v>
      </c>
      <c r="D170" s="5" t="s">
        <v>2770</v>
      </c>
      <c r="E170" s="5" t="s">
        <v>1968</v>
      </c>
      <c r="F170" s="5" t="s">
        <v>3090</v>
      </c>
      <c r="G170" s="5"/>
      <c r="H170" s="5" t="s">
        <v>3225</v>
      </c>
      <c r="I170" s="5"/>
    </row>
    <row r="171" spans="1:9" x14ac:dyDescent="0.2">
      <c r="A171" s="5">
        <v>1</v>
      </c>
      <c r="B171" s="5" t="s">
        <v>3261</v>
      </c>
      <c r="C171" s="5" t="s">
        <v>2769</v>
      </c>
      <c r="D171" s="5" t="s">
        <v>2770</v>
      </c>
      <c r="E171" s="5" t="s">
        <v>1968</v>
      </c>
      <c r="F171" s="5" t="s">
        <v>3121</v>
      </c>
      <c r="G171" s="5"/>
      <c r="H171" s="5" t="s">
        <v>3240</v>
      </c>
      <c r="I171" s="5"/>
    </row>
    <row r="172" spans="1:9" x14ac:dyDescent="0.2">
      <c r="A172" s="5">
        <v>1</v>
      </c>
      <c r="B172" s="5" t="s">
        <v>3460</v>
      </c>
      <c r="C172" s="5" t="s">
        <v>1502</v>
      </c>
      <c r="D172" s="5" t="s">
        <v>1503</v>
      </c>
      <c r="E172" s="5" t="s">
        <v>60</v>
      </c>
      <c r="F172" s="5" t="s">
        <v>3276</v>
      </c>
      <c r="G172" s="5" t="s">
        <v>3968</v>
      </c>
      <c r="H172" s="5" t="s">
        <v>3969</v>
      </c>
      <c r="I172" s="5"/>
    </row>
    <row r="173" spans="1:9" x14ac:dyDescent="0.2">
      <c r="A173" s="5">
        <v>1</v>
      </c>
      <c r="B173" s="5" t="s">
        <v>3461</v>
      </c>
      <c r="C173" s="5" t="s">
        <v>2301</v>
      </c>
      <c r="D173" s="5" t="s">
        <v>2302</v>
      </c>
      <c r="E173" s="5" t="s">
        <v>60</v>
      </c>
      <c r="F173" s="5" t="s">
        <v>3228</v>
      </c>
      <c r="G173" s="5"/>
      <c r="H173" s="5" t="s">
        <v>3229</v>
      </c>
      <c r="I173" s="5"/>
    </row>
    <row r="174" spans="1:9" x14ac:dyDescent="0.2">
      <c r="A174" s="5">
        <v>1</v>
      </c>
      <c r="B174" s="5" t="s">
        <v>3462</v>
      </c>
      <c r="C174" s="5" t="s">
        <v>2487</v>
      </c>
      <c r="D174" s="5" t="s">
        <v>2488</v>
      </c>
      <c r="E174" s="5" t="s">
        <v>60</v>
      </c>
      <c r="F174" s="5" t="s">
        <v>3165</v>
      </c>
      <c r="G174" s="5" t="s">
        <v>3391</v>
      </c>
      <c r="H174" s="5" t="s">
        <v>3390</v>
      </c>
      <c r="I174" s="5"/>
    </row>
    <row r="175" spans="1:9" x14ac:dyDescent="0.2">
      <c r="A175" s="5">
        <v>1</v>
      </c>
      <c r="B175" s="5" t="s">
        <v>3461</v>
      </c>
      <c r="C175" s="5" t="s">
        <v>2487</v>
      </c>
      <c r="D175" s="5" t="s">
        <v>2488</v>
      </c>
      <c r="E175" s="5" t="s">
        <v>60</v>
      </c>
      <c r="F175" s="5" t="s">
        <v>3228</v>
      </c>
      <c r="G175" s="5"/>
      <c r="H175" s="5" t="s">
        <v>3229</v>
      </c>
      <c r="I175" s="5"/>
    </row>
    <row r="176" spans="1:9" x14ac:dyDescent="0.2">
      <c r="A176" s="5">
        <v>1</v>
      </c>
      <c r="B176" s="5" t="s">
        <v>3463</v>
      </c>
      <c r="C176" s="5" t="s">
        <v>2603</v>
      </c>
      <c r="D176" s="5" t="s">
        <v>2604</v>
      </c>
      <c r="E176" s="5" t="s">
        <v>60</v>
      </c>
      <c r="F176" s="5" t="s">
        <v>3389</v>
      </c>
      <c r="G176" s="5" t="s">
        <v>3970</v>
      </c>
      <c r="H176" s="5" t="s">
        <v>3971</v>
      </c>
      <c r="I176" s="5"/>
    </row>
    <row r="177" spans="1:9" x14ac:dyDescent="0.2">
      <c r="A177" s="5">
        <v>1</v>
      </c>
      <c r="B177" s="5" t="s">
        <v>3463</v>
      </c>
      <c r="C177" s="5" t="s">
        <v>2603</v>
      </c>
      <c r="D177" s="5" t="s">
        <v>2604</v>
      </c>
      <c r="E177" s="5" t="s">
        <v>60</v>
      </c>
      <c r="F177" s="5" t="s">
        <v>3409</v>
      </c>
      <c r="G177" s="5" t="s">
        <v>3971</v>
      </c>
      <c r="H177" s="5" t="s">
        <v>3972</v>
      </c>
      <c r="I177" s="5"/>
    </row>
    <row r="178" spans="1:9" x14ac:dyDescent="0.2">
      <c r="A178" s="5">
        <v>1</v>
      </c>
      <c r="B178" s="5" t="s">
        <v>3461</v>
      </c>
      <c r="C178" s="5" t="s">
        <v>2603</v>
      </c>
      <c r="D178" s="5" t="s">
        <v>2604</v>
      </c>
      <c r="E178" s="5" t="s">
        <v>60</v>
      </c>
      <c r="F178" s="5" t="s">
        <v>2984</v>
      </c>
      <c r="G178" s="5" t="s">
        <v>3403</v>
      </c>
      <c r="H178" s="5"/>
      <c r="I178" s="5"/>
    </row>
    <row r="179" spans="1:9" x14ac:dyDescent="0.2">
      <c r="A179" s="5">
        <v>1</v>
      </c>
      <c r="B179" s="5" t="s">
        <v>3461</v>
      </c>
      <c r="C179" s="5" t="s">
        <v>2603</v>
      </c>
      <c r="D179" s="5" t="s">
        <v>2604</v>
      </c>
      <c r="E179" s="5" t="s">
        <v>60</v>
      </c>
      <c r="F179" s="5" t="s">
        <v>3123</v>
      </c>
      <c r="G179" s="5" t="s">
        <v>3404</v>
      </c>
      <c r="H179" s="5"/>
      <c r="I179" s="5"/>
    </row>
    <row r="180" spans="1:9" x14ac:dyDescent="0.2">
      <c r="A180" s="5">
        <v>1</v>
      </c>
      <c r="B180" s="5" t="s">
        <v>3461</v>
      </c>
      <c r="C180" s="5" t="s">
        <v>2603</v>
      </c>
      <c r="D180" s="5" t="s">
        <v>2604</v>
      </c>
      <c r="E180" s="5" t="s">
        <v>60</v>
      </c>
      <c r="F180" s="5" t="s">
        <v>3123</v>
      </c>
      <c r="G180" s="5" t="s">
        <v>3405</v>
      </c>
      <c r="H180" s="5"/>
      <c r="I180" s="5"/>
    </row>
    <row r="181" spans="1:9" x14ac:dyDescent="0.2">
      <c r="A181" s="5">
        <v>1</v>
      </c>
      <c r="B181" s="5" t="s">
        <v>3461</v>
      </c>
      <c r="C181" s="5" t="s">
        <v>2603</v>
      </c>
      <c r="D181" s="5" t="s">
        <v>2604</v>
      </c>
      <c r="E181" s="5" t="s">
        <v>60</v>
      </c>
      <c r="F181" s="5" t="s">
        <v>3123</v>
      </c>
      <c r="G181" s="5" t="s">
        <v>3406</v>
      </c>
      <c r="H181" s="5"/>
      <c r="I181" s="5"/>
    </row>
    <row r="182" spans="1:9" x14ac:dyDescent="0.2">
      <c r="A182" s="5">
        <v>1</v>
      </c>
      <c r="B182" s="5" t="s">
        <v>3464</v>
      </c>
      <c r="C182" s="5" t="s">
        <v>2603</v>
      </c>
      <c r="D182" s="5" t="s">
        <v>2604</v>
      </c>
      <c r="E182" s="5" t="s">
        <v>60</v>
      </c>
      <c r="F182" s="5" t="s">
        <v>3321</v>
      </c>
      <c r="G182" s="5"/>
      <c r="H182" s="5"/>
      <c r="I182" s="5"/>
    </row>
    <row r="183" spans="1:9" x14ac:dyDescent="0.2">
      <c r="A183" s="5">
        <v>1</v>
      </c>
      <c r="B183" s="5" t="s">
        <v>3464</v>
      </c>
      <c r="C183" s="5" t="s">
        <v>2603</v>
      </c>
      <c r="D183" s="5" t="s">
        <v>2604</v>
      </c>
      <c r="E183" s="5" t="s">
        <v>60</v>
      </c>
      <c r="F183" s="5" t="s">
        <v>3125</v>
      </c>
      <c r="G183" s="5"/>
      <c r="H183" s="5"/>
      <c r="I183" s="5"/>
    </row>
    <row r="184" spans="1:9" x14ac:dyDescent="0.2">
      <c r="A184" s="5">
        <v>1</v>
      </c>
      <c r="B184" s="5" t="s">
        <v>3465</v>
      </c>
      <c r="C184" s="5" t="s">
        <v>2723</v>
      </c>
      <c r="D184" s="5" t="s">
        <v>2724</v>
      </c>
      <c r="E184" s="5" t="s">
        <v>60</v>
      </c>
      <c r="F184" s="5" t="s">
        <v>3323</v>
      </c>
      <c r="G184" s="5"/>
      <c r="H184" s="5"/>
      <c r="I184" s="5"/>
    </row>
    <row r="185" spans="1:9" x14ac:dyDescent="0.2">
      <c r="A185" s="5">
        <v>1</v>
      </c>
      <c r="B185" s="5" t="s">
        <v>3466</v>
      </c>
      <c r="C185" s="5" t="s">
        <v>3051</v>
      </c>
      <c r="D185" s="5" t="s">
        <v>3052</v>
      </c>
      <c r="E185" s="5" t="s">
        <v>60</v>
      </c>
      <c r="F185" s="5" t="s">
        <v>3088</v>
      </c>
      <c r="G185" s="5"/>
      <c r="H185" s="5" t="s">
        <v>3223</v>
      </c>
      <c r="I185" s="5"/>
    </row>
    <row r="186" spans="1:9" x14ac:dyDescent="0.2">
      <c r="A186" s="5">
        <v>1</v>
      </c>
      <c r="B186" s="5" t="s">
        <v>3466</v>
      </c>
      <c r="C186" s="5" t="s">
        <v>3051</v>
      </c>
      <c r="D186" s="5" t="s">
        <v>3052</v>
      </c>
      <c r="E186" s="5" t="s">
        <v>60</v>
      </c>
      <c r="F186" s="5" t="s">
        <v>3089</v>
      </c>
      <c r="G186" s="5"/>
      <c r="H186" s="5" t="s">
        <v>3224</v>
      </c>
      <c r="I186" s="5"/>
    </row>
    <row r="187" spans="1:9" x14ac:dyDescent="0.2">
      <c r="A187" s="5">
        <v>1</v>
      </c>
      <c r="B187" s="5" t="s">
        <v>3466</v>
      </c>
      <c r="C187" s="5" t="s">
        <v>3051</v>
      </c>
      <c r="D187" s="5" t="s">
        <v>3052</v>
      </c>
      <c r="E187" s="5" t="s">
        <v>60</v>
      </c>
      <c r="F187" s="5" t="s">
        <v>3090</v>
      </c>
      <c r="G187" s="5"/>
      <c r="H187" s="5" t="s">
        <v>3225</v>
      </c>
      <c r="I187" s="5"/>
    </row>
    <row r="188" spans="1:9" x14ac:dyDescent="0.2">
      <c r="A188" s="5">
        <v>1</v>
      </c>
      <c r="B188" s="5" t="s">
        <v>3467</v>
      </c>
      <c r="C188" s="5" t="s">
        <v>3054</v>
      </c>
      <c r="D188" s="5" t="s">
        <v>3055</v>
      </c>
      <c r="E188" s="5" t="s">
        <v>60</v>
      </c>
      <c r="F188" s="5" t="s">
        <v>3088</v>
      </c>
      <c r="G188" s="5"/>
      <c r="H188" s="5" t="s">
        <v>3223</v>
      </c>
      <c r="I188" s="5"/>
    </row>
    <row r="189" spans="1:9" x14ac:dyDescent="0.2">
      <c r="A189" s="5">
        <v>1</v>
      </c>
      <c r="B189" s="5" t="s">
        <v>3467</v>
      </c>
      <c r="C189" s="5" t="s">
        <v>3054</v>
      </c>
      <c r="D189" s="5" t="s">
        <v>3055</v>
      </c>
      <c r="E189" s="5" t="s">
        <v>60</v>
      </c>
      <c r="F189" s="5" t="s">
        <v>3089</v>
      </c>
      <c r="G189" s="5"/>
      <c r="H189" s="5" t="s">
        <v>3224</v>
      </c>
      <c r="I189" s="5"/>
    </row>
    <row r="190" spans="1:9" x14ac:dyDescent="0.2">
      <c r="A190" s="5">
        <v>1</v>
      </c>
      <c r="B190" s="5" t="s">
        <v>3467</v>
      </c>
      <c r="C190" s="5" t="s">
        <v>3054</v>
      </c>
      <c r="D190" s="5" t="s">
        <v>3055</v>
      </c>
      <c r="E190" s="5" t="s">
        <v>60</v>
      </c>
      <c r="F190" s="5" t="s">
        <v>3090</v>
      </c>
      <c r="G190" s="5"/>
      <c r="H190" s="5" t="s">
        <v>3225</v>
      </c>
      <c r="I190" s="5"/>
    </row>
    <row r="191" spans="1:9" x14ac:dyDescent="0.2">
      <c r="A191" s="5">
        <v>1</v>
      </c>
      <c r="B191" s="5" t="s">
        <v>3554</v>
      </c>
      <c r="C191" s="5" t="s">
        <v>2773</v>
      </c>
      <c r="D191" s="5" t="s">
        <v>2774</v>
      </c>
      <c r="E191" s="5" t="s">
        <v>1505</v>
      </c>
      <c r="F191" s="5" t="s">
        <v>3088</v>
      </c>
      <c r="G191" s="5"/>
      <c r="H191" s="5" t="s">
        <v>3223</v>
      </c>
      <c r="I191" s="5"/>
    </row>
    <row r="192" spans="1:9" x14ac:dyDescent="0.2">
      <c r="A192" s="5">
        <v>1</v>
      </c>
      <c r="B192" s="5" t="s">
        <v>3554</v>
      </c>
      <c r="C192" s="5" t="s">
        <v>2773</v>
      </c>
      <c r="D192" s="5" t="s">
        <v>2774</v>
      </c>
      <c r="E192" s="5" t="s">
        <v>1505</v>
      </c>
      <c r="F192" s="5" t="s">
        <v>3089</v>
      </c>
      <c r="G192" s="5"/>
      <c r="H192" s="5" t="s">
        <v>3224</v>
      </c>
      <c r="I192" s="5"/>
    </row>
    <row r="193" spans="1:9" x14ac:dyDescent="0.2">
      <c r="A193" s="5">
        <v>1</v>
      </c>
      <c r="B193" s="5" t="s">
        <v>3554</v>
      </c>
      <c r="C193" s="5" t="s">
        <v>2773</v>
      </c>
      <c r="D193" s="5" t="s">
        <v>2774</v>
      </c>
      <c r="E193" s="5" t="s">
        <v>1505</v>
      </c>
      <c r="F193" s="5" t="s">
        <v>3090</v>
      </c>
      <c r="G193" s="5"/>
      <c r="H193" s="5" t="s">
        <v>3225</v>
      </c>
      <c r="I193" s="5"/>
    </row>
    <row r="194" spans="1:9" x14ac:dyDescent="0.2">
      <c r="A194" s="5">
        <v>1</v>
      </c>
      <c r="B194" s="5" t="s">
        <v>3635</v>
      </c>
      <c r="C194" s="5" t="s">
        <v>2156</v>
      </c>
      <c r="D194" s="5" t="s">
        <v>2157</v>
      </c>
      <c r="E194" s="5" t="s">
        <v>1505</v>
      </c>
      <c r="F194" s="5" t="s">
        <v>3088</v>
      </c>
      <c r="G194" s="5"/>
      <c r="H194" s="5" t="s">
        <v>3223</v>
      </c>
      <c r="I194" s="5"/>
    </row>
    <row r="195" spans="1:9" x14ac:dyDescent="0.2">
      <c r="A195" s="5">
        <v>1</v>
      </c>
      <c r="B195" s="5" t="s">
        <v>3635</v>
      </c>
      <c r="C195" s="5" t="s">
        <v>2156</v>
      </c>
      <c r="D195" s="5" t="s">
        <v>2157</v>
      </c>
      <c r="E195" s="5" t="s">
        <v>1505</v>
      </c>
      <c r="F195" s="5" t="s">
        <v>3228</v>
      </c>
      <c r="G195" s="5"/>
      <c r="H195" s="5" t="s">
        <v>3229</v>
      </c>
      <c r="I195" s="5"/>
    </row>
    <row r="196" spans="1:9" x14ac:dyDescent="0.2">
      <c r="A196" s="5">
        <v>1</v>
      </c>
      <c r="B196" s="5" t="s">
        <v>3635</v>
      </c>
      <c r="C196" s="5" t="s">
        <v>2156</v>
      </c>
      <c r="D196" s="5" t="s">
        <v>2157</v>
      </c>
      <c r="E196" s="5" t="s">
        <v>1505</v>
      </c>
      <c r="F196" s="5" t="s">
        <v>3117</v>
      </c>
      <c r="G196" s="5"/>
      <c r="H196" s="5" t="s">
        <v>3230</v>
      </c>
      <c r="I196" s="5"/>
    </row>
    <row r="197" spans="1:9" x14ac:dyDescent="0.2">
      <c r="A197" s="5">
        <v>1</v>
      </c>
      <c r="B197" s="5" t="s">
        <v>3635</v>
      </c>
      <c r="C197" s="5" t="s">
        <v>2156</v>
      </c>
      <c r="D197" s="5" t="s">
        <v>2157</v>
      </c>
      <c r="E197" s="5" t="s">
        <v>1505</v>
      </c>
      <c r="F197" s="5" t="s">
        <v>3089</v>
      </c>
      <c r="G197" s="5"/>
      <c r="H197" s="5" t="s">
        <v>3224</v>
      </c>
      <c r="I197" s="5"/>
    </row>
    <row r="198" spans="1:9" x14ac:dyDescent="0.2">
      <c r="A198" s="5">
        <v>1</v>
      </c>
      <c r="B198" s="5" t="s">
        <v>3635</v>
      </c>
      <c r="C198" s="5" t="s">
        <v>2156</v>
      </c>
      <c r="D198" s="5" t="s">
        <v>2157</v>
      </c>
      <c r="E198" s="5" t="s">
        <v>1505</v>
      </c>
      <c r="F198" s="5" t="s">
        <v>3118</v>
      </c>
      <c r="G198" s="5"/>
      <c r="H198" s="5" t="s">
        <v>3239</v>
      </c>
      <c r="I198" s="5"/>
    </row>
    <row r="199" spans="1:9" x14ac:dyDescent="0.2">
      <c r="A199" s="5">
        <v>1</v>
      </c>
      <c r="B199" s="5" t="s">
        <v>3635</v>
      </c>
      <c r="C199" s="5" t="s">
        <v>2156</v>
      </c>
      <c r="D199" s="5" t="s">
        <v>2157</v>
      </c>
      <c r="E199" s="5" t="s">
        <v>1505</v>
      </c>
      <c r="F199" s="5" t="s">
        <v>3243</v>
      </c>
      <c r="G199" s="5"/>
      <c r="H199" s="5" t="s">
        <v>3231</v>
      </c>
      <c r="I199" s="5"/>
    </row>
    <row r="200" spans="1:9" x14ac:dyDescent="0.2">
      <c r="A200" s="5">
        <v>1</v>
      </c>
      <c r="B200" s="5" t="s">
        <v>3635</v>
      </c>
      <c r="C200" s="5" t="s">
        <v>2156</v>
      </c>
      <c r="D200" s="5" t="s">
        <v>2157</v>
      </c>
      <c r="E200" s="5" t="s">
        <v>1505</v>
      </c>
      <c r="F200" s="5" t="s">
        <v>3120</v>
      </c>
      <c r="G200" s="5"/>
      <c r="H200" s="5" t="s">
        <v>3232</v>
      </c>
      <c r="I200" s="5"/>
    </row>
    <row r="201" spans="1:9" x14ac:dyDescent="0.2">
      <c r="A201" s="5">
        <v>1</v>
      </c>
      <c r="B201" s="5" t="s">
        <v>3635</v>
      </c>
      <c r="C201" s="5" t="s">
        <v>2156</v>
      </c>
      <c r="D201" s="5" t="s">
        <v>2157</v>
      </c>
      <c r="E201" s="5" t="s">
        <v>1505</v>
      </c>
      <c r="F201" s="5" t="s">
        <v>3090</v>
      </c>
      <c r="G201" s="5"/>
      <c r="H201" s="5" t="s">
        <v>3225</v>
      </c>
      <c r="I201" s="5"/>
    </row>
    <row r="202" spans="1:9" x14ac:dyDescent="0.2">
      <c r="A202" s="5">
        <v>1</v>
      </c>
      <c r="B202" s="5" t="s">
        <v>3635</v>
      </c>
      <c r="C202" s="5" t="s">
        <v>2156</v>
      </c>
      <c r="D202" s="5" t="s">
        <v>2157</v>
      </c>
      <c r="E202" s="5" t="s">
        <v>1505</v>
      </c>
      <c r="F202" s="5" t="s">
        <v>3121</v>
      </c>
      <c r="G202" s="5"/>
      <c r="H202" s="5" t="s">
        <v>3240</v>
      </c>
      <c r="I202" s="5"/>
    </row>
    <row r="203" spans="1:9" x14ac:dyDescent="0.2">
      <c r="A203" s="5">
        <v>1</v>
      </c>
      <c r="B203" s="5" t="s">
        <v>3636</v>
      </c>
      <c r="C203" s="5" t="s">
        <v>2156</v>
      </c>
      <c r="D203" s="5" t="s">
        <v>2157</v>
      </c>
      <c r="E203" s="5" t="s">
        <v>1505</v>
      </c>
      <c r="F203" s="5" t="s">
        <v>3569</v>
      </c>
      <c r="G203" s="5" t="s">
        <v>3588</v>
      </c>
      <c r="H203" s="5"/>
      <c r="I203" s="5"/>
    </row>
    <row r="204" spans="1:9" x14ac:dyDescent="0.2">
      <c r="A204" s="5">
        <v>1</v>
      </c>
      <c r="B204" s="5" t="s">
        <v>3636</v>
      </c>
      <c r="C204" s="5" t="s">
        <v>2156</v>
      </c>
      <c r="D204" s="5" t="s">
        <v>2157</v>
      </c>
      <c r="E204" s="5" t="s">
        <v>1505</v>
      </c>
      <c r="F204" s="5" t="s">
        <v>3569</v>
      </c>
      <c r="G204" s="5" t="s">
        <v>3589</v>
      </c>
      <c r="H204" s="5"/>
      <c r="I204" s="5"/>
    </row>
    <row r="205" spans="1:9" x14ac:dyDescent="0.2">
      <c r="A205" s="5">
        <v>1</v>
      </c>
      <c r="B205" s="5" t="s">
        <v>3636</v>
      </c>
      <c r="C205" s="5" t="s">
        <v>2156</v>
      </c>
      <c r="D205" s="5" t="s">
        <v>2157</v>
      </c>
      <c r="E205" s="5" t="s">
        <v>1505</v>
      </c>
      <c r="F205" s="5" t="s">
        <v>3569</v>
      </c>
      <c r="G205" s="5" t="s">
        <v>3590</v>
      </c>
      <c r="H205" s="5"/>
      <c r="I205" s="5"/>
    </row>
    <row r="206" spans="1:9" x14ac:dyDescent="0.2">
      <c r="A206" s="5">
        <v>1</v>
      </c>
      <c r="B206" s="5" t="s">
        <v>3636</v>
      </c>
      <c r="C206" s="5" t="s">
        <v>2156</v>
      </c>
      <c r="D206" s="5" t="s">
        <v>2157</v>
      </c>
      <c r="E206" s="5" t="s">
        <v>1505</v>
      </c>
      <c r="F206" s="5" t="s">
        <v>3570</v>
      </c>
      <c r="G206" s="5" t="s">
        <v>3591</v>
      </c>
      <c r="H206" s="5"/>
      <c r="I206" s="5"/>
    </row>
    <row r="207" spans="1:9" x14ac:dyDescent="0.2">
      <c r="A207" s="5">
        <v>1</v>
      </c>
      <c r="B207" s="5" t="s">
        <v>3636</v>
      </c>
      <c r="C207" s="5" t="s">
        <v>2156</v>
      </c>
      <c r="D207" s="5" t="s">
        <v>2157</v>
      </c>
      <c r="E207" s="5" t="s">
        <v>1505</v>
      </c>
      <c r="F207" s="5" t="s">
        <v>3587</v>
      </c>
      <c r="G207" s="5" t="s">
        <v>3591</v>
      </c>
      <c r="H207" s="5"/>
      <c r="I207" s="5"/>
    </row>
    <row r="208" spans="1:9" x14ac:dyDescent="0.2">
      <c r="A208" s="5">
        <v>1</v>
      </c>
      <c r="B208" s="5" t="s">
        <v>3636</v>
      </c>
      <c r="C208" s="5" t="s">
        <v>2156</v>
      </c>
      <c r="D208" s="5" t="s">
        <v>2157</v>
      </c>
      <c r="E208" s="5" t="s">
        <v>1505</v>
      </c>
      <c r="F208" s="5" t="s">
        <v>2984</v>
      </c>
      <c r="G208" s="5" t="s">
        <v>3348</v>
      </c>
      <c r="H208" s="5"/>
      <c r="I208" s="5"/>
    </row>
    <row r="209" spans="1:9" x14ac:dyDescent="0.2">
      <c r="A209" s="5">
        <v>1</v>
      </c>
      <c r="B209" s="5" t="s">
        <v>3636</v>
      </c>
      <c r="C209" s="5" t="s">
        <v>2156</v>
      </c>
      <c r="D209" s="5" t="s">
        <v>2157</v>
      </c>
      <c r="E209" s="5" t="s">
        <v>1505</v>
      </c>
      <c r="F209" s="5" t="s">
        <v>3570</v>
      </c>
      <c r="G209" s="5" t="s">
        <v>3348</v>
      </c>
      <c r="H209" s="5"/>
      <c r="I209" s="5"/>
    </row>
    <row r="210" spans="1:9" x14ac:dyDescent="0.2">
      <c r="A210" s="5">
        <v>1</v>
      </c>
      <c r="B210" s="5" t="s">
        <v>3636</v>
      </c>
      <c r="C210" s="5" t="s">
        <v>2156</v>
      </c>
      <c r="D210" s="5" t="s">
        <v>2157</v>
      </c>
      <c r="E210" s="5" t="s">
        <v>1505</v>
      </c>
      <c r="F210" s="5" t="s">
        <v>3587</v>
      </c>
      <c r="G210" s="5" t="s">
        <v>3348</v>
      </c>
      <c r="H210" s="5"/>
      <c r="I210" s="5"/>
    </row>
    <row r="211" spans="1:9" x14ac:dyDescent="0.2">
      <c r="A211" s="5">
        <v>1</v>
      </c>
      <c r="B211" s="5" t="s">
        <v>3636</v>
      </c>
      <c r="C211" s="5" t="s">
        <v>2156</v>
      </c>
      <c r="D211" s="5" t="s">
        <v>2157</v>
      </c>
      <c r="E211" s="5" t="s">
        <v>1505</v>
      </c>
      <c r="F211" s="5" t="s">
        <v>2984</v>
      </c>
      <c r="G211" s="5" t="s">
        <v>3349</v>
      </c>
      <c r="H211" s="5"/>
      <c r="I211" s="5"/>
    </row>
    <row r="212" spans="1:9" x14ac:dyDescent="0.2">
      <c r="A212" s="5">
        <v>1</v>
      </c>
      <c r="B212" s="5" t="s">
        <v>3635</v>
      </c>
      <c r="C212" s="5" t="s">
        <v>2312</v>
      </c>
      <c r="D212" s="5" t="s">
        <v>2313</v>
      </c>
      <c r="E212" s="5" t="s">
        <v>1505</v>
      </c>
      <c r="F212" s="5" t="s">
        <v>3116</v>
      </c>
      <c r="G212" s="5"/>
      <c r="H212" s="5" t="s">
        <v>3227</v>
      </c>
      <c r="I212" s="5"/>
    </row>
    <row r="213" spans="1:9" x14ac:dyDescent="0.2">
      <c r="A213" s="5">
        <v>1</v>
      </c>
      <c r="B213" s="5" t="s">
        <v>3635</v>
      </c>
      <c r="C213" s="5" t="s">
        <v>2312</v>
      </c>
      <c r="D213" s="5" t="s">
        <v>2313</v>
      </c>
      <c r="E213" s="5" t="s">
        <v>1505</v>
      </c>
      <c r="F213" s="5" t="s">
        <v>3117</v>
      </c>
      <c r="G213" s="5"/>
      <c r="H213" s="5" t="s">
        <v>3230</v>
      </c>
      <c r="I213" s="5"/>
    </row>
    <row r="214" spans="1:9" x14ac:dyDescent="0.2">
      <c r="A214" s="5">
        <v>1</v>
      </c>
      <c r="B214" s="5" t="s">
        <v>3635</v>
      </c>
      <c r="C214" s="5" t="s">
        <v>2312</v>
      </c>
      <c r="D214" s="5" t="s">
        <v>2313</v>
      </c>
      <c r="E214" s="5" t="s">
        <v>1505</v>
      </c>
      <c r="F214" s="5" t="s">
        <v>3120</v>
      </c>
      <c r="G214" s="5"/>
      <c r="H214" s="5" t="s">
        <v>3232</v>
      </c>
      <c r="I214" s="5"/>
    </row>
    <row r="215" spans="1:9" x14ac:dyDescent="0.2">
      <c r="A215" s="5">
        <v>1</v>
      </c>
      <c r="B215" s="5" t="s">
        <v>3637</v>
      </c>
      <c r="C215" s="5" t="s">
        <v>2312</v>
      </c>
      <c r="D215" s="5" t="s">
        <v>2313</v>
      </c>
      <c r="E215" s="5" t="s">
        <v>1505</v>
      </c>
      <c r="F215" s="5" t="s">
        <v>3513</v>
      </c>
      <c r="G215" s="5" t="s">
        <v>3973</v>
      </c>
      <c r="H215" s="5" t="s">
        <v>3974</v>
      </c>
      <c r="I215" s="5"/>
    </row>
    <row r="216" spans="1:9" x14ac:dyDescent="0.2">
      <c r="A216" s="5">
        <v>1</v>
      </c>
      <c r="B216" s="5" t="s">
        <v>3638</v>
      </c>
      <c r="C216" s="5" t="s">
        <v>2312</v>
      </c>
      <c r="D216" s="5" t="s">
        <v>2313</v>
      </c>
      <c r="E216" s="5" t="s">
        <v>1505</v>
      </c>
      <c r="F216" s="5" t="s">
        <v>2984</v>
      </c>
      <c r="G216" s="5" t="s">
        <v>3363</v>
      </c>
      <c r="H216" s="5"/>
      <c r="I216" s="5"/>
    </row>
    <row r="217" spans="1:9" x14ac:dyDescent="0.2">
      <c r="A217" s="5">
        <v>1</v>
      </c>
      <c r="B217" s="5" t="s">
        <v>3638</v>
      </c>
      <c r="C217" s="5" t="s">
        <v>2312</v>
      </c>
      <c r="D217" s="5" t="s">
        <v>2313</v>
      </c>
      <c r="E217" s="5" t="s">
        <v>1505</v>
      </c>
      <c r="F217" s="5" t="s">
        <v>3570</v>
      </c>
      <c r="G217" s="5" t="s">
        <v>3363</v>
      </c>
      <c r="H217" s="5"/>
      <c r="I217" s="5"/>
    </row>
    <row r="218" spans="1:9" x14ac:dyDescent="0.2">
      <c r="A218" s="5">
        <v>1</v>
      </c>
      <c r="B218" s="5" t="s">
        <v>3638</v>
      </c>
      <c r="C218" s="5" t="s">
        <v>2312</v>
      </c>
      <c r="D218" s="5" t="s">
        <v>2313</v>
      </c>
      <c r="E218" s="5" t="s">
        <v>1505</v>
      </c>
      <c r="F218" s="5" t="s">
        <v>3587</v>
      </c>
      <c r="G218" s="5" t="s">
        <v>3363</v>
      </c>
      <c r="H218" s="5"/>
      <c r="I218" s="5"/>
    </row>
    <row r="219" spans="1:9" x14ac:dyDescent="0.2">
      <c r="A219" s="5">
        <v>1</v>
      </c>
      <c r="B219" s="5" t="s">
        <v>3639</v>
      </c>
      <c r="C219" s="5" t="s">
        <v>2675</v>
      </c>
      <c r="D219" s="5" t="s">
        <v>2676</v>
      </c>
      <c r="E219" s="5" t="s">
        <v>492</v>
      </c>
      <c r="F219" s="5" t="s">
        <v>3088</v>
      </c>
      <c r="G219" s="5"/>
      <c r="H219" s="5" t="s">
        <v>3223</v>
      </c>
      <c r="I219" s="5"/>
    </row>
    <row r="220" spans="1:9" x14ac:dyDescent="0.2">
      <c r="A220" s="5">
        <v>1</v>
      </c>
      <c r="B220" s="5" t="s">
        <v>3640</v>
      </c>
      <c r="C220" s="5" t="s">
        <v>2675</v>
      </c>
      <c r="D220" s="5" t="s">
        <v>2676</v>
      </c>
      <c r="E220" s="5" t="s">
        <v>492</v>
      </c>
      <c r="F220" s="5" t="s">
        <v>3128</v>
      </c>
      <c r="G220" s="5"/>
      <c r="H220" s="5" t="s">
        <v>3226</v>
      </c>
      <c r="I220" s="5"/>
    </row>
    <row r="221" spans="1:9" x14ac:dyDescent="0.2">
      <c r="A221" s="5">
        <v>1</v>
      </c>
      <c r="B221" s="5" t="s">
        <v>3641</v>
      </c>
      <c r="C221" s="5" t="s">
        <v>1502</v>
      </c>
      <c r="D221" s="5" t="s">
        <v>1503</v>
      </c>
      <c r="E221" s="5" t="s">
        <v>60</v>
      </c>
      <c r="F221" s="5" t="s">
        <v>3486</v>
      </c>
      <c r="G221" s="5" t="s">
        <v>3934</v>
      </c>
      <c r="H221" s="5" t="s">
        <v>3935</v>
      </c>
      <c r="I221" s="5"/>
    </row>
    <row r="222" spans="1:9" x14ac:dyDescent="0.2">
      <c r="A222" s="5">
        <v>1</v>
      </c>
      <c r="B222" s="5" t="s">
        <v>3641</v>
      </c>
      <c r="C222" s="5" t="s">
        <v>1502</v>
      </c>
      <c r="D222" s="5" t="s">
        <v>1503</v>
      </c>
      <c r="E222" s="5" t="s">
        <v>60</v>
      </c>
      <c r="F222" s="5" t="s">
        <v>3487</v>
      </c>
      <c r="G222" s="5" t="s">
        <v>3942</v>
      </c>
      <c r="H222" s="5" t="s">
        <v>3943</v>
      </c>
      <c r="I222" s="5"/>
    </row>
    <row r="223" spans="1:9" x14ac:dyDescent="0.2">
      <c r="A223" s="5">
        <v>1</v>
      </c>
      <c r="B223" s="5" t="s">
        <v>3641</v>
      </c>
      <c r="C223" s="5" t="s">
        <v>1502</v>
      </c>
      <c r="D223" s="5" t="s">
        <v>1503</v>
      </c>
      <c r="E223" s="5" t="s">
        <v>60</v>
      </c>
      <c r="F223" s="5" t="s">
        <v>3487</v>
      </c>
      <c r="G223" s="5" t="s">
        <v>3942</v>
      </c>
      <c r="H223" s="5" t="s">
        <v>3944</v>
      </c>
      <c r="I223" s="5"/>
    </row>
    <row r="224" spans="1:9" x14ac:dyDescent="0.2">
      <c r="A224" s="5">
        <v>1</v>
      </c>
      <c r="B224" s="5" t="s">
        <v>3641</v>
      </c>
      <c r="C224" s="5" t="s">
        <v>1502</v>
      </c>
      <c r="D224" s="5" t="s">
        <v>1503</v>
      </c>
      <c r="E224" s="5" t="s">
        <v>60</v>
      </c>
      <c r="F224" s="5" t="s">
        <v>3488</v>
      </c>
      <c r="G224" s="5" t="s">
        <v>3945</v>
      </c>
      <c r="H224" s="5" t="s">
        <v>3946</v>
      </c>
      <c r="I224" s="5"/>
    </row>
    <row r="225" spans="1:9" x14ac:dyDescent="0.2">
      <c r="A225" s="5">
        <v>1</v>
      </c>
      <c r="B225" s="5" t="s">
        <v>3641</v>
      </c>
      <c r="C225" s="5" t="s">
        <v>1502</v>
      </c>
      <c r="D225" s="5" t="s">
        <v>1503</v>
      </c>
      <c r="E225" s="5" t="s">
        <v>60</v>
      </c>
      <c r="F225" s="5" t="s">
        <v>3489</v>
      </c>
      <c r="G225" s="5" t="s">
        <v>3947</v>
      </c>
      <c r="H225" s="5" t="s">
        <v>3948</v>
      </c>
      <c r="I225" s="5"/>
    </row>
    <row r="226" spans="1:9" x14ac:dyDescent="0.2">
      <c r="A226" s="5">
        <v>1</v>
      </c>
      <c r="B226" s="5" t="s">
        <v>3641</v>
      </c>
      <c r="C226" s="5" t="s">
        <v>1502</v>
      </c>
      <c r="D226" s="5" t="s">
        <v>1503</v>
      </c>
      <c r="E226" s="5" t="s">
        <v>60</v>
      </c>
      <c r="F226" s="5" t="s">
        <v>3490</v>
      </c>
      <c r="G226" s="5" t="s">
        <v>3949</v>
      </c>
      <c r="H226" s="5" t="s">
        <v>3950</v>
      </c>
      <c r="I226" s="5"/>
    </row>
    <row r="227" spans="1:9" x14ac:dyDescent="0.2">
      <c r="A227" s="5">
        <v>1</v>
      </c>
      <c r="B227" s="5" t="s">
        <v>3642</v>
      </c>
      <c r="C227" s="5" t="s">
        <v>1502</v>
      </c>
      <c r="D227" s="5" t="s">
        <v>1503</v>
      </c>
      <c r="E227" s="5" t="s">
        <v>60</v>
      </c>
      <c r="F227" s="5" t="s">
        <v>3491</v>
      </c>
      <c r="G227" s="5" t="s">
        <v>3951</v>
      </c>
      <c r="H227" s="5" t="s">
        <v>3952</v>
      </c>
      <c r="I227" s="5"/>
    </row>
    <row r="228" spans="1:9" x14ac:dyDescent="0.2">
      <c r="A228" s="5">
        <v>1</v>
      </c>
      <c r="B228" s="5" t="s">
        <v>3641</v>
      </c>
      <c r="C228" s="5" t="s">
        <v>1502</v>
      </c>
      <c r="D228" s="5" t="s">
        <v>1503</v>
      </c>
      <c r="E228" s="5" t="s">
        <v>60</v>
      </c>
      <c r="F228" s="5" t="s">
        <v>3492</v>
      </c>
      <c r="G228" s="5" t="s">
        <v>3957</v>
      </c>
      <c r="H228" s="5" t="s">
        <v>3958</v>
      </c>
      <c r="I228" s="5"/>
    </row>
    <row r="229" spans="1:9" x14ac:dyDescent="0.2">
      <c r="A229" s="5">
        <v>1</v>
      </c>
      <c r="B229" s="5" t="s">
        <v>3641</v>
      </c>
      <c r="C229" s="5" t="s">
        <v>1502</v>
      </c>
      <c r="D229" s="5" t="s">
        <v>1503</v>
      </c>
      <c r="E229" s="5" t="s">
        <v>60</v>
      </c>
      <c r="F229" s="5" t="s">
        <v>3493</v>
      </c>
      <c r="G229" s="5" t="s">
        <v>3962</v>
      </c>
      <c r="H229" s="5" t="s">
        <v>3963</v>
      </c>
      <c r="I229" s="5"/>
    </row>
    <row r="230" spans="1:9" x14ac:dyDescent="0.2">
      <c r="A230" s="5">
        <v>1</v>
      </c>
      <c r="B230" s="5" t="s">
        <v>3641</v>
      </c>
      <c r="C230" s="5" t="s">
        <v>1502</v>
      </c>
      <c r="D230" s="5" t="s">
        <v>1503</v>
      </c>
      <c r="E230" s="5" t="s">
        <v>60</v>
      </c>
      <c r="F230" s="5" t="s">
        <v>3494</v>
      </c>
      <c r="G230" s="5" t="s">
        <v>3962</v>
      </c>
      <c r="H230" s="5" t="s">
        <v>3963</v>
      </c>
      <c r="I230" s="5"/>
    </row>
    <row r="231" spans="1:9" x14ac:dyDescent="0.2">
      <c r="A231" s="5">
        <v>1</v>
      </c>
      <c r="B231" s="5" t="s">
        <v>3641</v>
      </c>
      <c r="C231" s="5" t="s">
        <v>1502</v>
      </c>
      <c r="D231" s="5" t="s">
        <v>1503</v>
      </c>
      <c r="E231" s="5" t="s">
        <v>60</v>
      </c>
      <c r="F231" s="5" t="s">
        <v>3495</v>
      </c>
      <c r="G231" s="5" t="s">
        <v>3962</v>
      </c>
      <c r="H231" s="5" t="s">
        <v>3963</v>
      </c>
      <c r="I231" s="5"/>
    </row>
    <row r="232" spans="1:9" x14ac:dyDescent="0.2">
      <c r="A232" s="5">
        <v>1</v>
      </c>
      <c r="B232" s="5" t="s">
        <v>3641</v>
      </c>
      <c r="C232" s="5" t="s">
        <v>1502</v>
      </c>
      <c r="D232" s="5" t="s">
        <v>1503</v>
      </c>
      <c r="E232" s="5" t="s">
        <v>60</v>
      </c>
      <c r="F232" s="5" t="s">
        <v>3496</v>
      </c>
      <c r="G232" s="5" t="s">
        <v>3962</v>
      </c>
      <c r="H232" s="5" t="s">
        <v>3963</v>
      </c>
      <c r="I232" s="5"/>
    </row>
    <row r="233" spans="1:9" x14ac:dyDescent="0.2">
      <c r="A233" s="5">
        <v>1</v>
      </c>
      <c r="B233" s="5" t="s">
        <v>3641</v>
      </c>
      <c r="C233" s="5" t="s">
        <v>1502</v>
      </c>
      <c r="D233" s="5" t="s">
        <v>1503</v>
      </c>
      <c r="E233" s="5" t="s">
        <v>60</v>
      </c>
      <c r="F233" s="5" t="s">
        <v>3497</v>
      </c>
      <c r="G233" s="5" t="s">
        <v>3962</v>
      </c>
      <c r="H233" s="5" t="s">
        <v>3963</v>
      </c>
      <c r="I233" s="5"/>
    </row>
    <row r="234" spans="1:9" x14ac:dyDescent="0.2">
      <c r="A234" s="5">
        <v>1</v>
      </c>
      <c r="B234" s="5" t="s">
        <v>3641</v>
      </c>
      <c r="C234" s="5" t="s">
        <v>1502</v>
      </c>
      <c r="D234" s="5" t="s">
        <v>1503</v>
      </c>
      <c r="E234" s="5" t="s">
        <v>60</v>
      </c>
      <c r="F234" s="5" t="s">
        <v>3498</v>
      </c>
      <c r="G234" s="5" t="s">
        <v>3962</v>
      </c>
      <c r="H234" s="5" t="s">
        <v>3963</v>
      </c>
      <c r="I234" s="5"/>
    </row>
    <row r="235" spans="1:9" x14ac:dyDescent="0.2">
      <c r="A235" s="5">
        <v>1</v>
      </c>
      <c r="B235" s="5" t="s">
        <v>3461</v>
      </c>
      <c r="C235" s="5" t="s">
        <v>1502</v>
      </c>
      <c r="D235" s="5" t="s">
        <v>1503</v>
      </c>
      <c r="E235" s="5" t="s">
        <v>60</v>
      </c>
      <c r="F235" s="5" t="s">
        <v>3570</v>
      </c>
      <c r="G235" s="5" t="s">
        <v>3571</v>
      </c>
      <c r="H235" s="5"/>
      <c r="I235" s="5"/>
    </row>
    <row r="236" spans="1:9" x14ac:dyDescent="0.2">
      <c r="A236" s="5">
        <v>1</v>
      </c>
      <c r="B236" s="5" t="s">
        <v>3461</v>
      </c>
      <c r="C236" s="5" t="s">
        <v>1502</v>
      </c>
      <c r="D236" s="5" t="s">
        <v>1503</v>
      </c>
      <c r="E236" s="5" t="s">
        <v>60</v>
      </c>
      <c r="F236" s="5" t="s">
        <v>3569</v>
      </c>
      <c r="G236" s="5" t="s">
        <v>3572</v>
      </c>
      <c r="H236" s="5"/>
      <c r="I236" s="5"/>
    </row>
    <row r="237" spans="1:9" x14ac:dyDescent="0.2">
      <c r="A237" s="5">
        <v>1</v>
      </c>
      <c r="B237" s="5" t="s">
        <v>3461</v>
      </c>
      <c r="C237" s="5" t="s">
        <v>1502</v>
      </c>
      <c r="D237" s="5" t="s">
        <v>1503</v>
      </c>
      <c r="E237" s="5" t="s">
        <v>60</v>
      </c>
      <c r="F237" s="5" t="s">
        <v>3570</v>
      </c>
      <c r="G237" s="5" t="s">
        <v>3138</v>
      </c>
      <c r="H237" s="5"/>
      <c r="I237" s="5"/>
    </row>
    <row r="238" spans="1:9" x14ac:dyDescent="0.2">
      <c r="A238" s="5">
        <v>1</v>
      </c>
      <c r="B238" s="5" t="s">
        <v>3461</v>
      </c>
      <c r="C238" s="5" t="s">
        <v>1502</v>
      </c>
      <c r="D238" s="5" t="s">
        <v>1503</v>
      </c>
      <c r="E238" s="5" t="s">
        <v>60</v>
      </c>
      <c r="F238" s="5" t="s">
        <v>3570</v>
      </c>
      <c r="G238" s="5" t="s">
        <v>3573</v>
      </c>
      <c r="H238" s="5"/>
      <c r="I238" s="5"/>
    </row>
    <row r="239" spans="1:9" x14ac:dyDescent="0.2">
      <c r="A239" s="5">
        <v>1</v>
      </c>
      <c r="B239" s="5" t="s">
        <v>3461</v>
      </c>
      <c r="C239" s="5" t="s">
        <v>1502</v>
      </c>
      <c r="D239" s="5" t="s">
        <v>1503</v>
      </c>
      <c r="E239" s="5" t="s">
        <v>60</v>
      </c>
      <c r="F239" s="5" t="s">
        <v>3569</v>
      </c>
      <c r="G239" s="5" t="s">
        <v>3574</v>
      </c>
      <c r="H239" s="5"/>
      <c r="I239" s="5"/>
    </row>
    <row r="240" spans="1:9" x14ac:dyDescent="0.2">
      <c r="A240" s="5">
        <v>1</v>
      </c>
      <c r="B240" s="5" t="s">
        <v>3461</v>
      </c>
      <c r="C240" s="5" t="s">
        <v>1502</v>
      </c>
      <c r="D240" s="5" t="s">
        <v>1503</v>
      </c>
      <c r="E240" s="5" t="s">
        <v>60</v>
      </c>
      <c r="F240" s="5" t="s">
        <v>3570</v>
      </c>
      <c r="G240" s="5" t="s">
        <v>3574</v>
      </c>
      <c r="H240" s="5"/>
      <c r="I240" s="5"/>
    </row>
    <row r="241" spans="1:9" x14ac:dyDescent="0.2">
      <c r="A241" s="5">
        <v>1</v>
      </c>
      <c r="B241" s="5" t="s">
        <v>3461</v>
      </c>
      <c r="C241" s="5" t="s">
        <v>1502</v>
      </c>
      <c r="D241" s="5" t="s">
        <v>1503</v>
      </c>
      <c r="E241" s="5" t="s">
        <v>60</v>
      </c>
      <c r="F241" s="5" t="s">
        <v>3570</v>
      </c>
      <c r="G241" s="5" t="s">
        <v>3141</v>
      </c>
      <c r="H241" s="5"/>
      <c r="I241" s="5"/>
    </row>
    <row r="242" spans="1:9" x14ac:dyDescent="0.2">
      <c r="A242" s="5">
        <v>1</v>
      </c>
      <c r="B242" s="5" t="s">
        <v>3461</v>
      </c>
      <c r="C242" s="5" t="s">
        <v>2289</v>
      </c>
      <c r="D242" s="5" t="s">
        <v>2290</v>
      </c>
      <c r="E242" s="5" t="s">
        <v>60</v>
      </c>
      <c r="F242" s="5" t="s">
        <v>3570</v>
      </c>
      <c r="G242" s="5" t="s">
        <v>3204</v>
      </c>
      <c r="H242" s="5"/>
      <c r="I242" s="5"/>
    </row>
    <row r="243" spans="1:9" x14ac:dyDescent="0.2">
      <c r="A243" s="5">
        <v>1</v>
      </c>
      <c r="B243" s="5" t="s">
        <v>3461</v>
      </c>
      <c r="C243" s="5" t="s">
        <v>2301</v>
      </c>
      <c r="D243" s="5" t="s">
        <v>2302</v>
      </c>
      <c r="E243" s="5" t="s">
        <v>60</v>
      </c>
      <c r="F243" s="5" t="s">
        <v>3570</v>
      </c>
      <c r="G243" s="5" t="s">
        <v>3359</v>
      </c>
      <c r="H243" s="5"/>
      <c r="I243" s="5"/>
    </row>
    <row r="244" spans="1:9" x14ac:dyDescent="0.2">
      <c r="A244" s="5">
        <v>1</v>
      </c>
      <c r="B244" s="5" t="s">
        <v>3461</v>
      </c>
      <c r="C244" s="5" t="s">
        <v>2301</v>
      </c>
      <c r="D244" s="5" t="s">
        <v>2302</v>
      </c>
      <c r="E244" s="5" t="s">
        <v>60</v>
      </c>
      <c r="F244" s="5" t="s">
        <v>2984</v>
      </c>
      <c r="G244" s="5" t="s">
        <v>3360</v>
      </c>
      <c r="H244" s="5"/>
      <c r="I244" s="5"/>
    </row>
    <row r="245" spans="1:9" x14ac:dyDescent="0.2">
      <c r="A245" s="5">
        <v>1</v>
      </c>
      <c r="B245" s="5" t="s">
        <v>3461</v>
      </c>
      <c r="C245" s="5" t="s">
        <v>2301</v>
      </c>
      <c r="D245" s="5" t="s">
        <v>2302</v>
      </c>
      <c r="E245" s="5" t="s">
        <v>60</v>
      </c>
      <c r="F245" s="5" t="s">
        <v>3570</v>
      </c>
      <c r="G245" s="5" t="s">
        <v>3360</v>
      </c>
      <c r="H245" s="5"/>
      <c r="I245" s="5"/>
    </row>
    <row r="246" spans="1:9" x14ac:dyDescent="0.2">
      <c r="A246" s="5">
        <v>1</v>
      </c>
      <c r="B246" s="5" t="s">
        <v>3461</v>
      </c>
      <c r="C246" s="5" t="s">
        <v>2487</v>
      </c>
      <c r="D246" s="5" t="s">
        <v>2488</v>
      </c>
      <c r="E246" s="5" t="s">
        <v>60</v>
      </c>
      <c r="F246" s="5" t="s">
        <v>3090</v>
      </c>
      <c r="G246" s="5"/>
      <c r="H246" s="5" t="s">
        <v>3225</v>
      </c>
      <c r="I246" s="5"/>
    </row>
    <row r="247" spans="1:9" x14ac:dyDescent="0.2">
      <c r="A247" s="5">
        <v>1</v>
      </c>
      <c r="B247" s="5" t="s">
        <v>3461</v>
      </c>
      <c r="C247" s="5" t="s">
        <v>2487</v>
      </c>
      <c r="D247" s="5" t="s">
        <v>2488</v>
      </c>
      <c r="E247" s="5" t="s">
        <v>60</v>
      </c>
      <c r="F247" s="5" t="s">
        <v>3121</v>
      </c>
      <c r="G247" s="5"/>
      <c r="H247" s="5" t="s">
        <v>3240</v>
      </c>
      <c r="I247" s="5"/>
    </row>
    <row r="248" spans="1:9" x14ac:dyDescent="0.2">
      <c r="A248" s="5">
        <v>1</v>
      </c>
      <c r="B248" s="5" t="s">
        <v>3461</v>
      </c>
      <c r="C248" s="5" t="s">
        <v>2487</v>
      </c>
      <c r="D248" s="5" t="s">
        <v>2488</v>
      </c>
      <c r="E248" s="5" t="s">
        <v>60</v>
      </c>
      <c r="F248" s="5" t="s">
        <v>3570</v>
      </c>
      <c r="G248" s="5" t="s">
        <v>3593</v>
      </c>
      <c r="H248" s="5"/>
      <c r="I248" s="5"/>
    </row>
    <row r="249" spans="1:9" x14ac:dyDescent="0.2">
      <c r="A249" s="5">
        <v>1</v>
      </c>
      <c r="B249" s="5" t="s">
        <v>3643</v>
      </c>
      <c r="C249" s="5" t="s">
        <v>2603</v>
      </c>
      <c r="D249" s="5" t="s">
        <v>2604</v>
      </c>
      <c r="E249" s="5" t="s">
        <v>60</v>
      </c>
      <c r="F249" s="5" t="s">
        <v>3109</v>
      </c>
      <c r="G249" s="5"/>
      <c r="H249" s="5" t="s">
        <v>3236</v>
      </c>
      <c r="I249" s="5"/>
    </row>
    <row r="250" spans="1:9" x14ac:dyDescent="0.2">
      <c r="A250" s="5">
        <v>1</v>
      </c>
      <c r="B250" s="5" t="s">
        <v>3644</v>
      </c>
      <c r="C250" s="5" t="s">
        <v>2603</v>
      </c>
      <c r="D250" s="5" t="s">
        <v>2604</v>
      </c>
      <c r="E250" s="5" t="s">
        <v>60</v>
      </c>
      <c r="F250" s="5" t="s">
        <v>3407</v>
      </c>
      <c r="G250" s="5" t="s">
        <v>3975</v>
      </c>
      <c r="H250" s="5" t="s">
        <v>3976</v>
      </c>
      <c r="I250" s="5"/>
    </row>
    <row r="251" spans="1:9" x14ac:dyDescent="0.2">
      <c r="A251" s="5">
        <v>1</v>
      </c>
      <c r="B251" s="5" t="s">
        <v>3644</v>
      </c>
      <c r="C251" s="5" t="s">
        <v>2603</v>
      </c>
      <c r="D251" s="5" t="s">
        <v>2604</v>
      </c>
      <c r="E251" s="5" t="s">
        <v>60</v>
      </c>
      <c r="F251" s="5" t="s">
        <v>3408</v>
      </c>
      <c r="G251" s="5" t="s">
        <v>3977</v>
      </c>
      <c r="H251" s="5" t="s">
        <v>3978</v>
      </c>
      <c r="I251" s="5"/>
    </row>
    <row r="252" spans="1:9" x14ac:dyDescent="0.2">
      <c r="A252" s="5">
        <v>1</v>
      </c>
      <c r="B252" s="5" t="s">
        <v>3644</v>
      </c>
      <c r="C252" s="5" t="s">
        <v>2603</v>
      </c>
      <c r="D252" s="5" t="s">
        <v>2604</v>
      </c>
      <c r="E252" s="5" t="s">
        <v>60</v>
      </c>
      <c r="F252" s="5" t="s">
        <v>3522</v>
      </c>
      <c r="G252" s="5" t="s">
        <v>3979</v>
      </c>
      <c r="H252" s="5" t="s">
        <v>3980</v>
      </c>
      <c r="I252" s="5"/>
    </row>
    <row r="253" spans="1:9" x14ac:dyDescent="0.2">
      <c r="A253" s="5">
        <v>1</v>
      </c>
      <c r="B253" s="5" t="s">
        <v>3645</v>
      </c>
      <c r="C253" s="5" t="s">
        <v>2603</v>
      </c>
      <c r="D253" s="5" t="s">
        <v>2604</v>
      </c>
      <c r="E253" s="5" t="s">
        <v>60</v>
      </c>
      <c r="F253" s="5" t="s">
        <v>3523</v>
      </c>
      <c r="G253" s="5" t="s">
        <v>3981</v>
      </c>
      <c r="H253" s="5" t="s">
        <v>3970</v>
      </c>
      <c r="I253" s="5"/>
    </row>
    <row r="254" spans="1:9" x14ac:dyDescent="0.2">
      <c r="A254" s="5">
        <v>1</v>
      </c>
      <c r="B254" s="5" t="s">
        <v>3645</v>
      </c>
      <c r="C254" s="5" t="s">
        <v>2603</v>
      </c>
      <c r="D254" s="5" t="s">
        <v>2604</v>
      </c>
      <c r="E254" s="5" t="s">
        <v>60</v>
      </c>
      <c r="F254" s="5" t="s">
        <v>3361</v>
      </c>
      <c r="G254" s="5" t="s">
        <v>3981</v>
      </c>
      <c r="H254" s="5" t="s">
        <v>3971</v>
      </c>
      <c r="I254" s="5"/>
    </row>
    <row r="255" spans="1:9" x14ac:dyDescent="0.2">
      <c r="A255" s="5">
        <v>1</v>
      </c>
      <c r="B255" s="5" t="s">
        <v>3645</v>
      </c>
      <c r="C255" s="5" t="s">
        <v>2603</v>
      </c>
      <c r="D255" s="5" t="s">
        <v>2604</v>
      </c>
      <c r="E255" s="5" t="s">
        <v>60</v>
      </c>
      <c r="F255" s="5" t="s">
        <v>3523</v>
      </c>
      <c r="G255" s="5" t="s">
        <v>3981</v>
      </c>
      <c r="H255" s="5" t="s">
        <v>3972</v>
      </c>
      <c r="I255" s="5"/>
    </row>
    <row r="256" spans="1:9" x14ac:dyDescent="0.2">
      <c r="A256" s="5">
        <v>1</v>
      </c>
      <c r="B256" s="5" t="s">
        <v>3645</v>
      </c>
      <c r="C256" s="5" t="s">
        <v>2603</v>
      </c>
      <c r="D256" s="5" t="s">
        <v>2604</v>
      </c>
      <c r="E256" s="5" t="s">
        <v>60</v>
      </c>
      <c r="F256" s="5" t="s">
        <v>3122</v>
      </c>
      <c r="G256" s="5" t="s">
        <v>3970</v>
      </c>
      <c r="H256" s="5" t="s">
        <v>3971</v>
      </c>
      <c r="I256" s="5"/>
    </row>
    <row r="257" spans="1:9" x14ac:dyDescent="0.2">
      <c r="A257" s="5">
        <v>1</v>
      </c>
      <c r="B257" s="5" t="s">
        <v>3644</v>
      </c>
      <c r="C257" s="5" t="s">
        <v>2723</v>
      </c>
      <c r="D257" s="5" t="s">
        <v>2724</v>
      </c>
      <c r="E257" s="5" t="s">
        <v>60</v>
      </c>
      <c r="F257" s="5" t="s">
        <v>3534</v>
      </c>
      <c r="G257" s="5" t="s">
        <v>3982</v>
      </c>
      <c r="H257" s="5" t="s">
        <v>3983</v>
      </c>
      <c r="I257" s="5"/>
    </row>
    <row r="258" spans="1:9" x14ac:dyDescent="0.2">
      <c r="A258" s="5">
        <v>1</v>
      </c>
      <c r="B258" s="5" t="s">
        <v>3644</v>
      </c>
      <c r="C258" s="5" t="s">
        <v>2723</v>
      </c>
      <c r="D258" s="5" t="s">
        <v>2724</v>
      </c>
      <c r="E258" s="5" t="s">
        <v>60</v>
      </c>
      <c r="F258" s="5" t="s">
        <v>3535</v>
      </c>
      <c r="G258" s="5" t="s">
        <v>3984</v>
      </c>
      <c r="H258" s="5" t="s">
        <v>3985</v>
      </c>
      <c r="I258" s="5"/>
    </row>
    <row r="259" spans="1:9" x14ac:dyDescent="0.2">
      <c r="A259" s="5">
        <v>1</v>
      </c>
      <c r="B259" s="5" t="s">
        <v>3644</v>
      </c>
      <c r="C259" s="5" t="s">
        <v>2723</v>
      </c>
      <c r="D259" s="5" t="s">
        <v>2724</v>
      </c>
      <c r="E259" s="5" t="s">
        <v>60</v>
      </c>
      <c r="F259" s="5" t="s">
        <v>3431</v>
      </c>
      <c r="G259" s="5" t="s">
        <v>3986</v>
      </c>
      <c r="H259" s="5" t="s">
        <v>3987</v>
      </c>
      <c r="I259" s="5"/>
    </row>
    <row r="260" spans="1:9" x14ac:dyDescent="0.2">
      <c r="A260" s="5">
        <v>1</v>
      </c>
      <c r="B260" s="5" t="s">
        <v>3646</v>
      </c>
      <c r="C260" s="5" t="s">
        <v>2723</v>
      </c>
      <c r="D260" s="5" t="s">
        <v>2724</v>
      </c>
      <c r="E260" s="5" t="s">
        <v>60</v>
      </c>
      <c r="F260" s="5" t="s">
        <v>3125</v>
      </c>
      <c r="G260" s="5"/>
      <c r="H260" s="5"/>
      <c r="I260" s="5"/>
    </row>
    <row r="261" spans="1:9" x14ac:dyDescent="0.2">
      <c r="A261" s="5">
        <v>1</v>
      </c>
      <c r="B261" s="5" t="s">
        <v>3647</v>
      </c>
      <c r="C261" s="5" t="s">
        <v>1944</v>
      </c>
      <c r="D261" s="5" t="s">
        <v>1945</v>
      </c>
      <c r="E261" s="5" t="s">
        <v>244</v>
      </c>
      <c r="F261" s="5" t="s">
        <v>3290</v>
      </c>
      <c r="G261" s="5" t="s">
        <v>3330</v>
      </c>
      <c r="H261" s="5" t="s">
        <v>2950</v>
      </c>
      <c r="I261" s="5"/>
    </row>
    <row r="262" spans="1:9" x14ac:dyDescent="0.2">
      <c r="A262" s="5">
        <v>1</v>
      </c>
      <c r="B262" s="5" t="s">
        <v>3648</v>
      </c>
      <c r="C262" s="5" t="s">
        <v>1944</v>
      </c>
      <c r="D262" s="5" t="s">
        <v>1945</v>
      </c>
      <c r="E262" s="5" t="s">
        <v>244</v>
      </c>
      <c r="F262" s="5" t="s">
        <v>3116</v>
      </c>
      <c r="G262" s="5"/>
      <c r="H262" s="5" t="s">
        <v>3227</v>
      </c>
      <c r="I262" s="5"/>
    </row>
    <row r="263" spans="1:9" x14ac:dyDescent="0.2">
      <c r="A263" s="5">
        <v>1</v>
      </c>
      <c r="B263" s="5" t="s">
        <v>3648</v>
      </c>
      <c r="C263" s="5" t="s">
        <v>1944</v>
      </c>
      <c r="D263" s="5" t="s">
        <v>1945</v>
      </c>
      <c r="E263" s="5" t="s">
        <v>244</v>
      </c>
      <c r="F263" s="5" t="s">
        <v>3228</v>
      </c>
      <c r="G263" s="5"/>
      <c r="H263" s="5" t="s">
        <v>3229</v>
      </c>
      <c r="I263" s="5"/>
    </row>
    <row r="264" spans="1:9" x14ac:dyDescent="0.2">
      <c r="A264" s="5">
        <v>1</v>
      </c>
      <c r="B264" s="5" t="s">
        <v>3649</v>
      </c>
      <c r="C264" s="5" t="s">
        <v>1944</v>
      </c>
      <c r="D264" s="5" t="s">
        <v>1945</v>
      </c>
      <c r="E264" s="5" t="s">
        <v>244</v>
      </c>
      <c r="F264" s="5" t="s">
        <v>3117</v>
      </c>
      <c r="G264" s="5"/>
      <c r="H264" s="5" t="s">
        <v>3230</v>
      </c>
      <c r="I264" s="5"/>
    </row>
    <row r="265" spans="1:9" x14ac:dyDescent="0.2">
      <c r="A265" s="5">
        <v>1</v>
      </c>
      <c r="B265" s="5" t="s">
        <v>3649</v>
      </c>
      <c r="C265" s="5" t="s">
        <v>1944</v>
      </c>
      <c r="D265" s="5" t="s">
        <v>1945</v>
      </c>
      <c r="E265" s="5" t="s">
        <v>244</v>
      </c>
      <c r="F265" s="5" t="s">
        <v>3089</v>
      </c>
      <c r="G265" s="5"/>
      <c r="H265" s="5" t="s">
        <v>3224</v>
      </c>
      <c r="I265" s="5"/>
    </row>
    <row r="266" spans="1:9" x14ac:dyDescent="0.2">
      <c r="A266" s="5">
        <v>1</v>
      </c>
      <c r="B266" s="5" t="s">
        <v>3650</v>
      </c>
      <c r="C266" s="5" t="s">
        <v>1944</v>
      </c>
      <c r="D266" s="5" t="s">
        <v>1945</v>
      </c>
      <c r="E266" s="5" t="s">
        <v>244</v>
      </c>
      <c r="F266" s="5" t="s">
        <v>3090</v>
      </c>
      <c r="G266" s="5"/>
      <c r="H266" s="5" t="s">
        <v>3225</v>
      </c>
      <c r="I266" s="5"/>
    </row>
    <row r="267" spans="1:9" x14ac:dyDescent="0.2">
      <c r="A267" s="5">
        <v>1</v>
      </c>
      <c r="B267" s="5" t="s">
        <v>3651</v>
      </c>
      <c r="C267" s="5" t="s">
        <v>1944</v>
      </c>
      <c r="D267" s="5" t="s">
        <v>1945</v>
      </c>
      <c r="E267" s="5" t="s">
        <v>244</v>
      </c>
      <c r="F267" s="5" t="s">
        <v>3331</v>
      </c>
      <c r="G267" s="5" t="s">
        <v>3988</v>
      </c>
      <c r="H267" s="5" t="s">
        <v>3989</v>
      </c>
      <c r="I267" s="5"/>
    </row>
    <row r="268" spans="1:9" x14ac:dyDescent="0.2">
      <c r="A268" s="5">
        <v>1</v>
      </c>
      <c r="B268" s="5" t="s">
        <v>3652</v>
      </c>
      <c r="C268" s="5" t="s">
        <v>1944</v>
      </c>
      <c r="D268" s="5" t="s">
        <v>1945</v>
      </c>
      <c r="E268" s="5" t="s">
        <v>244</v>
      </c>
      <c r="F268" s="5" t="s">
        <v>3332</v>
      </c>
      <c r="G268" s="5" t="s">
        <v>3988</v>
      </c>
      <c r="H268" s="5" t="s">
        <v>3989</v>
      </c>
      <c r="I268" s="5"/>
    </row>
    <row r="269" spans="1:9" x14ac:dyDescent="0.2">
      <c r="A269" s="5">
        <v>1</v>
      </c>
      <c r="B269" s="5" t="s">
        <v>3652</v>
      </c>
      <c r="C269" s="5" t="s">
        <v>1944</v>
      </c>
      <c r="D269" s="5" t="s">
        <v>1945</v>
      </c>
      <c r="E269" s="5" t="s">
        <v>244</v>
      </c>
      <c r="F269" s="5" t="s">
        <v>3333</v>
      </c>
      <c r="G269" s="5" t="s">
        <v>3990</v>
      </c>
      <c r="H269" s="5" t="s">
        <v>3991</v>
      </c>
      <c r="I269" s="5"/>
    </row>
    <row r="270" spans="1:9" x14ac:dyDescent="0.2">
      <c r="A270" s="5">
        <v>1</v>
      </c>
      <c r="B270" s="5" t="s">
        <v>3652</v>
      </c>
      <c r="C270" s="5" t="s">
        <v>1944</v>
      </c>
      <c r="D270" s="5" t="s">
        <v>1945</v>
      </c>
      <c r="E270" s="5" t="s">
        <v>244</v>
      </c>
      <c r="F270" s="5" t="s">
        <v>3504</v>
      </c>
      <c r="G270" s="5" t="s">
        <v>3992</v>
      </c>
      <c r="H270" s="5" t="s">
        <v>3991</v>
      </c>
      <c r="I270" s="5"/>
    </row>
    <row r="271" spans="1:9" x14ac:dyDescent="0.2">
      <c r="A271" s="5">
        <v>1</v>
      </c>
      <c r="B271" s="5" t="s">
        <v>3652</v>
      </c>
      <c r="C271" s="5" t="s">
        <v>1944</v>
      </c>
      <c r="D271" s="5" t="s">
        <v>1945</v>
      </c>
      <c r="E271" s="5" t="s">
        <v>244</v>
      </c>
      <c r="F271" s="5" t="s">
        <v>3334</v>
      </c>
      <c r="G271" s="5" t="s">
        <v>3993</v>
      </c>
      <c r="H271" s="5" t="s">
        <v>3994</v>
      </c>
      <c r="I271" s="5"/>
    </row>
    <row r="272" spans="1:9" x14ac:dyDescent="0.2">
      <c r="A272" s="5">
        <v>1</v>
      </c>
      <c r="B272" s="5" t="s">
        <v>3652</v>
      </c>
      <c r="C272" s="5" t="s">
        <v>1944</v>
      </c>
      <c r="D272" s="5" t="s">
        <v>1945</v>
      </c>
      <c r="E272" s="5" t="s">
        <v>244</v>
      </c>
      <c r="F272" s="5" t="s">
        <v>3335</v>
      </c>
      <c r="G272" s="5" t="s">
        <v>3989</v>
      </c>
      <c r="H272" s="5" t="s">
        <v>3991</v>
      </c>
      <c r="I272" s="5"/>
    </row>
    <row r="273" spans="1:9" x14ac:dyDescent="0.2">
      <c r="A273" s="5">
        <v>1</v>
      </c>
      <c r="B273" s="5" t="s">
        <v>3652</v>
      </c>
      <c r="C273" s="5" t="s">
        <v>1944</v>
      </c>
      <c r="D273" s="5" t="s">
        <v>1945</v>
      </c>
      <c r="E273" s="5" t="s">
        <v>244</v>
      </c>
      <c r="F273" s="5" t="s">
        <v>3336</v>
      </c>
      <c r="G273" s="5" t="s">
        <v>3989</v>
      </c>
      <c r="H273" s="5" t="s">
        <v>3991</v>
      </c>
      <c r="I273" s="5"/>
    </row>
    <row r="274" spans="1:9" x14ac:dyDescent="0.2">
      <c r="A274" s="5">
        <v>1</v>
      </c>
      <c r="B274" s="5" t="s">
        <v>3652</v>
      </c>
      <c r="C274" s="5" t="s">
        <v>1944</v>
      </c>
      <c r="D274" s="5" t="s">
        <v>1945</v>
      </c>
      <c r="E274" s="5" t="s">
        <v>244</v>
      </c>
      <c r="F274" s="5" t="s">
        <v>3337</v>
      </c>
      <c r="G274" s="5" t="s">
        <v>3991</v>
      </c>
      <c r="H274" s="5" t="s">
        <v>3995</v>
      </c>
      <c r="I274" s="5"/>
    </row>
    <row r="275" spans="1:9" x14ac:dyDescent="0.2">
      <c r="A275" s="5">
        <v>1</v>
      </c>
      <c r="B275" s="5" t="s">
        <v>3652</v>
      </c>
      <c r="C275" s="5" t="s">
        <v>1944</v>
      </c>
      <c r="D275" s="5" t="s">
        <v>1945</v>
      </c>
      <c r="E275" s="5" t="s">
        <v>244</v>
      </c>
      <c r="F275" s="5" t="s">
        <v>3338</v>
      </c>
      <c r="G275" s="5" t="s">
        <v>3991</v>
      </c>
      <c r="H275" s="5" t="s">
        <v>3995</v>
      </c>
      <c r="I275" s="5"/>
    </row>
    <row r="276" spans="1:9" x14ac:dyDescent="0.2">
      <c r="A276" s="5">
        <v>1</v>
      </c>
      <c r="B276" s="5" t="s">
        <v>3652</v>
      </c>
      <c r="C276" s="5" t="s">
        <v>1944</v>
      </c>
      <c r="D276" s="5" t="s">
        <v>1945</v>
      </c>
      <c r="E276" s="5" t="s">
        <v>244</v>
      </c>
      <c r="F276" s="5" t="s">
        <v>3339</v>
      </c>
      <c r="G276" s="5" t="s">
        <v>3991</v>
      </c>
      <c r="H276" s="5" t="s">
        <v>3995</v>
      </c>
      <c r="I276" s="5"/>
    </row>
    <row r="277" spans="1:9" x14ac:dyDescent="0.2">
      <c r="A277" s="5">
        <v>1</v>
      </c>
      <c r="B277" s="5" t="s">
        <v>3652</v>
      </c>
      <c r="C277" s="5" t="s">
        <v>1944</v>
      </c>
      <c r="D277" s="5" t="s">
        <v>1945</v>
      </c>
      <c r="E277" s="5" t="s">
        <v>244</v>
      </c>
      <c r="F277" s="5" t="s">
        <v>3340</v>
      </c>
      <c r="G277" s="5" t="s">
        <v>3995</v>
      </c>
      <c r="H277" s="5" t="s">
        <v>3996</v>
      </c>
      <c r="I277" s="5"/>
    </row>
    <row r="278" spans="1:9" x14ac:dyDescent="0.2">
      <c r="A278" s="5">
        <v>1</v>
      </c>
      <c r="B278" s="5" t="s">
        <v>3653</v>
      </c>
      <c r="C278" s="5" t="s">
        <v>1944</v>
      </c>
      <c r="D278" s="5" t="s">
        <v>1945</v>
      </c>
      <c r="E278" s="5" t="s">
        <v>244</v>
      </c>
      <c r="F278" s="5" t="s">
        <v>3569</v>
      </c>
      <c r="G278" s="5" t="s">
        <v>3581</v>
      </c>
      <c r="H278" s="5"/>
      <c r="I278" s="5"/>
    </row>
    <row r="279" spans="1:9" x14ac:dyDescent="0.2">
      <c r="A279" s="5">
        <v>1</v>
      </c>
      <c r="B279" s="5" t="s">
        <v>3653</v>
      </c>
      <c r="C279" s="5" t="s">
        <v>1944</v>
      </c>
      <c r="D279" s="5" t="s">
        <v>1945</v>
      </c>
      <c r="E279" s="5" t="s">
        <v>244</v>
      </c>
      <c r="F279" s="5" t="s">
        <v>3569</v>
      </c>
      <c r="G279" s="5" t="s">
        <v>3582</v>
      </c>
      <c r="H279" s="5"/>
      <c r="I279" s="5"/>
    </row>
    <row r="280" spans="1:9" x14ac:dyDescent="0.2">
      <c r="A280" s="5">
        <v>1</v>
      </c>
      <c r="B280" s="5" t="s">
        <v>3653</v>
      </c>
      <c r="C280" s="5" t="s">
        <v>1944</v>
      </c>
      <c r="D280" s="5" t="s">
        <v>1945</v>
      </c>
      <c r="E280" s="5" t="s">
        <v>244</v>
      </c>
      <c r="F280" s="5" t="s">
        <v>3570</v>
      </c>
      <c r="G280" s="5" t="s">
        <v>3583</v>
      </c>
      <c r="H280" s="5"/>
      <c r="I280" s="5"/>
    </row>
    <row r="281" spans="1:9" x14ac:dyDescent="0.2">
      <c r="A281" s="5">
        <v>1</v>
      </c>
      <c r="B281" s="5" t="s">
        <v>3649</v>
      </c>
      <c r="C281" s="5" t="s">
        <v>2081</v>
      </c>
      <c r="D281" s="5" t="s">
        <v>2082</v>
      </c>
      <c r="E281" s="5" t="s">
        <v>244</v>
      </c>
      <c r="F281" s="5" t="s">
        <v>3128</v>
      </c>
      <c r="G281" s="5"/>
      <c r="H281" s="5" t="s">
        <v>3226</v>
      </c>
      <c r="I281" s="5"/>
    </row>
    <row r="282" spans="1:9" x14ac:dyDescent="0.2">
      <c r="A282" s="5">
        <v>1</v>
      </c>
      <c r="B282" s="5" t="s">
        <v>3649</v>
      </c>
      <c r="C282" s="5" t="s">
        <v>2081</v>
      </c>
      <c r="D282" s="5" t="s">
        <v>2082</v>
      </c>
      <c r="E282" s="5" t="s">
        <v>244</v>
      </c>
      <c r="F282" s="5" t="s">
        <v>3116</v>
      </c>
      <c r="G282" s="5"/>
      <c r="H282" s="5" t="s">
        <v>3227</v>
      </c>
      <c r="I282" s="5"/>
    </row>
    <row r="283" spans="1:9" x14ac:dyDescent="0.2">
      <c r="A283" s="5">
        <v>1</v>
      </c>
      <c r="B283" s="5" t="s">
        <v>3648</v>
      </c>
      <c r="C283" s="5" t="s">
        <v>2081</v>
      </c>
      <c r="D283" s="5" t="s">
        <v>2082</v>
      </c>
      <c r="E283" s="5" t="s">
        <v>244</v>
      </c>
      <c r="F283" s="5" t="s">
        <v>3228</v>
      </c>
      <c r="G283" s="5"/>
      <c r="H283" s="5" t="s">
        <v>3229</v>
      </c>
      <c r="I283" s="5"/>
    </row>
    <row r="284" spans="1:9" x14ac:dyDescent="0.2">
      <c r="A284" s="5">
        <v>1</v>
      </c>
      <c r="B284" s="5" t="s">
        <v>3648</v>
      </c>
      <c r="C284" s="5" t="s">
        <v>2081</v>
      </c>
      <c r="D284" s="5" t="s">
        <v>2082</v>
      </c>
      <c r="E284" s="5" t="s">
        <v>244</v>
      </c>
      <c r="F284" s="5" t="s">
        <v>3117</v>
      </c>
      <c r="G284" s="5"/>
      <c r="H284" s="5" t="s">
        <v>3230</v>
      </c>
      <c r="I284" s="5"/>
    </row>
    <row r="285" spans="1:9" x14ac:dyDescent="0.2">
      <c r="A285" s="5">
        <v>1</v>
      </c>
      <c r="B285" s="5" t="s">
        <v>3649</v>
      </c>
      <c r="C285" s="5" t="s">
        <v>2081</v>
      </c>
      <c r="D285" s="5" t="s">
        <v>2082</v>
      </c>
      <c r="E285" s="5" t="s">
        <v>244</v>
      </c>
      <c r="F285" s="5" t="s">
        <v>3089</v>
      </c>
      <c r="G285" s="5"/>
      <c r="H285" s="5" t="s">
        <v>3224</v>
      </c>
      <c r="I285" s="5"/>
    </row>
    <row r="286" spans="1:9" x14ac:dyDescent="0.2">
      <c r="A286" s="5">
        <v>1</v>
      </c>
      <c r="B286" s="5" t="s">
        <v>3649</v>
      </c>
      <c r="C286" s="5" t="s">
        <v>2081</v>
      </c>
      <c r="D286" s="5" t="s">
        <v>2082</v>
      </c>
      <c r="E286" s="5" t="s">
        <v>244</v>
      </c>
      <c r="F286" s="5" t="s">
        <v>3243</v>
      </c>
      <c r="G286" s="5"/>
      <c r="H286" s="5" t="s">
        <v>3231</v>
      </c>
      <c r="I286" s="5"/>
    </row>
    <row r="287" spans="1:9" x14ac:dyDescent="0.2">
      <c r="A287" s="5">
        <v>1</v>
      </c>
      <c r="B287" s="5" t="s">
        <v>3653</v>
      </c>
      <c r="C287" s="5" t="s">
        <v>2081</v>
      </c>
      <c r="D287" s="5" t="s">
        <v>2082</v>
      </c>
      <c r="E287" s="5" t="s">
        <v>244</v>
      </c>
      <c r="F287" s="5" t="s">
        <v>3569</v>
      </c>
      <c r="G287" s="5" t="s">
        <v>3584</v>
      </c>
      <c r="H287" s="5"/>
      <c r="I287" s="5"/>
    </row>
    <row r="288" spans="1:9" x14ac:dyDescent="0.2">
      <c r="A288" s="5">
        <v>1</v>
      </c>
      <c r="B288" s="5" t="s">
        <v>3653</v>
      </c>
      <c r="C288" s="5" t="s">
        <v>2081</v>
      </c>
      <c r="D288" s="5" t="s">
        <v>2082</v>
      </c>
      <c r="E288" s="5" t="s">
        <v>244</v>
      </c>
      <c r="F288" s="5" t="s">
        <v>3569</v>
      </c>
      <c r="G288" s="5" t="s">
        <v>3585</v>
      </c>
      <c r="H288" s="5"/>
      <c r="I288" s="5"/>
    </row>
    <row r="289" spans="1:9" x14ac:dyDescent="0.2">
      <c r="A289" s="5">
        <v>1</v>
      </c>
      <c r="B289" s="5" t="s">
        <v>3653</v>
      </c>
      <c r="C289" s="5" t="s">
        <v>2081</v>
      </c>
      <c r="D289" s="5" t="s">
        <v>2082</v>
      </c>
      <c r="E289" s="5" t="s">
        <v>244</v>
      </c>
      <c r="F289" s="5" t="s">
        <v>3569</v>
      </c>
      <c r="G289" s="5" t="s">
        <v>3586</v>
      </c>
      <c r="H289" s="5"/>
      <c r="I289" s="5"/>
    </row>
    <row r="290" spans="1:9" x14ac:dyDescent="0.2">
      <c r="A290" s="5">
        <v>1</v>
      </c>
      <c r="B290" s="5" t="s">
        <v>3653</v>
      </c>
      <c r="C290" s="5" t="s">
        <v>2081</v>
      </c>
      <c r="D290" s="5" t="s">
        <v>2082</v>
      </c>
      <c r="E290" s="5" t="s">
        <v>244</v>
      </c>
      <c r="F290" s="5" t="s">
        <v>2984</v>
      </c>
      <c r="G290" s="5" t="s">
        <v>3341</v>
      </c>
      <c r="H290" s="5"/>
      <c r="I290" s="5"/>
    </row>
    <row r="291" spans="1:9" x14ac:dyDescent="0.2">
      <c r="A291" s="5">
        <v>1</v>
      </c>
      <c r="B291" s="5" t="s">
        <v>3653</v>
      </c>
      <c r="C291" s="5" t="s">
        <v>2081</v>
      </c>
      <c r="D291" s="5" t="s">
        <v>2082</v>
      </c>
      <c r="E291" s="5" t="s">
        <v>244</v>
      </c>
      <c r="F291" s="5" t="s">
        <v>3570</v>
      </c>
      <c r="G291" s="5" t="s">
        <v>3341</v>
      </c>
      <c r="H291" s="5"/>
      <c r="I291" s="5"/>
    </row>
    <row r="292" spans="1:9" x14ac:dyDescent="0.2">
      <c r="A292" s="5">
        <v>1</v>
      </c>
      <c r="B292" s="5" t="s">
        <v>3653</v>
      </c>
      <c r="C292" s="5" t="s">
        <v>2081</v>
      </c>
      <c r="D292" s="5" t="s">
        <v>2082</v>
      </c>
      <c r="E292" s="5" t="s">
        <v>244</v>
      </c>
      <c r="F292" s="5" t="s">
        <v>3587</v>
      </c>
      <c r="G292" s="5" t="s">
        <v>3341</v>
      </c>
      <c r="H292" s="5"/>
      <c r="I292" s="5"/>
    </row>
    <row r="293" spans="1:9" x14ac:dyDescent="0.2">
      <c r="A293" s="5">
        <v>1</v>
      </c>
      <c r="B293" s="5" t="s">
        <v>3654</v>
      </c>
      <c r="C293" s="5" t="s">
        <v>2249</v>
      </c>
      <c r="D293" s="5" t="s">
        <v>2250</v>
      </c>
      <c r="E293" s="5" t="s">
        <v>244</v>
      </c>
      <c r="F293" s="5" t="s">
        <v>3088</v>
      </c>
      <c r="G293" s="5"/>
      <c r="H293" s="5" t="s">
        <v>3223</v>
      </c>
      <c r="I293" s="5"/>
    </row>
    <row r="294" spans="1:9" x14ac:dyDescent="0.2">
      <c r="A294" s="5">
        <v>1</v>
      </c>
      <c r="B294" s="5" t="s">
        <v>3655</v>
      </c>
      <c r="C294" s="5" t="s">
        <v>2249</v>
      </c>
      <c r="D294" s="5" t="s">
        <v>2250</v>
      </c>
      <c r="E294" s="5" t="s">
        <v>244</v>
      </c>
      <c r="F294" s="5" t="s">
        <v>3090</v>
      </c>
      <c r="G294" s="5"/>
      <c r="H294" s="5" t="s">
        <v>3225</v>
      </c>
      <c r="I294" s="5"/>
    </row>
    <row r="295" spans="1:9" x14ac:dyDescent="0.2">
      <c r="A295" s="5">
        <v>1</v>
      </c>
      <c r="B295" s="5" t="s">
        <v>3656</v>
      </c>
      <c r="C295" s="5" t="s">
        <v>2797</v>
      </c>
      <c r="D295" s="5" t="s">
        <v>2798</v>
      </c>
      <c r="E295" s="5" t="s">
        <v>2276</v>
      </c>
      <c r="F295" s="5" t="s">
        <v>3088</v>
      </c>
      <c r="G295" s="5"/>
      <c r="H295" s="5" t="s">
        <v>3223</v>
      </c>
      <c r="I295" s="5"/>
    </row>
    <row r="296" spans="1:9" x14ac:dyDescent="0.2">
      <c r="A296" s="5">
        <v>1</v>
      </c>
      <c r="B296" s="5" t="s">
        <v>3656</v>
      </c>
      <c r="C296" s="5" t="s">
        <v>2797</v>
      </c>
      <c r="D296" s="5" t="s">
        <v>2798</v>
      </c>
      <c r="E296" s="5" t="s">
        <v>2276</v>
      </c>
      <c r="F296" s="5" t="s">
        <v>3089</v>
      </c>
      <c r="G296" s="5"/>
      <c r="H296" s="5" t="s">
        <v>3224</v>
      </c>
      <c r="I296" s="5"/>
    </row>
    <row r="297" spans="1:9" x14ac:dyDescent="0.2">
      <c r="A297" s="5">
        <v>1</v>
      </c>
      <c r="B297" s="5" t="s">
        <v>3656</v>
      </c>
      <c r="C297" s="5" t="s">
        <v>2797</v>
      </c>
      <c r="D297" s="5" t="s">
        <v>2798</v>
      </c>
      <c r="E297" s="5" t="s">
        <v>2276</v>
      </c>
      <c r="F297" s="5" t="s">
        <v>3090</v>
      </c>
      <c r="G297" s="5"/>
      <c r="H297" s="5" t="s">
        <v>3225</v>
      </c>
      <c r="I297" s="5"/>
    </row>
    <row r="298" spans="1:9" x14ac:dyDescent="0.2">
      <c r="A298" s="5">
        <v>1</v>
      </c>
      <c r="B298" s="5" t="s">
        <v>3640</v>
      </c>
      <c r="C298" s="5" t="s">
        <v>2675</v>
      </c>
      <c r="D298" s="5" t="s">
        <v>2676</v>
      </c>
      <c r="E298" s="5" t="s">
        <v>492</v>
      </c>
      <c r="F298" s="5" t="s">
        <v>3116</v>
      </c>
      <c r="G298" s="5"/>
      <c r="H298" s="5" t="s">
        <v>3227</v>
      </c>
      <c r="I298" s="5"/>
    </row>
    <row r="299" spans="1:9" x14ac:dyDescent="0.2">
      <c r="A299" s="5">
        <v>1</v>
      </c>
      <c r="B299" s="5" t="s">
        <v>3639</v>
      </c>
      <c r="C299" s="5" t="s">
        <v>2675</v>
      </c>
      <c r="D299" s="5" t="s">
        <v>2676</v>
      </c>
      <c r="E299" s="5" t="s">
        <v>492</v>
      </c>
      <c r="F299" s="5" t="s">
        <v>3228</v>
      </c>
      <c r="G299" s="5"/>
      <c r="H299" s="5" t="s">
        <v>3229</v>
      </c>
      <c r="I299" s="5"/>
    </row>
    <row r="300" spans="1:9" x14ac:dyDescent="0.2">
      <c r="A300" s="5">
        <v>1</v>
      </c>
      <c r="B300" s="5" t="s">
        <v>3639</v>
      </c>
      <c r="C300" s="5" t="s">
        <v>2675</v>
      </c>
      <c r="D300" s="5" t="s">
        <v>2676</v>
      </c>
      <c r="E300" s="5" t="s">
        <v>492</v>
      </c>
      <c r="F300" s="5" t="s">
        <v>3117</v>
      </c>
      <c r="G300" s="5"/>
      <c r="H300" s="5" t="s">
        <v>3230</v>
      </c>
      <c r="I300" s="5"/>
    </row>
    <row r="301" spans="1:9" x14ac:dyDescent="0.2">
      <c r="A301" s="5">
        <v>1</v>
      </c>
      <c r="B301" s="5" t="s">
        <v>3639</v>
      </c>
      <c r="C301" s="5" t="s">
        <v>2675</v>
      </c>
      <c r="D301" s="5" t="s">
        <v>2676</v>
      </c>
      <c r="E301" s="5" t="s">
        <v>492</v>
      </c>
      <c r="F301" s="5" t="s">
        <v>3089</v>
      </c>
      <c r="G301" s="5"/>
      <c r="H301" s="5" t="s">
        <v>3224</v>
      </c>
      <c r="I301" s="5"/>
    </row>
    <row r="302" spans="1:9" x14ac:dyDescent="0.2">
      <c r="A302" s="5">
        <v>1</v>
      </c>
      <c r="B302" s="5" t="s">
        <v>3639</v>
      </c>
      <c r="C302" s="5" t="s">
        <v>2675</v>
      </c>
      <c r="D302" s="5" t="s">
        <v>2676</v>
      </c>
      <c r="E302" s="5" t="s">
        <v>492</v>
      </c>
      <c r="F302" s="5" t="s">
        <v>3118</v>
      </c>
      <c r="G302" s="5"/>
      <c r="H302" s="5" t="s">
        <v>3239</v>
      </c>
      <c r="I302" s="5"/>
    </row>
    <row r="303" spans="1:9" x14ac:dyDescent="0.2">
      <c r="A303" s="5">
        <v>1</v>
      </c>
      <c r="B303" s="5" t="s">
        <v>3639</v>
      </c>
      <c r="C303" s="5" t="s">
        <v>2675</v>
      </c>
      <c r="D303" s="5" t="s">
        <v>2676</v>
      </c>
      <c r="E303" s="5" t="s">
        <v>492</v>
      </c>
      <c r="F303" s="5" t="s">
        <v>3243</v>
      </c>
      <c r="G303" s="5"/>
      <c r="H303" s="5" t="s">
        <v>3231</v>
      </c>
      <c r="I303" s="5"/>
    </row>
    <row r="304" spans="1:9" x14ac:dyDescent="0.2">
      <c r="A304" s="5">
        <v>1</v>
      </c>
      <c r="B304" s="5" t="s">
        <v>3639</v>
      </c>
      <c r="C304" s="5" t="s">
        <v>2675</v>
      </c>
      <c r="D304" s="5" t="s">
        <v>2676</v>
      </c>
      <c r="E304" s="5" t="s">
        <v>492</v>
      </c>
      <c r="F304" s="5" t="s">
        <v>3272</v>
      </c>
      <c r="G304" s="5"/>
      <c r="H304" s="5" t="s">
        <v>3273</v>
      </c>
      <c r="I304" s="5"/>
    </row>
    <row r="305" spans="1:9" x14ac:dyDescent="0.2">
      <c r="A305" s="5">
        <v>1</v>
      </c>
      <c r="B305" s="5" t="s">
        <v>3639</v>
      </c>
      <c r="C305" s="5" t="s">
        <v>2675</v>
      </c>
      <c r="D305" s="5" t="s">
        <v>2676</v>
      </c>
      <c r="E305" s="5" t="s">
        <v>492</v>
      </c>
      <c r="F305" s="5" t="s">
        <v>3090</v>
      </c>
      <c r="G305" s="5"/>
      <c r="H305" s="5" t="s">
        <v>3225</v>
      </c>
      <c r="I305" s="5"/>
    </row>
    <row r="306" spans="1:9" x14ac:dyDescent="0.2">
      <c r="A306" s="5">
        <v>1</v>
      </c>
      <c r="B306" s="5" t="s">
        <v>3636</v>
      </c>
      <c r="C306" s="5" t="s">
        <v>2771</v>
      </c>
      <c r="D306" s="5" t="s">
        <v>2772</v>
      </c>
      <c r="E306" s="5" t="s">
        <v>1505</v>
      </c>
      <c r="F306" s="5" t="s">
        <v>3570</v>
      </c>
      <c r="G306" s="5" t="s">
        <v>3669</v>
      </c>
      <c r="H306" s="5"/>
      <c r="I306" s="5"/>
    </row>
    <row r="307" spans="1:9" x14ac:dyDescent="0.2">
      <c r="A307" s="5">
        <v>1</v>
      </c>
      <c r="B307" s="5" t="s">
        <v>3638</v>
      </c>
      <c r="C307" s="5" t="s">
        <v>2771</v>
      </c>
      <c r="D307" s="5" t="s">
        <v>2772</v>
      </c>
      <c r="E307" s="5" t="s">
        <v>1505</v>
      </c>
      <c r="F307" s="5" t="s">
        <v>3570</v>
      </c>
      <c r="G307" s="5" t="s">
        <v>3670</v>
      </c>
      <c r="H307" s="5"/>
      <c r="I307" s="5"/>
    </row>
    <row r="308" spans="1:9" x14ac:dyDescent="0.2">
      <c r="A308" s="5">
        <v>1</v>
      </c>
      <c r="B308" s="5" t="s">
        <v>3672</v>
      </c>
      <c r="C308" s="5" t="s">
        <v>2156</v>
      </c>
      <c r="D308" s="5" t="s">
        <v>2157</v>
      </c>
      <c r="E308" s="5" t="s">
        <v>1505</v>
      </c>
      <c r="F308" s="5" t="s">
        <v>3291</v>
      </c>
      <c r="G308" s="5" t="s">
        <v>3350</v>
      </c>
      <c r="H308" s="5" t="s">
        <v>3347</v>
      </c>
      <c r="I308" s="5"/>
    </row>
    <row r="309" spans="1:9" x14ac:dyDescent="0.2">
      <c r="A309" s="5">
        <v>1</v>
      </c>
      <c r="B309" s="5" t="s">
        <v>3672</v>
      </c>
      <c r="C309" s="5" t="s">
        <v>2156</v>
      </c>
      <c r="D309" s="5" t="s">
        <v>2157</v>
      </c>
      <c r="E309" s="5" t="s">
        <v>1505</v>
      </c>
      <c r="F309" s="5" t="s">
        <v>3165</v>
      </c>
      <c r="G309" s="5" t="s">
        <v>3351</v>
      </c>
      <c r="H309" s="5" t="s">
        <v>3345</v>
      </c>
      <c r="I309" s="5"/>
    </row>
    <row r="310" spans="1:9" x14ac:dyDescent="0.2">
      <c r="A310" s="5">
        <v>1</v>
      </c>
      <c r="B310" s="5" t="s">
        <v>3672</v>
      </c>
      <c r="C310" s="5" t="s">
        <v>2156</v>
      </c>
      <c r="D310" s="5" t="s">
        <v>2157</v>
      </c>
      <c r="E310" s="5" t="s">
        <v>1505</v>
      </c>
      <c r="F310" s="5" t="s">
        <v>3112</v>
      </c>
      <c r="G310" s="5" t="s">
        <v>3350</v>
      </c>
      <c r="H310" s="5" t="s">
        <v>3346</v>
      </c>
      <c r="I310" s="5"/>
    </row>
    <row r="311" spans="1:9" x14ac:dyDescent="0.2">
      <c r="A311" s="5">
        <v>1</v>
      </c>
      <c r="B311" s="5" t="s">
        <v>3673</v>
      </c>
      <c r="C311" s="5" t="s">
        <v>2675</v>
      </c>
      <c r="D311" s="5" t="s">
        <v>2676</v>
      </c>
      <c r="E311" s="5" t="s">
        <v>492</v>
      </c>
      <c r="F311" s="5" t="s">
        <v>3127</v>
      </c>
      <c r="G311" s="5"/>
      <c r="H311" s="5" t="s">
        <v>3244</v>
      </c>
      <c r="I311" s="5"/>
    </row>
    <row r="312" spans="1:9" x14ac:dyDescent="0.2">
      <c r="A312" s="5">
        <v>1</v>
      </c>
      <c r="B312" s="5" t="s">
        <v>3674</v>
      </c>
      <c r="C312" s="5" t="s">
        <v>2301</v>
      </c>
      <c r="D312" s="5" t="s">
        <v>2302</v>
      </c>
      <c r="E312" s="5" t="s">
        <v>60</v>
      </c>
      <c r="F312" s="5" t="s">
        <v>3361</v>
      </c>
      <c r="G312" s="5" t="s">
        <v>3997</v>
      </c>
      <c r="H312" s="5" t="s">
        <v>3998</v>
      </c>
      <c r="I312" s="5"/>
    </row>
    <row r="313" spans="1:9" x14ac:dyDescent="0.2">
      <c r="A313" s="5">
        <v>1</v>
      </c>
      <c r="B313" s="5" t="s">
        <v>3461</v>
      </c>
      <c r="C313" s="5" t="s">
        <v>2301</v>
      </c>
      <c r="D313" s="5" t="s">
        <v>2302</v>
      </c>
      <c r="E313" s="5" t="s">
        <v>60</v>
      </c>
      <c r="F313" s="5" t="s">
        <v>2984</v>
      </c>
      <c r="G313" s="5" t="s">
        <v>3359</v>
      </c>
      <c r="H313" s="5"/>
      <c r="I313" s="5"/>
    </row>
    <row r="314" spans="1:9" x14ac:dyDescent="0.2">
      <c r="A314" s="5">
        <v>1</v>
      </c>
      <c r="B314" s="5" t="s">
        <v>3638</v>
      </c>
      <c r="C314" s="5" t="s">
        <v>2598</v>
      </c>
      <c r="D314" s="5" t="s">
        <v>2599</v>
      </c>
      <c r="E314" s="5" t="s">
        <v>366</v>
      </c>
      <c r="F314" s="5" t="s">
        <v>3402</v>
      </c>
      <c r="G314" s="5" t="s">
        <v>3999</v>
      </c>
      <c r="H314" s="5" t="s">
        <v>4000</v>
      </c>
      <c r="I314" s="5"/>
    </row>
    <row r="315" spans="1:9" x14ac:dyDescent="0.2">
      <c r="A315" s="5">
        <v>1</v>
      </c>
      <c r="B315" s="5" t="s">
        <v>3638</v>
      </c>
      <c r="C315" s="5" t="s">
        <v>2691</v>
      </c>
      <c r="D315" s="5" t="s">
        <v>2692</v>
      </c>
      <c r="E315" s="5" t="s">
        <v>366</v>
      </c>
      <c r="F315" s="5" t="s">
        <v>3114</v>
      </c>
      <c r="G315" s="5"/>
      <c r="H315" s="5" t="s">
        <v>3237</v>
      </c>
      <c r="I315" s="5"/>
    </row>
    <row r="316" spans="1:9" x14ac:dyDescent="0.2">
      <c r="A316" s="5">
        <v>1</v>
      </c>
      <c r="B316" s="5" t="s">
        <v>3673</v>
      </c>
      <c r="C316" s="5" t="s">
        <v>2727</v>
      </c>
      <c r="D316" s="5" t="s">
        <v>2728</v>
      </c>
      <c r="E316" s="5" t="s">
        <v>366</v>
      </c>
      <c r="F316" s="5" t="s">
        <v>3114</v>
      </c>
      <c r="G316" s="5"/>
      <c r="H316" s="5" t="s">
        <v>3237</v>
      </c>
      <c r="I316" s="5"/>
    </row>
    <row r="317" spans="1:9" x14ac:dyDescent="0.2">
      <c r="A317" s="5">
        <v>1</v>
      </c>
      <c r="B317" s="5" t="s">
        <v>3638</v>
      </c>
      <c r="C317" s="5" t="s">
        <v>2598</v>
      </c>
      <c r="D317" s="5" t="s">
        <v>2599</v>
      </c>
      <c r="E317" s="5" t="s">
        <v>366</v>
      </c>
      <c r="F317" s="5" t="s">
        <v>3127</v>
      </c>
      <c r="G317" s="5"/>
      <c r="H317" s="5" t="s">
        <v>3244</v>
      </c>
      <c r="I317" s="5"/>
    </row>
    <row r="318" spans="1:9" x14ac:dyDescent="0.2">
      <c r="A318" s="5">
        <v>1</v>
      </c>
      <c r="B318" s="5" t="s">
        <v>3638</v>
      </c>
      <c r="C318" s="5" t="s">
        <v>2691</v>
      </c>
      <c r="D318" s="5" t="s">
        <v>2692</v>
      </c>
      <c r="E318" s="5" t="s">
        <v>366</v>
      </c>
      <c r="F318" s="5" t="s">
        <v>3127</v>
      </c>
      <c r="G318" s="5"/>
      <c r="H318" s="5" t="s">
        <v>3244</v>
      </c>
      <c r="I318" s="5"/>
    </row>
    <row r="319" spans="1:9" x14ac:dyDescent="0.2">
      <c r="A319" s="5">
        <v>1</v>
      </c>
      <c r="B319" s="5" t="s">
        <v>3638</v>
      </c>
      <c r="C319" s="5" t="s">
        <v>2598</v>
      </c>
      <c r="D319" s="5" t="s">
        <v>2599</v>
      </c>
      <c r="E319" s="5" t="s">
        <v>366</v>
      </c>
      <c r="F319" s="5" t="s">
        <v>3115</v>
      </c>
      <c r="G319" s="5"/>
      <c r="H319" s="5" t="s">
        <v>3238</v>
      </c>
      <c r="I319" s="5"/>
    </row>
    <row r="320" spans="1:9" x14ac:dyDescent="0.2">
      <c r="A320" s="5">
        <v>1</v>
      </c>
      <c r="B320" s="5" t="s">
        <v>3638</v>
      </c>
      <c r="C320" s="5" t="s">
        <v>2691</v>
      </c>
      <c r="D320" s="5" t="s">
        <v>2692</v>
      </c>
      <c r="E320" s="5" t="s">
        <v>366</v>
      </c>
      <c r="F320" s="5" t="s">
        <v>3115</v>
      </c>
      <c r="G320" s="5"/>
      <c r="H320" s="5" t="s">
        <v>3238</v>
      </c>
      <c r="I320" s="5"/>
    </row>
    <row r="321" spans="1:9" x14ac:dyDescent="0.2">
      <c r="A321" s="5">
        <v>1</v>
      </c>
      <c r="B321" s="5" t="s">
        <v>3638</v>
      </c>
      <c r="C321" s="5" t="s">
        <v>2691</v>
      </c>
      <c r="D321" s="5" t="s">
        <v>2692</v>
      </c>
      <c r="E321" s="5" t="s">
        <v>366</v>
      </c>
      <c r="F321" s="5" t="s">
        <v>3201</v>
      </c>
      <c r="G321" s="5"/>
      <c r="H321" s="5" t="s">
        <v>3327</v>
      </c>
      <c r="I321" s="5"/>
    </row>
    <row r="322" spans="1:9" x14ac:dyDescent="0.2">
      <c r="A322" s="5">
        <v>1</v>
      </c>
      <c r="B322" s="5" t="s">
        <v>3638</v>
      </c>
      <c r="C322" s="5" t="s">
        <v>2691</v>
      </c>
      <c r="D322" s="5" t="s">
        <v>2692</v>
      </c>
      <c r="E322" s="5" t="s">
        <v>366</v>
      </c>
      <c r="F322" s="5" t="s">
        <v>3195</v>
      </c>
      <c r="G322" s="5"/>
      <c r="H322" s="5" t="s">
        <v>3289</v>
      </c>
      <c r="I322" s="5"/>
    </row>
    <row r="323" spans="1:9" x14ac:dyDescent="0.2">
      <c r="A323" s="5">
        <v>1</v>
      </c>
      <c r="B323" s="5" t="s">
        <v>3673</v>
      </c>
      <c r="C323" s="5" t="s">
        <v>2727</v>
      </c>
      <c r="D323" s="5" t="s">
        <v>2728</v>
      </c>
      <c r="E323" s="5" t="s">
        <v>366</v>
      </c>
      <c r="F323" s="5" t="s">
        <v>3433</v>
      </c>
      <c r="G323" s="5"/>
      <c r="H323" s="5" t="s">
        <v>3434</v>
      </c>
      <c r="I323" s="5"/>
    </row>
    <row r="324" spans="1:9" x14ac:dyDescent="0.2">
      <c r="A324" s="5">
        <v>1</v>
      </c>
      <c r="B324" s="5" t="s">
        <v>3638</v>
      </c>
      <c r="C324" s="5" t="s">
        <v>2598</v>
      </c>
      <c r="D324" s="5" t="s">
        <v>2599</v>
      </c>
      <c r="E324" s="5" t="s">
        <v>366</v>
      </c>
      <c r="F324" s="5" t="s">
        <v>3109</v>
      </c>
      <c r="G324" s="5"/>
      <c r="H324" s="5" t="s">
        <v>3236</v>
      </c>
      <c r="I324" s="5"/>
    </row>
    <row r="325" spans="1:9" x14ac:dyDescent="0.2">
      <c r="A325" s="5">
        <v>1</v>
      </c>
      <c r="B325" s="5" t="s">
        <v>3638</v>
      </c>
      <c r="C325" s="5" t="s">
        <v>2418</v>
      </c>
      <c r="D325" s="5" t="s">
        <v>2419</v>
      </c>
      <c r="E325" s="5" t="s">
        <v>366</v>
      </c>
      <c r="F325" s="5" t="s">
        <v>3120</v>
      </c>
      <c r="G325" s="5"/>
      <c r="H325" s="5" t="s">
        <v>3232</v>
      </c>
      <c r="I325" s="5"/>
    </row>
    <row r="326" spans="1:9" x14ac:dyDescent="0.2">
      <c r="A326" s="5">
        <v>1</v>
      </c>
      <c r="B326" s="5" t="s">
        <v>3638</v>
      </c>
      <c r="C326" s="5" t="s">
        <v>2418</v>
      </c>
      <c r="D326" s="5" t="s">
        <v>2419</v>
      </c>
      <c r="E326" s="5" t="s">
        <v>366</v>
      </c>
      <c r="F326" s="5" t="s">
        <v>3090</v>
      </c>
      <c r="G326" s="5"/>
      <c r="H326" s="5" t="s">
        <v>3225</v>
      </c>
      <c r="I326" s="5"/>
    </row>
    <row r="327" spans="1:9" x14ac:dyDescent="0.2">
      <c r="A327" s="5">
        <v>1</v>
      </c>
      <c r="B327" s="5" t="s">
        <v>3638</v>
      </c>
      <c r="C327" s="5" t="s">
        <v>2598</v>
      </c>
      <c r="D327" s="5" t="s">
        <v>2599</v>
      </c>
      <c r="E327" s="5" t="s">
        <v>366</v>
      </c>
      <c r="F327" s="5" t="s">
        <v>3090</v>
      </c>
      <c r="G327" s="5"/>
      <c r="H327" s="5" t="s">
        <v>3225</v>
      </c>
      <c r="I327" s="5"/>
    </row>
    <row r="328" spans="1:9" x14ac:dyDescent="0.2">
      <c r="A328" s="5">
        <v>1</v>
      </c>
      <c r="B328" s="5" t="s">
        <v>3638</v>
      </c>
      <c r="C328" s="5" t="s">
        <v>2691</v>
      </c>
      <c r="D328" s="5" t="s">
        <v>2692</v>
      </c>
      <c r="E328" s="5" t="s">
        <v>366</v>
      </c>
      <c r="F328" s="5" t="s">
        <v>3090</v>
      </c>
      <c r="G328" s="5"/>
      <c r="H328" s="5" t="s">
        <v>3225</v>
      </c>
      <c r="I328" s="5"/>
    </row>
    <row r="329" spans="1:9" x14ac:dyDescent="0.2">
      <c r="A329" s="5">
        <v>1</v>
      </c>
      <c r="B329" s="5" t="s">
        <v>3673</v>
      </c>
      <c r="C329" s="5" t="s">
        <v>2727</v>
      </c>
      <c r="D329" s="5" t="s">
        <v>2728</v>
      </c>
      <c r="E329" s="5" t="s">
        <v>366</v>
      </c>
      <c r="F329" s="5" t="s">
        <v>3090</v>
      </c>
      <c r="G329" s="5"/>
      <c r="H329" s="5" t="s">
        <v>3225</v>
      </c>
      <c r="I329" s="5"/>
    </row>
    <row r="330" spans="1:9" x14ac:dyDescent="0.2">
      <c r="A330" s="5">
        <v>1</v>
      </c>
      <c r="B330" s="5" t="s">
        <v>3638</v>
      </c>
      <c r="C330" s="5" t="s">
        <v>2598</v>
      </c>
      <c r="D330" s="5" t="s">
        <v>2599</v>
      </c>
      <c r="E330" s="5" t="s">
        <v>366</v>
      </c>
      <c r="F330" s="5" t="s">
        <v>3089</v>
      </c>
      <c r="G330" s="5"/>
      <c r="H330" s="5" t="s">
        <v>3224</v>
      </c>
      <c r="I330" s="5"/>
    </row>
    <row r="331" spans="1:9" x14ac:dyDescent="0.2">
      <c r="A331" s="5">
        <v>1</v>
      </c>
      <c r="B331" s="5" t="s">
        <v>3638</v>
      </c>
      <c r="C331" s="5" t="s">
        <v>2691</v>
      </c>
      <c r="D331" s="5" t="s">
        <v>2692</v>
      </c>
      <c r="E331" s="5" t="s">
        <v>366</v>
      </c>
      <c r="F331" s="5" t="s">
        <v>3089</v>
      </c>
      <c r="G331" s="5"/>
      <c r="H331" s="5" t="s">
        <v>3224</v>
      </c>
      <c r="I331" s="5"/>
    </row>
    <row r="332" spans="1:9" x14ac:dyDescent="0.2">
      <c r="A332" s="5">
        <v>1</v>
      </c>
      <c r="B332" s="5" t="s">
        <v>3673</v>
      </c>
      <c r="C332" s="5" t="s">
        <v>2727</v>
      </c>
      <c r="D332" s="5" t="s">
        <v>2728</v>
      </c>
      <c r="E332" s="5" t="s">
        <v>366</v>
      </c>
      <c r="F332" s="5" t="s">
        <v>3089</v>
      </c>
      <c r="G332" s="5"/>
      <c r="H332" s="5" t="s">
        <v>3224</v>
      </c>
      <c r="I332" s="5"/>
    </row>
    <row r="333" spans="1:9" x14ac:dyDescent="0.2">
      <c r="A333" s="5">
        <v>1</v>
      </c>
      <c r="B333" s="5" t="s">
        <v>3638</v>
      </c>
      <c r="C333" s="5" t="s">
        <v>2598</v>
      </c>
      <c r="D333" s="5" t="s">
        <v>2599</v>
      </c>
      <c r="E333" s="5" t="s">
        <v>366</v>
      </c>
      <c r="F333" s="5" t="s">
        <v>3088</v>
      </c>
      <c r="G333" s="5"/>
      <c r="H333" s="5" t="s">
        <v>3223</v>
      </c>
      <c r="I333" s="5"/>
    </row>
    <row r="334" spans="1:9" x14ac:dyDescent="0.2">
      <c r="A334" s="5">
        <v>1</v>
      </c>
      <c r="B334" s="5" t="s">
        <v>3638</v>
      </c>
      <c r="C334" s="5" t="s">
        <v>2691</v>
      </c>
      <c r="D334" s="5" t="s">
        <v>2692</v>
      </c>
      <c r="E334" s="5" t="s">
        <v>366</v>
      </c>
      <c r="F334" s="5" t="s">
        <v>3088</v>
      </c>
      <c r="G334" s="5"/>
      <c r="H334" s="5" t="s">
        <v>3223</v>
      </c>
      <c r="I334" s="5"/>
    </row>
    <row r="335" spans="1:9" x14ac:dyDescent="0.2">
      <c r="A335" s="5">
        <v>1</v>
      </c>
      <c r="B335" s="5" t="s">
        <v>3673</v>
      </c>
      <c r="C335" s="5" t="s">
        <v>2727</v>
      </c>
      <c r="D335" s="5" t="s">
        <v>2728</v>
      </c>
      <c r="E335" s="5" t="s">
        <v>366</v>
      </c>
      <c r="F335" s="5" t="s">
        <v>3088</v>
      </c>
      <c r="G335" s="5"/>
      <c r="H335" s="5" t="s">
        <v>3223</v>
      </c>
      <c r="I335" s="5"/>
    </row>
    <row r="336" spans="1:9" x14ac:dyDescent="0.2">
      <c r="A336" s="5">
        <v>1</v>
      </c>
      <c r="B336" s="5" t="s">
        <v>3638</v>
      </c>
      <c r="C336" s="5" t="s">
        <v>2598</v>
      </c>
      <c r="D336" s="5" t="s">
        <v>2599</v>
      </c>
      <c r="E336" s="5" t="s">
        <v>366</v>
      </c>
      <c r="F336" s="5" t="s">
        <v>3118</v>
      </c>
      <c r="G336" s="5"/>
      <c r="H336" s="5" t="s">
        <v>3239</v>
      </c>
      <c r="I336" s="5"/>
    </row>
    <row r="337" spans="1:9" x14ac:dyDescent="0.2">
      <c r="A337" s="5">
        <v>1</v>
      </c>
      <c r="B337" s="5" t="s">
        <v>3638</v>
      </c>
      <c r="C337" s="5" t="s">
        <v>2691</v>
      </c>
      <c r="D337" s="5" t="s">
        <v>2692</v>
      </c>
      <c r="E337" s="5" t="s">
        <v>366</v>
      </c>
      <c r="F337" s="5" t="s">
        <v>3118</v>
      </c>
      <c r="G337" s="5"/>
      <c r="H337" s="5" t="s">
        <v>3239</v>
      </c>
      <c r="I337" s="5"/>
    </row>
    <row r="338" spans="1:9" x14ac:dyDescent="0.2">
      <c r="A338" s="5">
        <v>1</v>
      </c>
      <c r="B338" s="5" t="s">
        <v>3673</v>
      </c>
      <c r="C338" s="5" t="s">
        <v>2727</v>
      </c>
      <c r="D338" s="5" t="s">
        <v>2728</v>
      </c>
      <c r="E338" s="5" t="s">
        <v>366</v>
      </c>
      <c r="F338" s="5" t="s">
        <v>3118</v>
      </c>
      <c r="G338" s="5"/>
      <c r="H338" s="5" t="s">
        <v>3239</v>
      </c>
      <c r="I338" s="5"/>
    </row>
    <row r="339" spans="1:9" x14ac:dyDescent="0.2">
      <c r="A339" s="5">
        <v>1</v>
      </c>
      <c r="B339" s="5" t="s">
        <v>3638</v>
      </c>
      <c r="C339" s="5" t="s">
        <v>2418</v>
      </c>
      <c r="D339" s="5" t="s">
        <v>2419</v>
      </c>
      <c r="E339" s="5" t="s">
        <v>366</v>
      </c>
      <c r="F339" s="5" t="s">
        <v>3121</v>
      </c>
      <c r="G339" s="5"/>
      <c r="H339" s="5" t="s">
        <v>3240</v>
      </c>
      <c r="I339" s="5"/>
    </row>
    <row r="340" spans="1:9" x14ac:dyDescent="0.2">
      <c r="A340" s="5">
        <v>1</v>
      </c>
      <c r="B340" s="5" t="s">
        <v>3638</v>
      </c>
      <c r="C340" s="5" t="s">
        <v>2598</v>
      </c>
      <c r="D340" s="5" t="s">
        <v>2599</v>
      </c>
      <c r="E340" s="5" t="s">
        <v>366</v>
      </c>
      <c r="F340" s="5" t="s">
        <v>3121</v>
      </c>
      <c r="G340" s="5"/>
      <c r="H340" s="5" t="s">
        <v>3240</v>
      </c>
      <c r="I340" s="5"/>
    </row>
    <row r="341" spans="1:9" x14ac:dyDescent="0.2">
      <c r="A341" s="5">
        <v>1</v>
      </c>
      <c r="B341" s="5" t="s">
        <v>3638</v>
      </c>
      <c r="C341" s="5" t="s">
        <v>2691</v>
      </c>
      <c r="D341" s="5" t="s">
        <v>2692</v>
      </c>
      <c r="E341" s="5" t="s">
        <v>366</v>
      </c>
      <c r="F341" s="5" t="s">
        <v>3121</v>
      </c>
      <c r="G341" s="5"/>
      <c r="H341" s="5" t="s">
        <v>3240</v>
      </c>
      <c r="I341" s="5"/>
    </row>
    <row r="342" spans="1:9" x14ac:dyDescent="0.2">
      <c r="A342" s="5">
        <v>1</v>
      </c>
      <c r="B342" s="5" t="s">
        <v>3673</v>
      </c>
      <c r="C342" s="5" t="s">
        <v>2727</v>
      </c>
      <c r="D342" s="5" t="s">
        <v>2728</v>
      </c>
      <c r="E342" s="5" t="s">
        <v>366</v>
      </c>
      <c r="F342" s="5" t="s">
        <v>3121</v>
      </c>
      <c r="G342" s="5"/>
      <c r="H342" s="5" t="s">
        <v>3240</v>
      </c>
      <c r="I342" s="5"/>
    </row>
    <row r="343" spans="1:9" x14ac:dyDescent="0.2">
      <c r="A343" s="5">
        <v>1</v>
      </c>
      <c r="B343" s="5" t="s">
        <v>3638</v>
      </c>
      <c r="C343" s="5" t="s">
        <v>2598</v>
      </c>
      <c r="D343" s="5" t="s">
        <v>2599</v>
      </c>
      <c r="E343" s="5" t="s">
        <v>366</v>
      </c>
      <c r="F343" s="5" t="s">
        <v>3228</v>
      </c>
      <c r="G343" s="5"/>
      <c r="H343" s="5" t="s">
        <v>3229</v>
      </c>
      <c r="I343" s="5"/>
    </row>
    <row r="344" spans="1:9" x14ac:dyDescent="0.2">
      <c r="A344" s="5">
        <v>1</v>
      </c>
      <c r="B344" s="5" t="s">
        <v>3638</v>
      </c>
      <c r="C344" s="5" t="s">
        <v>2691</v>
      </c>
      <c r="D344" s="5" t="s">
        <v>2692</v>
      </c>
      <c r="E344" s="5" t="s">
        <v>366</v>
      </c>
      <c r="F344" s="5" t="s">
        <v>3228</v>
      </c>
      <c r="G344" s="5"/>
      <c r="H344" s="5" t="s">
        <v>3229</v>
      </c>
      <c r="I344" s="5"/>
    </row>
    <row r="345" spans="1:9" x14ac:dyDescent="0.2">
      <c r="A345" s="5">
        <v>1</v>
      </c>
      <c r="B345" s="5" t="s">
        <v>3673</v>
      </c>
      <c r="C345" s="5" t="s">
        <v>2727</v>
      </c>
      <c r="D345" s="5" t="s">
        <v>2728</v>
      </c>
      <c r="E345" s="5" t="s">
        <v>366</v>
      </c>
      <c r="F345" s="5" t="s">
        <v>3228</v>
      </c>
      <c r="G345" s="5"/>
      <c r="H345" s="5" t="s">
        <v>3229</v>
      </c>
      <c r="I345" s="5"/>
    </row>
    <row r="346" spans="1:9" x14ac:dyDescent="0.2">
      <c r="A346" s="5">
        <v>1</v>
      </c>
      <c r="B346" s="5" t="s">
        <v>3638</v>
      </c>
      <c r="C346" s="5" t="s">
        <v>2598</v>
      </c>
      <c r="D346" s="5" t="s">
        <v>2599</v>
      </c>
      <c r="E346" s="5" t="s">
        <v>366</v>
      </c>
      <c r="F346" s="5" t="s">
        <v>3128</v>
      </c>
      <c r="G346" s="5"/>
      <c r="H346" s="5" t="s">
        <v>3226</v>
      </c>
      <c r="I346" s="5"/>
    </row>
    <row r="347" spans="1:9" x14ac:dyDescent="0.2">
      <c r="A347" s="5">
        <v>1</v>
      </c>
      <c r="B347" s="5" t="s">
        <v>3638</v>
      </c>
      <c r="C347" s="5" t="s">
        <v>2691</v>
      </c>
      <c r="D347" s="5" t="s">
        <v>2692</v>
      </c>
      <c r="E347" s="5" t="s">
        <v>366</v>
      </c>
      <c r="F347" s="5" t="s">
        <v>3128</v>
      </c>
      <c r="G347" s="5"/>
      <c r="H347" s="5" t="s">
        <v>3226</v>
      </c>
      <c r="I347" s="5"/>
    </row>
    <row r="348" spans="1:9" x14ac:dyDescent="0.2">
      <c r="A348" s="5">
        <v>1</v>
      </c>
      <c r="B348" s="5" t="s">
        <v>3673</v>
      </c>
      <c r="C348" s="5" t="s">
        <v>2727</v>
      </c>
      <c r="D348" s="5" t="s">
        <v>2728</v>
      </c>
      <c r="E348" s="5" t="s">
        <v>366</v>
      </c>
      <c r="F348" s="5" t="s">
        <v>3128</v>
      </c>
      <c r="G348" s="5"/>
      <c r="H348" s="5" t="s">
        <v>3226</v>
      </c>
      <c r="I348" s="5"/>
    </row>
    <row r="349" spans="1:9" x14ac:dyDescent="0.2">
      <c r="A349" s="5">
        <v>1</v>
      </c>
      <c r="B349" s="5" t="s">
        <v>3638</v>
      </c>
      <c r="C349" s="5" t="s">
        <v>2598</v>
      </c>
      <c r="D349" s="5" t="s">
        <v>2599</v>
      </c>
      <c r="E349" s="5" t="s">
        <v>366</v>
      </c>
      <c r="F349" s="5" t="s">
        <v>3117</v>
      </c>
      <c r="G349" s="5"/>
      <c r="H349" s="5" t="s">
        <v>3230</v>
      </c>
      <c r="I349" s="5"/>
    </row>
    <row r="350" spans="1:9" x14ac:dyDescent="0.2">
      <c r="A350" s="5">
        <v>1</v>
      </c>
      <c r="B350" s="5" t="s">
        <v>3638</v>
      </c>
      <c r="C350" s="5" t="s">
        <v>2691</v>
      </c>
      <c r="D350" s="5" t="s">
        <v>2692</v>
      </c>
      <c r="E350" s="5" t="s">
        <v>366</v>
      </c>
      <c r="F350" s="5" t="s">
        <v>3117</v>
      </c>
      <c r="G350" s="5"/>
      <c r="H350" s="5" t="s">
        <v>3230</v>
      </c>
      <c r="I350" s="5"/>
    </row>
    <row r="351" spans="1:9" x14ac:dyDescent="0.2">
      <c r="A351" s="5">
        <v>1</v>
      </c>
      <c r="B351" s="5" t="s">
        <v>3673</v>
      </c>
      <c r="C351" s="5" t="s">
        <v>2727</v>
      </c>
      <c r="D351" s="5" t="s">
        <v>2728</v>
      </c>
      <c r="E351" s="5" t="s">
        <v>366</v>
      </c>
      <c r="F351" s="5" t="s">
        <v>3117</v>
      </c>
      <c r="G351" s="5"/>
      <c r="H351" s="5" t="s">
        <v>3230</v>
      </c>
      <c r="I351" s="5"/>
    </row>
    <row r="352" spans="1:9" x14ac:dyDescent="0.2">
      <c r="A352" s="5">
        <v>1</v>
      </c>
      <c r="B352" s="5" t="s">
        <v>3638</v>
      </c>
      <c r="C352" s="5" t="s">
        <v>2598</v>
      </c>
      <c r="D352" s="5" t="s">
        <v>2599</v>
      </c>
      <c r="E352" s="5" t="s">
        <v>366</v>
      </c>
      <c r="F352" s="5" t="s">
        <v>3116</v>
      </c>
      <c r="G352" s="5"/>
      <c r="H352" s="5" t="s">
        <v>3227</v>
      </c>
      <c r="I352" s="5"/>
    </row>
    <row r="353" spans="1:9" x14ac:dyDescent="0.2">
      <c r="A353" s="5">
        <v>1</v>
      </c>
      <c r="B353" s="5" t="s">
        <v>3638</v>
      </c>
      <c r="C353" s="5" t="s">
        <v>2691</v>
      </c>
      <c r="D353" s="5" t="s">
        <v>2692</v>
      </c>
      <c r="E353" s="5" t="s">
        <v>366</v>
      </c>
      <c r="F353" s="5" t="s">
        <v>3116</v>
      </c>
      <c r="G353" s="5"/>
      <c r="H353" s="5" t="s">
        <v>3227</v>
      </c>
      <c r="I353" s="5"/>
    </row>
    <row r="354" spans="1:9" x14ac:dyDescent="0.2">
      <c r="A354" s="5">
        <v>1</v>
      </c>
      <c r="B354" s="5" t="s">
        <v>3673</v>
      </c>
      <c r="C354" s="5" t="s">
        <v>2727</v>
      </c>
      <c r="D354" s="5" t="s">
        <v>2728</v>
      </c>
      <c r="E354" s="5" t="s">
        <v>366</v>
      </c>
      <c r="F354" s="5" t="s">
        <v>3116</v>
      </c>
      <c r="G354" s="5"/>
      <c r="H354" s="5" t="s">
        <v>3227</v>
      </c>
      <c r="I354" s="5"/>
    </row>
    <row r="355" spans="1:9" x14ac:dyDescent="0.2">
      <c r="A355" s="5">
        <v>1</v>
      </c>
      <c r="B355" s="5" t="s">
        <v>3638</v>
      </c>
      <c r="C355" s="5" t="s">
        <v>2598</v>
      </c>
      <c r="D355" s="5" t="s">
        <v>2599</v>
      </c>
      <c r="E355" s="5" t="s">
        <v>366</v>
      </c>
      <c r="F355" s="5" t="s">
        <v>3243</v>
      </c>
      <c r="G355" s="5"/>
      <c r="H355" s="5" t="s">
        <v>3231</v>
      </c>
      <c r="I355" s="5"/>
    </row>
    <row r="356" spans="1:9" x14ac:dyDescent="0.2">
      <c r="A356" s="5">
        <v>1</v>
      </c>
      <c r="B356" s="5" t="s">
        <v>3638</v>
      </c>
      <c r="C356" s="5" t="s">
        <v>2691</v>
      </c>
      <c r="D356" s="5" t="s">
        <v>2692</v>
      </c>
      <c r="E356" s="5" t="s">
        <v>366</v>
      </c>
      <c r="F356" s="5" t="s">
        <v>3243</v>
      </c>
      <c r="G356" s="5"/>
      <c r="H356" s="5" t="s">
        <v>3231</v>
      </c>
      <c r="I356" s="5"/>
    </row>
    <row r="357" spans="1:9" x14ac:dyDescent="0.2">
      <c r="A357" s="5">
        <v>1</v>
      </c>
      <c r="B357" s="5" t="s">
        <v>3673</v>
      </c>
      <c r="C357" s="5" t="s">
        <v>2727</v>
      </c>
      <c r="D357" s="5" t="s">
        <v>2728</v>
      </c>
      <c r="E357" s="5" t="s">
        <v>366</v>
      </c>
      <c r="F357" s="5" t="s">
        <v>3243</v>
      </c>
      <c r="G357" s="5"/>
      <c r="H357" s="5" t="s">
        <v>3231</v>
      </c>
      <c r="I357" s="5"/>
    </row>
    <row r="358" spans="1:9" x14ac:dyDescent="0.2">
      <c r="A358" s="5">
        <v>1</v>
      </c>
      <c r="B358" s="5" t="s">
        <v>3638</v>
      </c>
      <c r="C358" s="5" t="s">
        <v>2418</v>
      </c>
      <c r="D358" s="5" t="s">
        <v>2419</v>
      </c>
      <c r="E358" s="5" t="s">
        <v>366</v>
      </c>
      <c r="F358" s="5" t="s">
        <v>3272</v>
      </c>
      <c r="G358" s="5"/>
      <c r="H358" s="5" t="s">
        <v>3273</v>
      </c>
      <c r="I358" s="5"/>
    </row>
    <row r="359" spans="1:9" x14ac:dyDescent="0.2">
      <c r="A359" s="5">
        <v>1</v>
      </c>
      <c r="B359" s="5" t="s">
        <v>3638</v>
      </c>
      <c r="C359" s="5" t="s">
        <v>2598</v>
      </c>
      <c r="D359" s="5" t="s">
        <v>2599</v>
      </c>
      <c r="E359" s="5" t="s">
        <v>366</v>
      </c>
      <c r="F359" s="5" t="s">
        <v>3272</v>
      </c>
      <c r="G359" s="5"/>
      <c r="H359" s="5" t="s">
        <v>3273</v>
      </c>
      <c r="I359" s="5"/>
    </row>
    <row r="360" spans="1:9" x14ac:dyDescent="0.2">
      <c r="A360" s="5">
        <v>1</v>
      </c>
      <c r="B360" s="5" t="s">
        <v>3638</v>
      </c>
      <c r="C360" s="5" t="s">
        <v>2691</v>
      </c>
      <c r="D360" s="5" t="s">
        <v>2692</v>
      </c>
      <c r="E360" s="5" t="s">
        <v>366</v>
      </c>
      <c r="F360" s="5" t="s">
        <v>3272</v>
      </c>
      <c r="G360" s="5"/>
      <c r="H360" s="5" t="s">
        <v>3273</v>
      </c>
      <c r="I360" s="5"/>
    </row>
    <row r="361" spans="1:9" x14ac:dyDescent="0.2">
      <c r="A361" s="5">
        <v>1</v>
      </c>
      <c r="B361" s="5" t="s">
        <v>3638</v>
      </c>
      <c r="C361" s="5" t="s">
        <v>2598</v>
      </c>
      <c r="D361" s="5" t="s">
        <v>2599</v>
      </c>
      <c r="E361" s="5" t="s">
        <v>366</v>
      </c>
      <c r="F361" s="5" t="s">
        <v>3321</v>
      </c>
      <c r="G361" s="5"/>
      <c r="H361" s="5"/>
      <c r="I361" s="5"/>
    </row>
    <row r="362" spans="1:9" x14ac:dyDescent="0.2">
      <c r="A362" s="5">
        <v>1</v>
      </c>
      <c r="B362" s="5" t="s">
        <v>3673</v>
      </c>
      <c r="C362" s="5" t="s">
        <v>2727</v>
      </c>
      <c r="D362" s="5" t="s">
        <v>2728</v>
      </c>
      <c r="E362" s="5" t="s">
        <v>366</v>
      </c>
      <c r="F362" s="5" t="s">
        <v>3321</v>
      </c>
      <c r="G362" s="5"/>
      <c r="H362" s="5"/>
      <c r="I362" s="5"/>
    </row>
    <row r="363" spans="1:9" x14ac:dyDescent="0.2">
      <c r="A363" s="5">
        <v>1</v>
      </c>
      <c r="B363" s="5" t="s">
        <v>3638</v>
      </c>
      <c r="C363" s="5" t="s">
        <v>2598</v>
      </c>
      <c r="D363" s="5" t="s">
        <v>2599</v>
      </c>
      <c r="E363" s="5" t="s">
        <v>366</v>
      </c>
      <c r="F363" s="5" t="s">
        <v>3322</v>
      </c>
      <c r="G363" s="5"/>
      <c r="H363" s="5"/>
      <c r="I363" s="5"/>
    </row>
    <row r="364" spans="1:9" x14ac:dyDescent="0.2">
      <c r="A364" s="5">
        <v>1</v>
      </c>
      <c r="B364" s="5" t="s">
        <v>3638</v>
      </c>
      <c r="C364" s="5" t="s">
        <v>2691</v>
      </c>
      <c r="D364" s="5" t="s">
        <v>2692</v>
      </c>
      <c r="E364" s="5" t="s">
        <v>366</v>
      </c>
      <c r="F364" s="5" t="s">
        <v>3322</v>
      </c>
      <c r="G364" s="5"/>
      <c r="H364" s="5"/>
      <c r="I364" s="5"/>
    </row>
    <row r="365" spans="1:9" x14ac:dyDescent="0.2">
      <c r="A365" s="5">
        <v>1</v>
      </c>
      <c r="B365" s="5" t="s">
        <v>3638</v>
      </c>
      <c r="C365" s="5" t="s">
        <v>2598</v>
      </c>
      <c r="D365" s="5" t="s">
        <v>2599</v>
      </c>
      <c r="E365" s="5" t="s">
        <v>366</v>
      </c>
      <c r="F365" s="5" t="s">
        <v>3125</v>
      </c>
      <c r="G365" s="5"/>
      <c r="H365" s="5"/>
      <c r="I365" s="5"/>
    </row>
    <row r="366" spans="1:9" x14ac:dyDescent="0.2">
      <c r="A366" s="5">
        <v>1</v>
      </c>
      <c r="B366" s="5" t="s">
        <v>3638</v>
      </c>
      <c r="C366" s="5" t="s">
        <v>2691</v>
      </c>
      <c r="D366" s="5" t="s">
        <v>2692</v>
      </c>
      <c r="E366" s="5" t="s">
        <v>366</v>
      </c>
      <c r="F366" s="5" t="s">
        <v>3125</v>
      </c>
      <c r="G366" s="5"/>
      <c r="H366" s="5"/>
      <c r="I366" s="5"/>
    </row>
    <row r="367" spans="1:9" x14ac:dyDescent="0.2">
      <c r="A367" s="5">
        <v>1</v>
      </c>
      <c r="B367" s="5" t="s">
        <v>3673</v>
      </c>
      <c r="C367" s="5" t="s">
        <v>2727</v>
      </c>
      <c r="D367" s="5" t="s">
        <v>2728</v>
      </c>
      <c r="E367" s="5" t="s">
        <v>366</v>
      </c>
      <c r="F367" s="5" t="s">
        <v>3125</v>
      </c>
      <c r="G367" s="5"/>
      <c r="H367" s="5"/>
      <c r="I367" s="5"/>
    </row>
    <row r="368" spans="1:9" x14ac:dyDescent="0.2">
      <c r="A368" s="5">
        <v>1</v>
      </c>
      <c r="B368" s="5" t="s">
        <v>3638</v>
      </c>
      <c r="C368" s="5" t="s">
        <v>2598</v>
      </c>
      <c r="D368" s="5" t="s">
        <v>2599</v>
      </c>
      <c r="E368" s="5" t="s">
        <v>366</v>
      </c>
      <c r="F368" s="5" t="s">
        <v>3323</v>
      </c>
      <c r="G368" s="5"/>
      <c r="H368" s="5"/>
      <c r="I368" s="5"/>
    </row>
    <row r="369" spans="1:9" x14ac:dyDescent="0.2">
      <c r="A369" s="5">
        <v>1</v>
      </c>
      <c r="B369" s="5" t="s">
        <v>3638</v>
      </c>
      <c r="C369" s="5" t="s">
        <v>2691</v>
      </c>
      <c r="D369" s="5" t="s">
        <v>2692</v>
      </c>
      <c r="E369" s="5" t="s">
        <v>366</v>
      </c>
      <c r="F369" s="5" t="s">
        <v>3323</v>
      </c>
      <c r="G369" s="5"/>
      <c r="H369" s="5"/>
      <c r="I369" s="5"/>
    </row>
    <row r="370" spans="1:9" x14ac:dyDescent="0.2">
      <c r="A370" s="5">
        <v>1</v>
      </c>
      <c r="B370" s="5" t="s">
        <v>3673</v>
      </c>
      <c r="C370" s="5" t="s">
        <v>2727</v>
      </c>
      <c r="D370" s="5" t="s">
        <v>2728</v>
      </c>
      <c r="E370" s="5" t="s">
        <v>366</v>
      </c>
      <c r="F370" s="5" t="s">
        <v>3323</v>
      </c>
      <c r="G370" s="5"/>
      <c r="H370" s="5"/>
      <c r="I370" s="5"/>
    </row>
    <row r="371" spans="1:9" x14ac:dyDescent="0.2">
      <c r="A371" s="5">
        <v>1</v>
      </c>
      <c r="B371" s="5" t="s">
        <v>3638</v>
      </c>
      <c r="C371" s="5" t="s">
        <v>2598</v>
      </c>
      <c r="D371" s="5" t="s">
        <v>2599</v>
      </c>
      <c r="E371" s="5" t="s">
        <v>366</v>
      </c>
      <c r="F371" s="5" t="s">
        <v>3324</v>
      </c>
      <c r="G371" s="5"/>
      <c r="H371" s="5"/>
      <c r="I371" s="5"/>
    </row>
    <row r="372" spans="1:9" x14ac:dyDescent="0.2">
      <c r="A372" s="5">
        <v>1</v>
      </c>
      <c r="B372" s="5" t="s">
        <v>3638</v>
      </c>
      <c r="C372" s="5" t="s">
        <v>2598</v>
      </c>
      <c r="D372" s="5" t="s">
        <v>2599</v>
      </c>
      <c r="E372" s="5" t="s">
        <v>366</v>
      </c>
      <c r="F372" s="5" t="s">
        <v>3326</v>
      </c>
      <c r="G372" s="5"/>
      <c r="H372" s="5"/>
      <c r="I372" s="5"/>
    </row>
    <row r="373" spans="1:9" x14ac:dyDescent="0.2">
      <c r="A373" s="5">
        <v>1</v>
      </c>
      <c r="B373" s="5" t="s">
        <v>3638</v>
      </c>
      <c r="C373" s="5" t="s">
        <v>2691</v>
      </c>
      <c r="D373" s="5" t="s">
        <v>2692</v>
      </c>
      <c r="E373" s="5" t="s">
        <v>366</v>
      </c>
      <c r="F373" s="5" t="s">
        <v>3326</v>
      </c>
      <c r="G373" s="5"/>
      <c r="H373" s="5"/>
      <c r="I373" s="5"/>
    </row>
    <row r="374" spans="1:9" x14ac:dyDescent="0.2">
      <c r="A374" s="5">
        <v>1</v>
      </c>
      <c r="B374" s="5" t="s">
        <v>3638</v>
      </c>
      <c r="C374" s="5" t="s">
        <v>2598</v>
      </c>
      <c r="D374" s="5" t="s">
        <v>2599</v>
      </c>
      <c r="E374" s="5" t="s">
        <v>366</v>
      </c>
      <c r="F374" s="5" t="s">
        <v>3325</v>
      </c>
      <c r="G374" s="5"/>
      <c r="H374" s="5"/>
      <c r="I374" s="5"/>
    </row>
    <row r="375" spans="1:9" x14ac:dyDescent="0.2">
      <c r="A375" s="5">
        <v>1</v>
      </c>
      <c r="B375" s="5" t="s">
        <v>3638</v>
      </c>
      <c r="C375" s="5" t="s">
        <v>2418</v>
      </c>
      <c r="D375" s="5" t="s">
        <v>2419</v>
      </c>
      <c r="E375" s="5" t="s">
        <v>366</v>
      </c>
      <c r="F375" s="5" t="s">
        <v>3352</v>
      </c>
      <c r="G375" s="5"/>
      <c r="H375" s="5"/>
      <c r="I375" s="5"/>
    </row>
    <row r="376" spans="1:9" x14ac:dyDescent="0.2">
      <c r="A376" s="5">
        <v>1</v>
      </c>
      <c r="B376" s="5" t="s">
        <v>3638</v>
      </c>
      <c r="C376" s="5" t="s">
        <v>2598</v>
      </c>
      <c r="D376" s="5" t="s">
        <v>2599</v>
      </c>
      <c r="E376" s="5" t="s">
        <v>366</v>
      </c>
      <c r="F376" s="5" t="s">
        <v>3352</v>
      </c>
      <c r="G376" s="5"/>
      <c r="H376" s="5"/>
      <c r="I376" s="5"/>
    </row>
    <row r="377" spans="1:9" x14ac:dyDescent="0.2">
      <c r="A377" s="5">
        <v>1</v>
      </c>
      <c r="B377" s="5" t="s">
        <v>3673</v>
      </c>
      <c r="C377" s="5" t="s">
        <v>2727</v>
      </c>
      <c r="D377" s="5" t="s">
        <v>2728</v>
      </c>
      <c r="E377" s="5" t="s">
        <v>366</v>
      </c>
      <c r="F377" s="5" t="s">
        <v>3352</v>
      </c>
      <c r="G377" s="5"/>
      <c r="H377" s="5"/>
      <c r="I377" s="5"/>
    </row>
    <row r="378" spans="1:9" x14ac:dyDescent="0.2">
      <c r="A378" s="5">
        <v>1</v>
      </c>
      <c r="B378" s="5" t="s">
        <v>3638</v>
      </c>
      <c r="C378" s="5" t="s">
        <v>2714</v>
      </c>
      <c r="D378" s="5" t="s">
        <v>2715</v>
      </c>
      <c r="E378" s="5" t="s">
        <v>366</v>
      </c>
      <c r="F378" s="5" t="s">
        <v>3102</v>
      </c>
      <c r="G378" s="5"/>
      <c r="H378" s="5"/>
      <c r="I378" s="5"/>
    </row>
    <row r="379" spans="1:9" x14ac:dyDescent="0.2">
      <c r="A379" s="5">
        <v>1</v>
      </c>
      <c r="B379" s="5" t="s">
        <v>3638</v>
      </c>
      <c r="C379" s="5" t="s">
        <v>2418</v>
      </c>
      <c r="D379" s="5" t="s">
        <v>2419</v>
      </c>
      <c r="E379" s="5" t="s">
        <v>366</v>
      </c>
      <c r="F379" s="5" t="s">
        <v>3587</v>
      </c>
      <c r="G379" s="5" t="s">
        <v>3381</v>
      </c>
      <c r="H379" s="5"/>
      <c r="I379" s="5"/>
    </row>
    <row r="380" spans="1:9" x14ac:dyDescent="0.2">
      <c r="A380" s="5">
        <v>1</v>
      </c>
      <c r="B380" s="5" t="s">
        <v>3638</v>
      </c>
      <c r="C380" s="5" t="s">
        <v>2418</v>
      </c>
      <c r="D380" s="5" t="s">
        <v>2419</v>
      </c>
      <c r="E380" s="5" t="s">
        <v>366</v>
      </c>
      <c r="F380" s="5" t="s">
        <v>3570</v>
      </c>
      <c r="G380" s="5" t="s">
        <v>3381</v>
      </c>
      <c r="H380" s="5"/>
      <c r="I380" s="5"/>
    </row>
    <row r="381" spans="1:9" x14ac:dyDescent="0.2">
      <c r="A381" s="5">
        <v>1</v>
      </c>
      <c r="B381" s="5" t="s">
        <v>3638</v>
      </c>
      <c r="C381" s="5" t="s">
        <v>2598</v>
      </c>
      <c r="D381" s="5" t="s">
        <v>2599</v>
      </c>
      <c r="E381" s="5" t="s">
        <v>366</v>
      </c>
      <c r="F381" s="5" t="s">
        <v>3570</v>
      </c>
      <c r="G381" s="5" t="s">
        <v>3595</v>
      </c>
      <c r="H381" s="5"/>
      <c r="I381" s="5"/>
    </row>
    <row r="382" spans="1:9" x14ac:dyDescent="0.2">
      <c r="A382" s="5">
        <v>1</v>
      </c>
      <c r="B382" s="5" t="s">
        <v>3673</v>
      </c>
      <c r="C382" s="5" t="s">
        <v>2727</v>
      </c>
      <c r="D382" s="5" t="s">
        <v>2728</v>
      </c>
      <c r="E382" s="5" t="s">
        <v>366</v>
      </c>
      <c r="F382" s="5" t="s">
        <v>3570</v>
      </c>
      <c r="G382" s="5" t="s">
        <v>3432</v>
      </c>
      <c r="H382" s="5"/>
      <c r="I382" s="5"/>
    </row>
    <row r="383" spans="1:9" x14ac:dyDescent="0.2">
      <c r="A383" s="5">
        <v>1</v>
      </c>
      <c r="B383" s="5" t="s">
        <v>3638</v>
      </c>
      <c r="C383" s="5" t="s">
        <v>2598</v>
      </c>
      <c r="D383" s="5" t="s">
        <v>2599</v>
      </c>
      <c r="E383" s="5" t="s">
        <v>366</v>
      </c>
      <c r="F383" s="5" t="s">
        <v>2901</v>
      </c>
      <c r="G383" s="5"/>
      <c r="H383" s="5"/>
      <c r="I383" s="5"/>
    </row>
    <row r="384" spans="1:9" x14ac:dyDescent="0.2">
      <c r="A384" s="5">
        <v>1</v>
      </c>
      <c r="B384" s="5" t="s">
        <v>3638</v>
      </c>
      <c r="C384" s="5" t="s">
        <v>2418</v>
      </c>
      <c r="D384" s="5" t="s">
        <v>2419</v>
      </c>
      <c r="E384" s="5" t="s">
        <v>366</v>
      </c>
      <c r="F384" s="5" t="s">
        <v>2984</v>
      </c>
      <c r="G384" s="5" t="s">
        <v>3381</v>
      </c>
      <c r="H384" s="5"/>
      <c r="I384" s="5"/>
    </row>
    <row r="385" spans="1:9" x14ac:dyDescent="0.2">
      <c r="A385" s="5">
        <v>1</v>
      </c>
      <c r="B385" s="5" t="s">
        <v>3673</v>
      </c>
      <c r="C385" s="5" t="s">
        <v>2727</v>
      </c>
      <c r="D385" s="5" t="s">
        <v>2728</v>
      </c>
      <c r="E385" s="5" t="s">
        <v>366</v>
      </c>
      <c r="F385" s="5" t="s">
        <v>2984</v>
      </c>
      <c r="G385" s="5" t="s">
        <v>3432</v>
      </c>
      <c r="H385" s="5"/>
      <c r="I385" s="5"/>
    </row>
    <row r="386" spans="1:9" x14ac:dyDescent="0.2">
      <c r="A386" s="5">
        <v>1</v>
      </c>
      <c r="B386" s="5" t="s">
        <v>3638</v>
      </c>
      <c r="C386" s="5" t="s">
        <v>2418</v>
      </c>
      <c r="D386" s="5" t="s">
        <v>2419</v>
      </c>
      <c r="E386" s="5" t="s">
        <v>366</v>
      </c>
      <c r="F386" s="5" t="s">
        <v>3290</v>
      </c>
      <c r="G386" s="5" t="s">
        <v>3382</v>
      </c>
      <c r="H386" s="5" t="s">
        <v>3380</v>
      </c>
      <c r="I386" s="5"/>
    </row>
    <row r="387" spans="1:9" x14ac:dyDescent="0.2">
      <c r="A387" s="5">
        <v>1</v>
      </c>
      <c r="B387" s="5" t="s">
        <v>3638</v>
      </c>
      <c r="C387" s="5" t="s">
        <v>2517</v>
      </c>
      <c r="D387" s="5" t="s">
        <v>2518</v>
      </c>
      <c r="E387" s="5" t="s">
        <v>2251</v>
      </c>
      <c r="F387" s="5" t="s">
        <v>3090</v>
      </c>
      <c r="G387" s="5"/>
      <c r="H387" s="5" t="s">
        <v>3225</v>
      </c>
      <c r="I387" s="5"/>
    </row>
    <row r="388" spans="1:9" x14ac:dyDescent="0.2">
      <c r="A388" s="5">
        <v>1</v>
      </c>
      <c r="B388" s="5" t="s">
        <v>3638</v>
      </c>
      <c r="C388" s="5" t="s">
        <v>2517</v>
      </c>
      <c r="D388" s="5" t="s">
        <v>2518</v>
      </c>
      <c r="E388" s="5" t="s">
        <v>2251</v>
      </c>
      <c r="F388" s="5" t="s">
        <v>3089</v>
      </c>
      <c r="G388" s="5"/>
      <c r="H388" s="5" t="s">
        <v>3224</v>
      </c>
      <c r="I388" s="5"/>
    </row>
    <row r="389" spans="1:9" x14ac:dyDescent="0.2">
      <c r="A389" s="5">
        <v>1</v>
      </c>
      <c r="B389" s="5" t="s">
        <v>3638</v>
      </c>
      <c r="C389" s="5" t="s">
        <v>2517</v>
      </c>
      <c r="D389" s="5" t="s">
        <v>2518</v>
      </c>
      <c r="E389" s="5" t="s">
        <v>2251</v>
      </c>
      <c r="F389" s="5" t="s">
        <v>3088</v>
      </c>
      <c r="G389" s="5"/>
      <c r="H389" s="5" t="s">
        <v>3223</v>
      </c>
      <c r="I389" s="5"/>
    </row>
    <row r="390" spans="1:9" x14ac:dyDescent="0.2">
      <c r="A390" s="5">
        <v>1</v>
      </c>
      <c r="B390" s="5" t="s">
        <v>3638</v>
      </c>
      <c r="C390" s="5" t="s">
        <v>2517</v>
      </c>
      <c r="D390" s="5" t="s">
        <v>2518</v>
      </c>
      <c r="E390" s="5" t="s">
        <v>2251</v>
      </c>
      <c r="F390" s="5" t="s">
        <v>3118</v>
      </c>
      <c r="G390" s="5"/>
      <c r="H390" s="5" t="s">
        <v>3239</v>
      </c>
      <c r="I390" s="5"/>
    </row>
    <row r="391" spans="1:9" x14ac:dyDescent="0.2">
      <c r="A391" s="5">
        <v>1</v>
      </c>
      <c r="B391" s="5" t="s">
        <v>3638</v>
      </c>
      <c r="C391" s="5" t="s">
        <v>2517</v>
      </c>
      <c r="D391" s="5" t="s">
        <v>2518</v>
      </c>
      <c r="E391" s="5" t="s">
        <v>2251</v>
      </c>
      <c r="F391" s="5" t="s">
        <v>3121</v>
      </c>
      <c r="G391" s="5"/>
      <c r="H391" s="5" t="s">
        <v>3240</v>
      </c>
      <c r="I391" s="5"/>
    </row>
    <row r="392" spans="1:9" x14ac:dyDescent="0.2">
      <c r="A392" s="5">
        <v>1</v>
      </c>
      <c r="B392" s="5" t="s">
        <v>3638</v>
      </c>
      <c r="C392" s="5" t="s">
        <v>2517</v>
      </c>
      <c r="D392" s="5" t="s">
        <v>2518</v>
      </c>
      <c r="E392" s="5" t="s">
        <v>2251</v>
      </c>
      <c r="F392" s="5" t="s">
        <v>3228</v>
      </c>
      <c r="G392" s="5"/>
      <c r="H392" s="5" t="s">
        <v>3229</v>
      </c>
      <c r="I392" s="5"/>
    </row>
    <row r="393" spans="1:9" x14ac:dyDescent="0.2">
      <c r="A393" s="5">
        <v>1</v>
      </c>
      <c r="B393" s="5" t="s">
        <v>3638</v>
      </c>
      <c r="C393" s="5" t="s">
        <v>2517</v>
      </c>
      <c r="D393" s="5" t="s">
        <v>2518</v>
      </c>
      <c r="E393" s="5" t="s">
        <v>2251</v>
      </c>
      <c r="F393" s="5" t="s">
        <v>3128</v>
      </c>
      <c r="G393" s="5"/>
      <c r="H393" s="5" t="s">
        <v>3226</v>
      </c>
      <c r="I393" s="5"/>
    </row>
    <row r="394" spans="1:9" x14ac:dyDescent="0.2">
      <c r="A394" s="5">
        <v>1</v>
      </c>
      <c r="B394" s="5" t="s">
        <v>3638</v>
      </c>
      <c r="C394" s="5" t="s">
        <v>2517</v>
      </c>
      <c r="D394" s="5" t="s">
        <v>2518</v>
      </c>
      <c r="E394" s="5" t="s">
        <v>2251</v>
      </c>
      <c r="F394" s="5" t="s">
        <v>3117</v>
      </c>
      <c r="G394" s="5"/>
      <c r="H394" s="5" t="s">
        <v>3230</v>
      </c>
      <c r="I394" s="5"/>
    </row>
    <row r="395" spans="1:9" x14ac:dyDescent="0.2">
      <c r="A395" s="5">
        <v>1</v>
      </c>
      <c r="B395" s="5" t="s">
        <v>3638</v>
      </c>
      <c r="C395" s="5" t="s">
        <v>2517</v>
      </c>
      <c r="D395" s="5" t="s">
        <v>2518</v>
      </c>
      <c r="E395" s="5" t="s">
        <v>2251</v>
      </c>
      <c r="F395" s="5" t="s">
        <v>3116</v>
      </c>
      <c r="G395" s="5"/>
      <c r="H395" s="5" t="s">
        <v>3227</v>
      </c>
      <c r="I395" s="5"/>
    </row>
    <row r="396" spans="1:9" x14ac:dyDescent="0.2">
      <c r="A396" s="5">
        <v>1</v>
      </c>
      <c r="B396" s="5" t="s">
        <v>3638</v>
      </c>
      <c r="C396" s="5" t="s">
        <v>2517</v>
      </c>
      <c r="D396" s="5" t="s">
        <v>2518</v>
      </c>
      <c r="E396" s="5" t="s">
        <v>2251</v>
      </c>
      <c r="F396" s="5" t="s">
        <v>3243</v>
      </c>
      <c r="G396" s="5"/>
      <c r="H396" s="5" t="s">
        <v>3231</v>
      </c>
      <c r="I396" s="5"/>
    </row>
    <row r="397" spans="1:9" x14ac:dyDescent="0.2">
      <c r="A397" s="5">
        <v>1</v>
      </c>
      <c r="B397" s="5" t="s">
        <v>3638</v>
      </c>
      <c r="C397" s="5" t="s">
        <v>2517</v>
      </c>
      <c r="D397" s="5" t="s">
        <v>2518</v>
      </c>
      <c r="E397" s="5" t="s">
        <v>2251</v>
      </c>
      <c r="F397" s="5" t="s">
        <v>3272</v>
      </c>
      <c r="G397" s="5"/>
      <c r="H397" s="5" t="s">
        <v>3273</v>
      </c>
      <c r="I397" s="5"/>
    </row>
    <row r="398" spans="1:9" x14ac:dyDescent="0.2">
      <c r="A398" s="5">
        <v>1</v>
      </c>
      <c r="B398" s="5" t="s">
        <v>3638</v>
      </c>
      <c r="C398" s="5" t="s">
        <v>2517</v>
      </c>
      <c r="D398" s="5" t="s">
        <v>2518</v>
      </c>
      <c r="E398" s="5" t="s">
        <v>2251</v>
      </c>
      <c r="F398" s="5" t="s">
        <v>3587</v>
      </c>
      <c r="G398" s="5" t="s">
        <v>3594</v>
      </c>
      <c r="H398" s="5"/>
      <c r="I398" s="5"/>
    </row>
    <row r="399" spans="1:9" x14ac:dyDescent="0.2">
      <c r="A399" s="5">
        <v>1</v>
      </c>
      <c r="B399" s="5" t="s">
        <v>3638</v>
      </c>
      <c r="C399" s="5" t="s">
        <v>2517</v>
      </c>
      <c r="D399" s="5" t="s">
        <v>2518</v>
      </c>
      <c r="E399" s="5" t="s">
        <v>2251</v>
      </c>
      <c r="F399" s="5" t="s">
        <v>3570</v>
      </c>
      <c r="G399" s="5" t="s">
        <v>3594</v>
      </c>
      <c r="H399" s="5"/>
      <c r="I399" s="5"/>
    </row>
    <row r="400" spans="1:9" x14ac:dyDescent="0.2">
      <c r="A400" s="5">
        <v>1</v>
      </c>
      <c r="B400" s="5" t="s">
        <v>3638</v>
      </c>
      <c r="C400" s="5" t="s">
        <v>2273</v>
      </c>
      <c r="D400" s="5" t="s">
        <v>2274</v>
      </c>
      <c r="E400" s="5" t="s">
        <v>2251</v>
      </c>
      <c r="F400" s="5" t="s">
        <v>3090</v>
      </c>
      <c r="G400" s="5"/>
      <c r="H400" s="5" t="s">
        <v>3225</v>
      </c>
      <c r="I400" s="5"/>
    </row>
    <row r="401" spans="1:9" x14ac:dyDescent="0.2">
      <c r="A401" s="5">
        <v>1</v>
      </c>
      <c r="B401" s="5" t="s">
        <v>3638</v>
      </c>
      <c r="C401" s="5" t="s">
        <v>2273</v>
      </c>
      <c r="D401" s="5" t="s">
        <v>2274</v>
      </c>
      <c r="E401" s="5" t="s">
        <v>2251</v>
      </c>
      <c r="F401" s="5" t="s">
        <v>3088</v>
      </c>
      <c r="G401" s="5"/>
      <c r="H401" s="5" t="s">
        <v>3223</v>
      </c>
      <c r="I401" s="5"/>
    </row>
    <row r="402" spans="1:9" x14ac:dyDescent="0.2">
      <c r="A402" s="5">
        <v>1</v>
      </c>
      <c r="B402" s="5" t="s">
        <v>3638</v>
      </c>
      <c r="C402" s="5" t="s">
        <v>2273</v>
      </c>
      <c r="D402" s="5" t="s">
        <v>2274</v>
      </c>
      <c r="E402" s="5" t="s">
        <v>2251</v>
      </c>
      <c r="F402" s="5" t="s">
        <v>3118</v>
      </c>
      <c r="G402" s="5"/>
      <c r="H402" s="5" t="s">
        <v>3239</v>
      </c>
      <c r="I402" s="5"/>
    </row>
    <row r="403" spans="1:9" x14ac:dyDescent="0.2">
      <c r="A403" s="5">
        <v>1</v>
      </c>
      <c r="B403" s="5" t="s">
        <v>3638</v>
      </c>
      <c r="C403" s="5" t="s">
        <v>2273</v>
      </c>
      <c r="D403" s="5" t="s">
        <v>2274</v>
      </c>
      <c r="E403" s="5" t="s">
        <v>2251</v>
      </c>
      <c r="F403" s="5" t="s">
        <v>3121</v>
      </c>
      <c r="G403" s="5"/>
      <c r="H403" s="5" t="s">
        <v>3240</v>
      </c>
      <c r="I403" s="5"/>
    </row>
    <row r="404" spans="1:9" x14ac:dyDescent="0.2">
      <c r="A404" s="5">
        <v>1</v>
      </c>
      <c r="B404" s="5" t="s">
        <v>3638</v>
      </c>
      <c r="C404" s="5" t="s">
        <v>2273</v>
      </c>
      <c r="D404" s="5" t="s">
        <v>2274</v>
      </c>
      <c r="E404" s="5" t="s">
        <v>2251</v>
      </c>
      <c r="F404" s="5" t="s">
        <v>3228</v>
      </c>
      <c r="G404" s="5"/>
      <c r="H404" s="5" t="s">
        <v>3229</v>
      </c>
      <c r="I404" s="5"/>
    </row>
    <row r="405" spans="1:9" x14ac:dyDescent="0.2">
      <c r="A405" s="5">
        <v>1</v>
      </c>
      <c r="B405" s="5" t="s">
        <v>3638</v>
      </c>
      <c r="C405" s="5" t="s">
        <v>2273</v>
      </c>
      <c r="D405" s="5" t="s">
        <v>2274</v>
      </c>
      <c r="E405" s="5" t="s">
        <v>2251</v>
      </c>
      <c r="F405" s="5" t="s">
        <v>3570</v>
      </c>
      <c r="G405" s="5" t="s">
        <v>3358</v>
      </c>
      <c r="H405" s="5"/>
      <c r="I405" s="5"/>
    </row>
    <row r="406" spans="1:9" x14ac:dyDescent="0.2">
      <c r="A406" s="5">
        <v>1</v>
      </c>
      <c r="B406" s="5" t="s">
        <v>3676</v>
      </c>
      <c r="C406" s="5" t="s">
        <v>2675</v>
      </c>
      <c r="D406" s="5" t="s">
        <v>2676</v>
      </c>
      <c r="E406" s="5" t="s">
        <v>492</v>
      </c>
      <c r="F406" s="5" t="s">
        <v>3201</v>
      </c>
      <c r="G406" s="5"/>
      <c r="H406" s="5" t="s">
        <v>3327</v>
      </c>
      <c r="I406" s="5"/>
    </row>
    <row r="407" spans="1:9" x14ac:dyDescent="0.2">
      <c r="A407" s="5">
        <v>1</v>
      </c>
      <c r="B407" s="5" t="s">
        <v>3676</v>
      </c>
      <c r="C407" s="5" t="s">
        <v>2675</v>
      </c>
      <c r="D407" s="5" t="s">
        <v>2676</v>
      </c>
      <c r="E407" s="5" t="s">
        <v>492</v>
      </c>
      <c r="F407" s="5" t="s">
        <v>3195</v>
      </c>
      <c r="G407" s="5"/>
      <c r="H407" s="5" t="s">
        <v>3289</v>
      </c>
      <c r="I407" s="5"/>
    </row>
    <row r="408" spans="1:9" x14ac:dyDescent="0.2">
      <c r="A408" s="5">
        <v>1</v>
      </c>
      <c r="B408" s="5" t="s">
        <v>1152</v>
      </c>
      <c r="C408" s="5" t="s">
        <v>1531</v>
      </c>
      <c r="D408" s="5" t="s">
        <v>1532</v>
      </c>
      <c r="E408" s="5" t="s">
        <v>88</v>
      </c>
      <c r="F408" s="5" t="s">
        <v>3503</v>
      </c>
      <c r="G408" s="5" t="s">
        <v>4001</v>
      </c>
      <c r="H408" s="5" t="s">
        <v>4002</v>
      </c>
      <c r="I408" s="5"/>
    </row>
    <row r="409" spans="1:9" x14ac:dyDescent="0.2">
      <c r="A409" s="5">
        <v>1</v>
      </c>
      <c r="B409" s="5" t="s">
        <v>1152</v>
      </c>
      <c r="C409" s="5" t="s">
        <v>1531</v>
      </c>
      <c r="D409" s="5" t="s">
        <v>1532</v>
      </c>
      <c r="E409" s="5" t="s">
        <v>88</v>
      </c>
      <c r="F409" s="5" t="s">
        <v>3501</v>
      </c>
      <c r="G409" s="5" t="s">
        <v>4003</v>
      </c>
      <c r="H409" s="5" t="s">
        <v>4004</v>
      </c>
      <c r="I409" s="5"/>
    </row>
    <row r="410" spans="1:9" x14ac:dyDescent="0.2">
      <c r="A410" s="5">
        <v>1</v>
      </c>
      <c r="B410" s="5" t="s">
        <v>1152</v>
      </c>
      <c r="C410" s="5" t="s">
        <v>1531</v>
      </c>
      <c r="D410" s="5" t="s">
        <v>1532</v>
      </c>
      <c r="E410" s="5" t="s">
        <v>88</v>
      </c>
      <c r="F410" s="5" t="s">
        <v>3502</v>
      </c>
      <c r="G410" s="5" t="s">
        <v>4003</v>
      </c>
      <c r="H410" s="5" t="s">
        <v>4004</v>
      </c>
      <c r="I410" s="5"/>
    </row>
    <row r="411" spans="1:9" x14ac:dyDescent="0.2">
      <c r="A411" s="5">
        <v>1</v>
      </c>
      <c r="B411" s="5" t="s">
        <v>1152</v>
      </c>
      <c r="C411" s="5" t="s">
        <v>1531</v>
      </c>
      <c r="D411" s="5" t="s">
        <v>1532</v>
      </c>
      <c r="E411" s="5" t="s">
        <v>88</v>
      </c>
      <c r="F411" s="5" t="s">
        <v>3499</v>
      </c>
      <c r="G411" s="5" t="s">
        <v>4005</v>
      </c>
      <c r="H411" s="5" t="s">
        <v>4006</v>
      </c>
      <c r="I411" s="5"/>
    </row>
    <row r="412" spans="1:9" x14ac:dyDescent="0.2">
      <c r="A412" s="5">
        <v>1</v>
      </c>
      <c r="B412" s="5" t="s">
        <v>1152</v>
      </c>
      <c r="C412" s="5" t="s">
        <v>1531</v>
      </c>
      <c r="D412" s="5" t="s">
        <v>1532</v>
      </c>
      <c r="E412" s="5" t="s">
        <v>88</v>
      </c>
      <c r="F412" s="5" t="s">
        <v>3500</v>
      </c>
      <c r="G412" s="5" t="s">
        <v>4005</v>
      </c>
      <c r="H412" s="5" t="s">
        <v>4006</v>
      </c>
      <c r="I412" s="5"/>
    </row>
    <row r="413" spans="1:9" x14ac:dyDescent="0.2">
      <c r="A413" s="5">
        <v>1</v>
      </c>
      <c r="B413" s="5" t="s">
        <v>1152</v>
      </c>
      <c r="C413" s="5" t="s">
        <v>1531</v>
      </c>
      <c r="D413" s="5" t="s">
        <v>1532</v>
      </c>
      <c r="E413" s="5" t="s">
        <v>88</v>
      </c>
      <c r="F413" s="5" t="s">
        <v>3115</v>
      </c>
      <c r="G413" s="5"/>
      <c r="H413" s="5" t="s">
        <v>3238</v>
      </c>
      <c r="I413" s="5"/>
    </row>
    <row r="414" spans="1:9" x14ac:dyDescent="0.2">
      <c r="A414" s="5">
        <v>1</v>
      </c>
      <c r="B414" s="5" t="s">
        <v>1152</v>
      </c>
      <c r="C414" s="5" t="s">
        <v>1531</v>
      </c>
      <c r="D414" s="5" t="s">
        <v>1532</v>
      </c>
      <c r="E414" s="5" t="s">
        <v>88</v>
      </c>
      <c r="F414" s="5" t="s">
        <v>3195</v>
      </c>
      <c r="G414" s="5"/>
      <c r="H414" s="5" t="s">
        <v>3289</v>
      </c>
      <c r="I414" s="5"/>
    </row>
    <row r="415" spans="1:9" x14ac:dyDescent="0.2">
      <c r="A415" s="5">
        <v>1</v>
      </c>
      <c r="B415" s="5" t="s">
        <v>3461</v>
      </c>
      <c r="C415" s="5" t="s">
        <v>1531</v>
      </c>
      <c r="D415" s="5" t="s">
        <v>1532</v>
      </c>
      <c r="E415" s="5" t="s">
        <v>88</v>
      </c>
      <c r="F415" s="5" t="s">
        <v>3090</v>
      </c>
      <c r="G415" s="5"/>
      <c r="H415" s="5" t="s">
        <v>3225</v>
      </c>
      <c r="I415" s="5"/>
    </row>
    <row r="416" spans="1:9" x14ac:dyDescent="0.2">
      <c r="A416" s="5">
        <v>1</v>
      </c>
      <c r="B416" s="5" t="s">
        <v>3461</v>
      </c>
      <c r="C416" s="5" t="s">
        <v>1531</v>
      </c>
      <c r="D416" s="5" t="s">
        <v>1532</v>
      </c>
      <c r="E416" s="5" t="s">
        <v>88</v>
      </c>
      <c r="F416" s="5" t="s">
        <v>3088</v>
      </c>
      <c r="G416" s="5"/>
      <c r="H416" s="5" t="s">
        <v>3223</v>
      </c>
      <c r="I416" s="5"/>
    </row>
    <row r="417" spans="1:9" x14ac:dyDescent="0.2">
      <c r="A417" s="5">
        <v>1</v>
      </c>
      <c r="B417" s="5" t="s">
        <v>3461</v>
      </c>
      <c r="C417" s="5" t="s">
        <v>1531</v>
      </c>
      <c r="D417" s="5" t="s">
        <v>1532</v>
      </c>
      <c r="E417" s="5" t="s">
        <v>88</v>
      </c>
      <c r="F417" s="5" t="s">
        <v>3121</v>
      </c>
      <c r="G417" s="5"/>
      <c r="H417" s="5" t="s">
        <v>3240</v>
      </c>
      <c r="I417" s="5"/>
    </row>
    <row r="418" spans="1:9" x14ac:dyDescent="0.2">
      <c r="A418" s="5">
        <v>1</v>
      </c>
      <c r="B418" s="5" t="s">
        <v>3461</v>
      </c>
      <c r="C418" s="5" t="s">
        <v>1531</v>
      </c>
      <c r="D418" s="5" t="s">
        <v>1532</v>
      </c>
      <c r="E418" s="5" t="s">
        <v>88</v>
      </c>
      <c r="F418" s="5" t="s">
        <v>3228</v>
      </c>
      <c r="G418" s="5"/>
      <c r="H418" s="5" t="s">
        <v>3229</v>
      </c>
      <c r="I418" s="5"/>
    </row>
    <row r="419" spans="1:9" x14ac:dyDescent="0.2">
      <c r="A419" s="5">
        <v>1</v>
      </c>
      <c r="B419" s="5" t="s">
        <v>3461</v>
      </c>
      <c r="C419" s="5" t="s">
        <v>1531</v>
      </c>
      <c r="D419" s="5" t="s">
        <v>1532</v>
      </c>
      <c r="E419" s="5" t="s">
        <v>88</v>
      </c>
      <c r="F419" s="5" t="s">
        <v>3128</v>
      </c>
      <c r="G419" s="5"/>
      <c r="H419" s="5" t="s">
        <v>3226</v>
      </c>
      <c r="I419" s="5"/>
    </row>
    <row r="420" spans="1:9" x14ac:dyDescent="0.2">
      <c r="A420" s="5">
        <v>1</v>
      </c>
      <c r="B420" s="5" t="s">
        <v>3461</v>
      </c>
      <c r="C420" s="5" t="s">
        <v>1531</v>
      </c>
      <c r="D420" s="5" t="s">
        <v>1532</v>
      </c>
      <c r="E420" s="5" t="s">
        <v>88</v>
      </c>
      <c r="F420" s="5" t="s">
        <v>3117</v>
      </c>
      <c r="G420" s="5"/>
      <c r="H420" s="5" t="s">
        <v>3230</v>
      </c>
      <c r="I420" s="5"/>
    </row>
    <row r="421" spans="1:9" x14ac:dyDescent="0.2">
      <c r="A421" s="5">
        <v>1</v>
      </c>
      <c r="B421" s="5" t="s">
        <v>3461</v>
      </c>
      <c r="C421" s="5" t="s">
        <v>1531</v>
      </c>
      <c r="D421" s="5" t="s">
        <v>1532</v>
      </c>
      <c r="E421" s="5" t="s">
        <v>88</v>
      </c>
      <c r="F421" s="5" t="s">
        <v>3116</v>
      </c>
      <c r="G421" s="5"/>
      <c r="H421" s="5" t="s">
        <v>3227</v>
      </c>
      <c r="I421" s="5"/>
    </row>
    <row r="422" spans="1:9" x14ac:dyDescent="0.2">
      <c r="A422" s="5">
        <v>1</v>
      </c>
      <c r="B422" s="5" t="s">
        <v>3461</v>
      </c>
      <c r="C422" s="5" t="s">
        <v>1531</v>
      </c>
      <c r="D422" s="5" t="s">
        <v>1532</v>
      </c>
      <c r="E422" s="5" t="s">
        <v>88</v>
      </c>
      <c r="F422" s="5" t="s">
        <v>3243</v>
      </c>
      <c r="G422" s="5"/>
      <c r="H422" s="5" t="s">
        <v>3231</v>
      </c>
      <c r="I422" s="5"/>
    </row>
    <row r="423" spans="1:9" x14ac:dyDescent="0.2">
      <c r="A423" s="5">
        <v>1</v>
      </c>
      <c r="B423" s="5" t="s">
        <v>3461</v>
      </c>
      <c r="C423" s="5" t="s">
        <v>1531</v>
      </c>
      <c r="D423" s="5" t="s">
        <v>1532</v>
      </c>
      <c r="E423" s="5" t="s">
        <v>88</v>
      </c>
      <c r="F423" s="5" t="s">
        <v>3570</v>
      </c>
      <c r="G423" s="5" t="s">
        <v>3575</v>
      </c>
      <c r="H423" s="5"/>
      <c r="I423" s="5"/>
    </row>
    <row r="424" spans="1:9" x14ac:dyDescent="0.2">
      <c r="A424" s="5">
        <v>1</v>
      </c>
      <c r="B424" s="5" t="s">
        <v>3461</v>
      </c>
      <c r="C424" s="5" t="s">
        <v>1531</v>
      </c>
      <c r="D424" s="5" t="s">
        <v>1532</v>
      </c>
      <c r="E424" s="5" t="s">
        <v>88</v>
      </c>
      <c r="F424" s="5" t="s">
        <v>3570</v>
      </c>
      <c r="G424" s="5" t="s">
        <v>3576</v>
      </c>
      <c r="H424" s="5"/>
      <c r="I424" s="5"/>
    </row>
    <row r="425" spans="1:9" x14ac:dyDescent="0.2">
      <c r="A425" s="5">
        <v>1</v>
      </c>
      <c r="B425" s="5" t="s">
        <v>3461</v>
      </c>
      <c r="C425" s="5" t="s">
        <v>1531</v>
      </c>
      <c r="D425" s="5" t="s">
        <v>1532</v>
      </c>
      <c r="E425" s="5" t="s">
        <v>88</v>
      </c>
      <c r="F425" s="5" t="s">
        <v>3570</v>
      </c>
      <c r="G425" s="5" t="s">
        <v>3278</v>
      </c>
      <c r="H425" s="5"/>
      <c r="I425" s="5"/>
    </row>
    <row r="426" spans="1:9" x14ac:dyDescent="0.2">
      <c r="A426" s="5">
        <v>1</v>
      </c>
      <c r="B426" s="5" t="s">
        <v>3461</v>
      </c>
      <c r="C426" s="5" t="s">
        <v>1531</v>
      </c>
      <c r="D426" s="5" t="s">
        <v>1532</v>
      </c>
      <c r="E426" s="5" t="s">
        <v>88</v>
      </c>
      <c r="F426" s="5" t="s">
        <v>3570</v>
      </c>
      <c r="G426" s="5" t="s">
        <v>3279</v>
      </c>
      <c r="H426" s="5"/>
      <c r="I426" s="5"/>
    </row>
    <row r="427" spans="1:9" x14ac:dyDescent="0.2">
      <c r="A427" s="5">
        <v>1</v>
      </c>
      <c r="B427" s="5" t="s">
        <v>3461</v>
      </c>
      <c r="C427" s="5" t="s">
        <v>1531</v>
      </c>
      <c r="D427" s="5" t="s">
        <v>1532</v>
      </c>
      <c r="E427" s="5" t="s">
        <v>88</v>
      </c>
      <c r="F427" s="5" t="s">
        <v>3570</v>
      </c>
      <c r="G427" s="5" t="s">
        <v>3280</v>
      </c>
      <c r="H427" s="5"/>
      <c r="I427" s="5"/>
    </row>
    <row r="428" spans="1:9" x14ac:dyDescent="0.2">
      <c r="A428" s="5">
        <v>1</v>
      </c>
      <c r="B428" s="5" t="s">
        <v>3461</v>
      </c>
      <c r="C428" s="5" t="s">
        <v>1531</v>
      </c>
      <c r="D428" s="5" t="s">
        <v>1532</v>
      </c>
      <c r="E428" s="5" t="s">
        <v>88</v>
      </c>
      <c r="F428" s="5" t="s">
        <v>3570</v>
      </c>
      <c r="G428" s="5" t="s">
        <v>3281</v>
      </c>
      <c r="H428" s="5"/>
      <c r="I428" s="5"/>
    </row>
    <row r="429" spans="1:9" x14ac:dyDescent="0.2">
      <c r="A429" s="5">
        <v>1</v>
      </c>
      <c r="B429" s="5" t="s">
        <v>3461</v>
      </c>
      <c r="C429" s="5" t="s">
        <v>1531</v>
      </c>
      <c r="D429" s="5" t="s">
        <v>1532</v>
      </c>
      <c r="E429" s="5" t="s">
        <v>88</v>
      </c>
      <c r="F429" s="5" t="s">
        <v>3570</v>
      </c>
      <c r="G429" s="5" t="s">
        <v>3577</v>
      </c>
      <c r="H429" s="5"/>
      <c r="I429" s="5"/>
    </row>
    <row r="430" spans="1:9" x14ac:dyDescent="0.2">
      <c r="A430" s="5">
        <v>1</v>
      </c>
      <c r="B430" s="5" t="s">
        <v>3461</v>
      </c>
      <c r="C430" s="5" t="s">
        <v>1531</v>
      </c>
      <c r="D430" s="5" t="s">
        <v>1532</v>
      </c>
      <c r="E430" s="5" t="s">
        <v>88</v>
      </c>
      <c r="F430" s="5" t="s">
        <v>3570</v>
      </c>
      <c r="G430" s="5" t="s">
        <v>3578</v>
      </c>
      <c r="H430" s="5"/>
      <c r="I430" s="5"/>
    </row>
    <row r="431" spans="1:9" x14ac:dyDescent="0.2">
      <c r="A431" s="5">
        <v>1</v>
      </c>
      <c r="B431" s="5" t="s">
        <v>3461</v>
      </c>
      <c r="C431" s="5" t="s">
        <v>1531</v>
      </c>
      <c r="D431" s="5" t="s">
        <v>1532</v>
      </c>
      <c r="E431" s="5" t="s">
        <v>88</v>
      </c>
      <c r="F431" s="5" t="s">
        <v>3570</v>
      </c>
      <c r="G431" s="5" t="s">
        <v>3284</v>
      </c>
      <c r="H431" s="5"/>
      <c r="I431" s="5"/>
    </row>
    <row r="432" spans="1:9" x14ac:dyDescent="0.2">
      <c r="A432" s="5">
        <v>1</v>
      </c>
      <c r="B432" s="5" t="s">
        <v>3461</v>
      </c>
      <c r="C432" s="5" t="s">
        <v>1531</v>
      </c>
      <c r="D432" s="5" t="s">
        <v>1532</v>
      </c>
      <c r="E432" s="5" t="s">
        <v>88</v>
      </c>
      <c r="F432" s="5" t="s">
        <v>3570</v>
      </c>
      <c r="G432" s="5" t="s">
        <v>3579</v>
      </c>
      <c r="H432" s="5"/>
      <c r="I432" s="5"/>
    </row>
    <row r="433" spans="1:9" x14ac:dyDescent="0.2">
      <c r="A433" s="5">
        <v>1</v>
      </c>
      <c r="B433" s="5" t="s">
        <v>3461</v>
      </c>
      <c r="C433" s="5" t="s">
        <v>1531</v>
      </c>
      <c r="D433" s="5" t="s">
        <v>1532</v>
      </c>
      <c r="E433" s="5" t="s">
        <v>88</v>
      </c>
      <c r="F433" s="5" t="s">
        <v>3570</v>
      </c>
      <c r="G433" s="5" t="s">
        <v>3580</v>
      </c>
      <c r="H433" s="5"/>
      <c r="I433" s="5"/>
    </row>
    <row r="434" spans="1:9" x14ac:dyDescent="0.2">
      <c r="A434" s="5">
        <v>1</v>
      </c>
      <c r="B434" s="5" t="s">
        <v>3461</v>
      </c>
      <c r="C434" s="5" t="s">
        <v>2544</v>
      </c>
      <c r="D434" s="5" t="s">
        <v>2545</v>
      </c>
      <c r="E434" s="5" t="s">
        <v>88</v>
      </c>
      <c r="F434" s="5" t="s">
        <v>3570</v>
      </c>
      <c r="G434" s="5" t="s">
        <v>3667</v>
      </c>
      <c r="H434" s="5"/>
      <c r="I434" s="5"/>
    </row>
    <row r="435" spans="1:9" x14ac:dyDescent="0.2">
      <c r="A435" s="5">
        <v>1</v>
      </c>
      <c r="B435" s="5" t="s">
        <v>3461</v>
      </c>
      <c r="C435" s="5" t="s">
        <v>1531</v>
      </c>
      <c r="D435" s="5" t="s">
        <v>1532</v>
      </c>
      <c r="E435" s="5" t="s">
        <v>88</v>
      </c>
      <c r="F435" s="5" t="s">
        <v>3569</v>
      </c>
      <c r="G435" s="5" t="s">
        <v>3278</v>
      </c>
      <c r="H435" s="5"/>
      <c r="I435" s="5"/>
    </row>
    <row r="436" spans="1:9" x14ac:dyDescent="0.2">
      <c r="A436" s="5">
        <v>1</v>
      </c>
      <c r="B436" s="5" t="s">
        <v>3461</v>
      </c>
      <c r="C436" s="5" t="s">
        <v>1531</v>
      </c>
      <c r="D436" s="5" t="s">
        <v>1532</v>
      </c>
      <c r="E436" s="5" t="s">
        <v>88</v>
      </c>
      <c r="F436" s="5" t="s">
        <v>3569</v>
      </c>
      <c r="G436" s="5" t="s">
        <v>3279</v>
      </c>
      <c r="H436" s="5"/>
      <c r="I436" s="5"/>
    </row>
    <row r="437" spans="1:9" x14ac:dyDescent="0.2">
      <c r="A437" s="5">
        <v>1</v>
      </c>
      <c r="B437" s="5" t="s">
        <v>3461</v>
      </c>
      <c r="C437" s="5" t="s">
        <v>1531</v>
      </c>
      <c r="D437" s="5" t="s">
        <v>1532</v>
      </c>
      <c r="E437" s="5" t="s">
        <v>88</v>
      </c>
      <c r="F437" s="5" t="s">
        <v>3569</v>
      </c>
      <c r="G437" s="5" t="s">
        <v>3280</v>
      </c>
      <c r="H437" s="5"/>
      <c r="I437" s="5"/>
    </row>
    <row r="438" spans="1:9" x14ac:dyDescent="0.2">
      <c r="A438" s="5">
        <v>1</v>
      </c>
      <c r="B438" s="5" t="s">
        <v>3461</v>
      </c>
      <c r="C438" s="5" t="s">
        <v>1531</v>
      </c>
      <c r="D438" s="5" t="s">
        <v>1532</v>
      </c>
      <c r="E438" s="5" t="s">
        <v>88</v>
      </c>
      <c r="F438" s="5" t="s">
        <v>3569</v>
      </c>
      <c r="G438" s="5" t="s">
        <v>3281</v>
      </c>
      <c r="H438" s="5"/>
      <c r="I438" s="5"/>
    </row>
    <row r="439" spans="1:9" x14ac:dyDescent="0.2">
      <c r="A439" s="5">
        <v>1</v>
      </c>
      <c r="B439" s="5" t="s">
        <v>3461</v>
      </c>
      <c r="C439" s="5" t="s">
        <v>1531</v>
      </c>
      <c r="D439" s="5" t="s">
        <v>1532</v>
      </c>
      <c r="E439" s="5" t="s">
        <v>88</v>
      </c>
      <c r="F439" s="5" t="s">
        <v>2984</v>
      </c>
      <c r="G439" s="5" t="s">
        <v>3278</v>
      </c>
      <c r="H439" s="5"/>
      <c r="I439" s="5"/>
    </row>
    <row r="440" spans="1:9" x14ac:dyDescent="0.2">
      <c r="A440" s="5">
        <v>1</v>
      </c>
      <c r="B440" s="5" t="s">
        <v>3461</v>
      </c>
      <c r="C440" s="5" t="s">
        <v>1531</v>
      </c>
      <c r="D440" s="5" t="s">
        <v>1532</v>
      </c>
      <c r="E440" s="5" t="s">
        <v>88</v>
      </c>
      <c r="F440" s="5" t="s">
        <v>2984</v>
      </c>
      <c r="G440" s="5" t="s">
        <v>3279</v>
      </c>
      <c r="H440" s="5"/>
      <c r="I440" s="5"/>
    </row>
    <row r="441" spans="1:9" x14ac:dyDescent="0.2">
      <c r="A441" s="5">
        <v>1</v>
      </c>
      <c r="B441" s="5" t="s">
        <v>3461</v>
      </c>
      <c r="C441" s="5" t="s">
        <v>1531</v>
      </c>
      <c r="D441" s="5" t="s">
        <v>1532</v>
      </c>
      <c r="E441" s="5" t="s">
        <v>88</v>
      </c>
      <c r="F441" s="5" t="s">
        <v>2984</v>
      </c>
      <c r="G441" s="5" t="s">
        <v>3280</v>
      </c>
      <c r="H441" s="5"/>
      <c r="I441" s="5"/>
    </row>
    <row r="442" spans="1:9" x14ac:dyDescent="0.2">
      <c r="A442" s="5">
        <v>1</v>
      </c>
      <c r="B442" s="5" t="s">
        <v>3461</v>
      </c>
      <c r="C442" s="5" t="s">
        <v>1531</v>
      </c>
      <c r="D442" s="5" t="s">
        <v>1532</v>
      </c>
      <c r="E442" s="5" t="s">
        <v>88</v>
      </c>
      <c r="F442" s="5" t="s">
        <v>2984</v>
      </c>
      <c r="G442" s="5" t="s">
        <v>3281</v>
      </c>
      <c r="H442" s="5"/>
      <c r="I442" s="5"/>
    </row>
    <row r="443" spans="1:9" x14ac:dyDescent="0.2">
      <c r="A443" s="5">
        <v>1</v>
      </c>
      <c r="B443" s="5" t="s">
        <v>3461</v>
      </c>
      <c r="C443" s="5" t="s">
        <v>1531</v>
      </c>
      <c r="D443" s="5" t="s">
        <v>1532</v>
      </c>
      <c r="E443" s="5" t="s">
        <v>88</v>
      </c>
      <c r="F443" s="5" t="s">
        <v>2984</v>
      </c>
      <c r="G443" s="5" t="s">
        <v>3282</v>
      </c>
      <c r="H443" s="5"/>
      <c r="I443" s="5"/>
    </row>
    <row r="444" spans="1:9" x14ac:dyDescent="0.2">
      <c r="A444" s="5">
        <v>1</v>
      </c>
      <c r="B444" s="5" t="s">
        <v>3461</v>
      </c>
      <c r="C444" s="5" t="s">
        <v>1531</v>
      </c>
      <c r="D444" s="5" t="s">
        <v>1532</v>
      </c>
      <c r="E444" s="5" t="s">
        <v>88</v>
      </c>
      <c r="F444" s="5" t="s">
        <v>2984</v>
      </c>
      <c r="G444" s="5" t="s">
        <v>3283</v>
      </c>
      <c r="H444" s="5"/>
      <c r="I444" s="5"/>
    </row>
    <row r="445" spans="1:9" x14ac:dyDescent="0.2">
      <c r="A445" s="5">
        <v>1</v>
      </c>
      <c r="B445" s="5" t="s">
        <v>3461</v>
      </c>
      <c r="C445" s="5" t="s">
        <v>1531</v>
      </c>
      <c r="D445" s="5" t="s">
        <v>1532</v>
      </c>
      <c r="E445" s="5" t="s">
        <v>88</v>
      </c>
      <c r="F445" s="5" t="s">
        <v>2984</v>
      </c>
      <c r="G445" s="5" t="s">
        <v>3284</v>
      </c>
      <c r="H445" s="5"/>
      <c r="I445" s="5"/>
    </row>
    <row r="446" spans="1:9" x14ac:dyDescent="0.2">
      <c r="A446" s="5">
        <v>1</v>
      </c>
      <c r="B446" s="5" t="s">
        <v>3461</v>
      </c>
      <c r="C446" s="5" t="s">
        <v>1531</v>
      </c>
      <c r="D446" s="5" t="s">
        <v>1532</v>
      </c>
      <c r="E446" s="5" t="s">
        <v>88</v>
      </c>
      <c r="F446" s="5" t="s">
        <v>2984</v>
      </c>
      <c r="G446" s="5" t="s">
        <v>3285</v>
      </c>
      <c r="H446" s="5"/>
      <c r="I446" s="5"/>
    </row>
    <row r="447" spans="1:9" x14ac:dyDescent="0.2">
      <c r="A447" s="5">
        <v>1</v>
      </c>
      <c r="B447" s="5" t="s">
        <v>3461</v>
      </c>
      <c r="C447" s="5" t="s">
        <v>1531</v>
      </c>
      <c r="D447" s="5" t="s">
        <v>1532</v>
      </c>
      <c r="E447" s="5" t="s">
        <v>88</v>
      </c>
      <c r="F447" s="5" t="s">
        <v>2984</v>
      </c>
      <c r="G447" s="5" t="s">
        <v>3286</v>
      </c>
      <c r="H447" s="5"/>
      <c r="I447" s="5"/>
    </row>
    <row r="448" spans="1:9" x14ac:dyDescent="0.2">
      <c r="A448" s="5">
        <v>1</v>
      </c>
      <c r="B448" s="5" t="s">
        <v>3461</v>
      </c>
      <c r="C448" s="5" t="s">
        <v>1531</v>
      </c>
      <c r="D448" s="5" t="s">
        <v>1532</v>
      </c>
      <c r="E448" s="5" t="s">
        <v>88</v>
      </c>
      <c r="F448" s="5" t="s">
        <v>2984</v>
      </c>
      <c r="G448" s="5" t="s">
        <v>3287</v>
      </c>
      <c r="H448" s="5"/>
      <c r="I448" s="5"/>
    </row>
    <row r="449" spans="1:9" x14ac:dyDescent="0.2">
      <c r="A449" s="5">
        <v>1</v>
      </c>
      <c r="B449" s="5" t="s">
        <v>3461</v>
      </c>
      <c r="C449" s="5" t="s">
        <v>1531</v>
      </c>
      <c r="D449" s="5" t="s">
        <v>1532</v>
      </c>
      <c r="E449" s="5" t="s">
        <v>88</v>
      </c>
      <c r="F449" s="5" t="s">
        <v>2984</v>
      </c>
      <c r="G449" s="5" t="s">
        <v>3288</v>
      </c>
      <c r="H449" s="5"/>
      <c r="I449" s="5"/>
    </row>
    <row r="450" spans="1:9" x14ac:dyDescent="0.2">
      <c r="A450" s="5">
        <v>1</v>
      </c>
      <c r="B450" s="5" t="s">
        <v>3461</v>
      </c>
      <c r="C450" s="5" t="s">
        <v>1757</v>
      </c>
      <c r="D450" s="5" t="s">
        <v>1758</v>
      </c>
      <c r="E450" s="5" t="s">
        <v>88</v>
      </c>
      <c r="F450" s="5" t="s">
        <v>2984</v>
      </c>
      <c r="G450" s="5" t="s">
        <v>3319</v>
      </c>
      <c r="H450" s="5"/>
      <c r="I450" s="5"/>
    </row>
    <row r="451" spans="1:9" x14ac:dyDescent="0.2">
      <c r="A451" s="5">
        <v>1</v>
      </c>
      <c r="B451" s="5" t="s">
        <v>3461</v>
      </c>
      <c r="C451" s="5" t="s">
        <v>1757</v>
      </c>
      <c r="D451" s="5" t="s">
        <v>1758</v>
      </c>
      <c r="E451" s="5" t="s">
        <v>88</v>
      </c>
      <c r="F451" s="5" t="s">
        <v>2984</v>
      </c>
      <c r="G451" s="5" t="s">
        <v>3320</v>
      </c>
      <c r="H451" s="5"/>
      <c r="I451" s="5"/>
    </row>
    <row r="452" spans="1:9" x14ac:dyDescent="0.2">
      <c r="A452" s="5">
        <v>1</v>
      </c>
      <c r="B452" s="5" t="s">
        <v>3461</v>
      </c>
      <c r="C452" s="5" t="s">
        <v>1531</v>
      </c>
      <c r="D452" s="5" t="s">
        <v>1532</v>
      </c>
      <c r="E452" s="5" t="s">
        <v>88</v>
      </c>
      <c r="F452" s="5" t="s">
        <v>3123</v>
      </c>
      <c r="G452" s="5" t="s">
        <v>3277</v>
      </c>
      <c r="H452" s="5"/>
      <c r="I452" s="5"/>
    </row>
    <row r="453" spans="1:9" x14ac:dyDescent="0.2">
      <c r="A453" s="5">
        <v>1</v>
      </c>
      <c r="B453" s="5" t="s">
        <v>3461</v>
      </c>
      <c r="C453" s="5" t="s">
        <v>1757</v>
      </c>
      <c r="D453" s="5" t="s">
        <v>1758</v>
      </c>
      <c r="E453" s="5" t="s">
        <v>88</v>
      </c>
      <c r="F453" s="5" t="s">
        <v>3123</v>
      </c>
      <c r="G453" s="5" t="s">
        <v>3317</v>
      </c>
      <c r="H453" s="5"/>
      <c r="I453" s="5"/>
    </row>
    <row r="454" spans="1:9" x14ac:dyDescent="0.2">
      <c r="A454" s="5">
        <v>1</v>
      </c>
      <c r="B454" s="5" t="s">
        <v>3461</v>
      </c>
      <c r="C454" s="5" t="s">
        <v>1757</v>
      </c>
      <c r="D454" s="5" t="s">
        <v>1758</v>
      </c>
      <c r="E454" s="5" t="s">
        <v>88</v>
      </c>
      <c r="F454" s="5" t="s">
        <v>3123</v>
      </c>
      <c r="G454" s="5" t="s">
        <v>3318</v>
      </c>
      <c r="H454" s="5"/>
      <c r="I454" s="5"/>
    </row>
    <row r="455" spans="1:9" x14ac:dyDescent="0.2">
      <c r="A455" s="5">
        <v>1</v>
      </c>
      <c r="B455" s="5" t="s">
        <v>3638</v>
      </c>
      <c r="C455" s="5" t="s">
        <v>2271</v>
      </c>
      <c r="D455" s="5" t="s">
        <v>2272</v>
      </c>
      <c r="E455" s="5" t="s">
        <v>491</v>
      </c>
      <c r="F455" s="5" t="s">
        <v>3357</v>
      </c>
      <c r="G455" s="5"/>
      <c r="H455" s="5"/>
      <c r="I455" s="5"/>
    </row>
    <row r="456" spans="1:9" x14ac:dyDescent="0.2">
      <c r="A456" s="5">
        <v>1</v>
      </c>
      <c r="B456" s="5" t="s">
        <v>3638</v>
      </c>
      <c r="C456" s="5" t="s">
        <v>2396</v>
      </c>
      <c r="D456" s="5" t="s">
        <v>2397</v>
      </c>
      <c r="E456" s="5" t="s">
        <v>491</v>
      </c>
      <c r="F456" s="5" t="s">
        <v>3357</v>
      </c>
      <c r="G456" s="5"/>
      <c r="H456" s="5"/>
      <c r="I456" s="5"/>
    </row>
    <row r="457" spans="1:9" x14ac:dyDescent="0.2">
      <c r="A457" s="5">
        <v>1</v>
      </c>
      <c r="B457" s="5" t="s">
        <v>3638</v>
      </c>
      <c r="C457" s="5" t="s">
        <v>2398</v>
      </c>
      <c r="D457" s="5" t="s">
        <v>2399</v>
      </c>
      <c r="E457" s="5" t="s">
        <v>491</v>
      </c>
      <c r="F457" s="5" t="s">
        <v>3357</v>
      </c>
      <c r="G457" s="5"/>
      <c r="H457" s="5"/>
      <c r="I457" s="5"/>
    </row>
    <row r="458" spans="1:9" x14ac:dyDescent="0.2">
      <c r="A458" s="5">
        <v>1</v>
      </c>
      <c r="B458" s="5" t="s">
        <v>3638</v>
      </c>
      <c r="C458" s="5" t="s">
        <v>2573</v>
      </c>
      <c r="D458" s="5" t="s">
        <v>2574</v>
      </c>
      <c r="E458" s="5" t="s">
        <v>491</v>
      </c>
      <c r="F458" s="5" t="s">
        <v>3357</v>
      </c>
      <c r="G458" s="5"/>
      <c r="H458" s="5"/>
      <c r="I458" s="5"/>
    </row>
    <row r="459" spans="1:9" x14ac:dyDescent="0.2">
      <c r="A459" s="5">
        <v>1</v>
      </c>
      <c r="B459" s="5" t="s">
        <v>3638</v>
      </c>
      <c r="C459" s="5" t="s">
        <v>2265</v>
      </c>
      <c r="D459" s="5" t="s">
        <v>2266</v>
      </c>
      <c r="E459" s="5" t="s">
        <v>244</v>
      </c>
      <c r="F459" s="5" t="s">
        <v>3506</v>
      </c>
      <c r="G459" s="5" t="s">
        <v>4007</v>
      </c>
      <c r="H459" s="5" t="s">
        <v>4008</v>
      </c>
      <c r="I459" s="5"/>
    </row>
    <row r="460" spans="1:9" x14ac:dyDescent="0.2">
      <c r="A460" s="5">
        <v>1</v>
      </c>
      <c r="B460" s="5" t="s">
        <v>3638</v>
      </c>
      <c r="C460" s="5" t="s">
        <v>2265</v>
      </c>
      <c r="D460" s="5" t="s">
        <v>2266</v>
      </c>
      <c r="E460" s="5" t="s">
        <v>244</v>
      </c>
      <c r="F460" s="5" t="s">
        <v>3506</v>
      </c>
      <c r="G460" s="5" t="s">
        <v>4007</v>
      </c>
      <c r="H460" s="5" t="s">
        <v>4009</v>
      </c>
      <c r="I460" s="5"/>
    </row>
    <row r="461" spans="1:9" x14ac:dyDescent="0.2">
      <c r="A461" s="5">
        <v>1</v>
      </c>
      <c r="B461" s="5" t="s">
        <v>3638</v>
      </c>
      <c r="C461" s="5" t="s">
        <v>2400</v>
      </c>
      <c r="D461" s="5" t="s">
        <v>2401</v>
      </c>
      <c r="E461" s="5" t="s">
        <v>244</v>
      </c>
      <c r="F461" s="5" t="s">
        <v>3514</v>
      </c>
      <c r="G461" s="5" t="s">
        <v>4010</v>
      </c>
      <c r="H461" s="5" t="s">
        <v>4011</v>
      </c>
      <c r="I461" s="5"/>
    </row>
    <row r="462" spans="1:9" x14ac:dyDescent="0.2">
      <c r="A462" s="5">
        <v>1</v>
      </c>
      <c r="B462" s="5" t="s">
        <v>3638</v>
      </c>
      <c r="C462" s="5" t="s">
        <v>2400</v>
      </c>
      <c r="D462" s="5" t="s">
        <v>2401</v>
      </c>
      <c r="E462" s="5" t="s">
        <v>244</v>
      </c>
      <c r="F462" s="5" t="s">
        <v>3515</v>
      </c>
      <c r="G462" s="5" t="s">
        <v>4010</v>
      </c>
      <c r="H462" s="5" t="s">
        <v>4011</v>
      </c>
      <c r="I462" s="5"/>
    </row>
    <row r="463" spans="1:9" x14ac:dyDescent="0.2">
      <c r="A463" s="5">
        <v>1</v>
      </c>
      <c r="B463" s="5" t="s">
        <v>3638</v>
      </c>
      <c r="C463" s="5" t="s">
        <v>2400</v>
      </c>
      <c r="D463" s="5" t="s">
        <v>2401</v>
      </c>
      <c r="E463" s="5" t="s">
        <v>244</v>
      </c>
      <c r="F463" s="5" t="s">
        <v>3516</v>
      </c>
      <c r="G463" s="5" t="s">
        <v>4010</v>
      </c>
      <c r="H463" s="5" t="s">
        <v>4011</v>
      </c>
      <c r="I463" s="5"/>
    </row>
    <row r="464" spans="1:9" x14ac:dyDescent="0.2">
      <c r="A464" s="5">
        <v>1</v>
      </c>
      <c r="B464" s="5" t="s">
        <v>3638</v>
      </c>
      <c r="C464" s="5" t="s">
        <v>2564</v>
      </c>
      <c r="D464" s="5" t="s">
        <v>2565</v>
      </c>
      <c r="E464" s="5" t="s">
        <v>244</v>
      </c>
      <c r="F464" s="5" t="s">
        <v>3519</v>
      </c>
      <c r="G464" s="5" t="s">
        <v>4012</v>
      </c>
      <c r="H464" s="5" t="s">
        <v>4013</v>
      </c>
      <c r="I464" s="5"/>
    </row>
    <row r="465" spans="1:9" x14ac:dyDescent="0.2">
      <c r="A465" s="5">
        <v>1</v>
      </c>
      <c r="B465" s="5" t="s">
        <v>3638</v>
      </c>
      <c r="C465" s="5" t="s">
        <v>2804</v>
      </c>
      <c r="D465" s="5" t="s">
        <v>2805</v>
      </c>
      <c r="E465" s="5" t="s">
        <v>244</v>
      </c>
      <c r="F465" s="5" t="s">
        <v>3536</v>
      </c>
      <c r="G465" s="5" t="s">
        <v>4014</v>
      </c>
      <c r="H465" s="5" t="s">
        <v>4015</v>
      </c>
      <c r="I465" s="5"/>
    </row>
    <row r="466" spans="1:9" x14ac:dyDescent="0.2">
      <c r="A466" s="5">
        <v>1</v>
      </c>
      <c r="B466" s="5" t="s">
        <v>3638</v>
      </c>
      <c r="C466" s="5" t="s">
        <v>2804</v>
      </c>
      <c r="D466" s="5" t="s">
        <v>2805</v>
      </c>
      <c r="E466" s="5" t="s">
        <v>244</v>
      </c>
      <c r="F466" s="5" t="s">
        <v>3537</v>
      </c>
      <c r="G466" s="5" t="s">
        <v>4014</v>
      </c>
      <c r="H466" s="5" t="s">
        <v>4015</v>
      </c>
      <c r="I466" s="5"/>
    </row>
    <row r="467" spans="1:9" x14ac:dyDescent="0.2">
      <c r="A467" s="5">
        <v>1</v>
      </c>
      <c r="B467" s="5" t="s">
        <v>3638</v>
      </c>
      <c r="C467" s="5" t="s">
        <v>2804</v>
      </c>
      <c r="D467" s="5" t="s">
        <v>2805</v>
      </c>
      <c r="E467" s="5" t="s">
        <v>244</v>
      </c>
      <c r="F467" s="5" t="s">
        <v>3540</v>
      </c>
      <c r="G467" s="5" t="s">
        <v>4016</v>
      </c>
      <c r="H467" s="5" t="s">
        <v>4017</v>
      </c>
      <c r="I467" s="5"/>
    </row>
    <row r="468" spans="1:9" x14ac:dyDescent="0.2">
      <c r="A468" s="5">
        <v>1</v>
      </c>
      <c r="B468" s="5" t="s">
        <v>3638</v>
      </c>
      <c r="C468" s="5" t="s">
        <v>2804</v>
      </c>
      <c r="D468" s="5" t="s">
        <v>2805</v>
      </c>
      <c r="E468" s="5" t="s">
        <v>244</v>
      </c>
      <c r="F468" s="5" t="s">
        <v>3541</v>
      </c>
      <c r="G468" s="5" t="s">
        <v>4016</v>
      </c>
      <c r="H468" s="5" t="s">
        <v>4017</v>
      </c>
      <c r="I468" s="5"/>
    </row>
    <row r="469" spans="1:9" x14ac:dyDescent="0.2">
      <c r="A469" s="5">
        <v>1</v>
      </c>
      <c r="B469" s="5" t="s">
        <v>3638</v>
      </c>
      <c r="C469" s="5" t="s">
        <v>2804</v>
      </c>
      <c r="D469" s="5" t="s">
        <v>2805</v>
      </c>
      <c r="E469" s="5" t="s">
        <v>244</v>
      </c>
      <c r="F469" s="5" t="s">
        <v>3542</v>
      </c>
      <c r="G469" s="5" t="s">
        <v>4016</v>
      </c>
      <c r="H469" s="5" t="s">
        <v>4017</v>
      </c>
      <c r="I469" s="5"/>
    </row>
    <row r="470" spans="1:9" x14ac:dyDescent="0.2">
      <c r="A470" s="5">
        <v>1</v>
      </c>
      <c r="B470" s="5" t="s">
        <v>3638</v>
      </c>
      <c r="C470" s="5" t="s">
        <v>2804</v>
      </c>
      <c r="D470" s="5" t="s">
        <v>2805</v>
      </c>
      <c r="E470" s="5" t="s">
        <v>244</v>
      </c>
      <c r="F470" s="5" t="s">
        <v>3534</v>
      </c>
      <c r="G470" s="5" t="s">
        <v>4018</v>
      </c>
      <c r="H470" s="5" t="s">
        <v>4019</v>
      </c>
      <c r="I470" s="5"/>
    </row>
    <row r="471" spans="1:9" x14ac:dyDescent="0.2">
      <c r="A471" s="5">
        <v>1</v>
      </c>
      <c r="B471" s="5" t="s">
        <v>3638</v>
      </c>
      <c r="C471" s="5" t="s">
        <v>2804</v>
      </c>
      <c r="D471" s="5" t="s">
        <v>2805</v>
      </c>
      <c r="E471" s="5" t="s">
        <v>244</v>
      </c>
      <c r="F471" s="5" t="s">
        <v>3534</v>
      </c>
      <c r="G471" s="5" t="s">
        <v>4018</v>
      </c>
      <c r="H471" s="5" t="s">
        <v>4020</v>
      </c>
      <c r="I471" s="5"/>
    </row>
    <row r="472" spans="1:9" x14ac:dyDescent="0.2">
      <c r="A472" s="5">
        <v>1</v>
      </c>
      <c r="B472" s="5" t="s">
        <v>3638</v>
      </c>
      <c r="C472" s="5" t="s">
        <v>2804</v>
      </c>
      <c r="D472" s="5" t="s">
        <v>2805</v>
      </c>
      <c r="E472" s="5" t="s">
        <v>244</v>
      </c>
      <c r="F472" s="5" t="s">
        <v>3534</v>
      </c>
      <c r="G472" s="5" t="s">
        <v>4018</v>
      </c>
      <c r="H472" s="5" t="s">
        <v>4021</v>
      </c>
      <c r="I472" s="5"/>
    </row>
    <row r="473" spans="1:9" x14ac:dyDescent="0.2">
      <c r="A473" s="5">
        <v>1</v>
      </c>
      <c r="B473" s="5" t="s">
        <v>3638</v>
      </c>
      <c r="C473" s="5" t="s">
        <v>2804</v>
      </c>
      <c r="D473" s="5" t="s">
        <v>2805</v>
      </c>
      <c r="E473" s="5" t="s">
        <v>244</v>
      </c>
      <c r="F473" s="5" t="s">
        <v>3534</v>
      </c>
      <c r="G473" s="5" t="s">
        <v>4018</v>
      </c>
      <c r="H473" s="5" t="s">
        <v>4022</v>
      </c>
      <c r="I473" s="5"/>
    </row>
    <row r="474" spans="1:9" x14ac:dyDescent="0.2">
      <c r="A474" s="5">
        <v>1</v>
      </c>
      <c r="B474" s="5" t="s">
        <v>3638</v>
      </c>
      <c r="C474" s="5" t="s">
        <v>2804</v>
      </c>
      <c r="D474" s="5" t="s">
        <v>2805</v>
      </c>
      <c r="E474" s="5" t="s">
        <v>244</v>
      </c>
      <c r="F474" s="5" t="s">
        <v>3534</v>
      </c>
      <c r="G474" s="5" t="s">
        <v>4018</v>
      </c>
      <c r="H474" s="5" t="s">
        <v>4023</v>
      </c>
      <c r="I474" s="5"/>
    </row>
    <row r="475" spans="1:9" x14ac:dyDescent="0.2">
      <c r="A475" s="5">
        <v>1</v>
      </c>
      <c r="B475" s="5" t="s">
        <v>3638</v>
      </c>
      <c r="C475" s="5" t="s">
        <v>2804</v>
      </c>
      <c r="D475" s="5" t="s">
        <v>2805</v>
      </c>
      <c r="E475" s="5" t="s">
        <v>244</v>
      </c>
      <c r="F475" s="5" t="s">
        <v>3534</v>
      </c>
      <c r="G475" s="5" t="s">
        <v>4018</v>
      </c>
      <c r="H475" s="5" t="s">
        <v>4024</v>
      </c>
      <c r="I475" s="5"/>
    </row>
    <row r="476" spans="1:9" x14ac:dyDescent="0.2">
      <c r="A476" s="5">
        <v>1</v>
      </c>
      <c r="B476" s="5" t="s">
        <v>3638</v>
      </c>
      <c r="C476" s="5" t="s">
        <v>2804</v>
      </c>
      <c r="D476" s="5" t="s">
        <v>2805</v>
      </c>
      <c r="E476" s="5" t="s">
        <v>244</v>
      </c>
      <c r="F476" s="5" t="s">
        <v>3534</v>
      </c>
      <c r="G476" s="5" t="s">
        <v>4018</v>
      </c>
      <c r="H476" s="5" t="s">
        <v>4025</v>
      </c>
      <c r="I476" s="5"/>
    </row>
    <row r="477" spans="1:9" x14ac:dyDescent="0.2">
      <c r="A477" s="5">
        <v>1</v>
      </c>
      <c r="B477" s="5" t="s">
        <v>3638</v>
      </c>
      <c r="C477" s="5" t="s">
        <v>2804</v>
      </c>
      <c r="D477" s="5" t="s">
        <v>2805</v>
      </c>
      <c r="E477" s="5" t="s">
        <v>244</v>
      </c>
      <c r="F477" s="5" t="s">
        <v>3534</v>
      </c>
      <c r="G477" s="5" t="s">
        <v>4018</v>
      </c>
      <c r="H477" s="5" t="s">
        <v>4026</v>
      </c>
      <c r="I477" s="5"/>
    </row>
    <row r="478" spans="1:9" x14ac:dyDescent="0.2">
      <c r="A478" s="5">
        <v>1</v>
      </c>
      <c r="B478" s="5" t="s">
        <v>3638</v>
      </c>
      <c r="C478" s="5" t="s">
        <v>2804</v>
      </c>
      <c r="D478" s="5" t="s">
        <v>2805</v>
      </c>
      <c r="E478" s="5" t="s">
        <v>244</v>
      </c>
      <c r="F478" s="5" t="s">
        <v>3534</v>
      </c>
      <c r="G478" s="5" t="s">
        <v>4018</v>
      </c>
      <c r="H478" s="5" t="s">
        <v>4027</v>
      </c>
      <c r="I478" s="5"/>
    </row>
    <row r="479" spans="1:9" x14ac:dyDescent="0.2">
      <c r="A479" s="5">
        <v>1</v>
      </c>
      <c r="B479" s="5" t="s">
        <v>3638</v>
      </c>
      <c r="C479" s="5" t="s">
        <v>2804</v>
      </c>
      <c r="D479" s="5" t="s">
        <v>2805</v>
      </c>
      <c r="E479" s="5" t="s">
        <v>244</v>
      </c>
      <c r="F479" s="5" t="s">
        <v>3534</v>
      </c>
      <c r="G479" s="5" t="s">
        <v>4018</v>
      </c>
      <c r="H479" s="5" t="s">
        <v>4028</v>
      </c>
      <c r="I479" s="5"/>
    </row>
    <row r="480" spans="1:9" x14ac:dyDescent="0.2">
      <c r="A480" s="5">
        <v>1</v>
      </c>
      <c r="B480" s="5" t="s">
        <v>3638</v>
      </c>
      <c r="C480" s="5" t="s">
        <v>2804</v>
      </c>
      <c r="D480" s="5" t="s">
        <v>2805</v>
      </c>
      <c r="E480" s="5" t="s">
        <v>244</v>
      </c>
      <c r="F480" s="5" t="s">
        <v>3534</v>
      </c>
      <c r="G480" s="5" t="s">
        <v>4018</v>
      </c>
      <c r="H480" s="5" t="s">
        <v>4029</v>
      </c>
      <c r="I480" s="5"/>
    </row>
    <row r="481" spans="1:9" x14ac:dyDescent="0.2">
      <c r="A481" s="5">
        <v>1</v>
      </c>
      <c r="B481" s="5" t="s">
        <v>3638</v>
      </c>
      <c r="C481" s="5" t="s">
        <v>2804</v>
      </c>
      <c r="D481" s="5" t="s">
        <v>2805</v>
      </c>
      <c r="E481" s="5" t="s">
        <v>244</v>
      </c>
      <c r="F481" s="5" t="s">
        <v>3534</v>
      </c>
      <c r="G481" s="5" t="s">
        <v>4018</v>
      </c>
      <c r="H481" s="5" t="s">
        <v>4030</v>
      </c>
      <c r="I481" s="5"/>
    </row>
    <row r="482" spans="1:9" x14ac:dyDescent="0.2">
      <c r="A482" s="5">
        <v>1</v>
      </c>
      <c r="B482" s="5" t="s">
        <v>3638</v>
      </c>
      <c r="C482" s="5" t="s">
        <v>2804</v>
      </c>
      <c r="D482" s="5" t="s">
        <v>2805</v>
      </c>
      <c r="E482" s="5" t="s">
        <v>244</v>
      </c>
      <c r="F482" s="5" t="s">
        <v>3534</v>
      </c>
      <c r="G482" s="5" t="s">
        <v>4018</v>
      </c>
      <c r="H482" s="5" t="s">
        <v>4031</v>
      </c>
      <c r="I482" s="5"/>
    </row>
    <row r="483" spans="1:9" x14ac:dyDescent="0.2">
      <c r="A483" s="5">
        <v>1</v>
      </c>
      <c r="B483" s="5" t="s">
        <v>3638</v>
      </c>
      <c r="C483" s="5" t="s">
        <v>2804</v>
      </c>
      <c r="D483" s="5" t="s">
        <v>2805</v>
      </c>
      <c r="E483" s="5" t="s">
        <v>244</v>
      </c>
      <c r="F483" s="5" t="s">
        <v>3534</v>
      </c>
      <c r="G483" s="5" t="s">
        <v>4018</v>
      </c>
      <c r="H483" s="5" t="s">
        <v>4032</v>
      </c>
      <c r="I483" s="5"/>
    </row>
    <row r="484" spans="1:9" x14ac:dyDescent="0.2">
      <c r="A484" s="5">
        <v>1</v>
      </c>
      <c r="B484" s="5" t="s">
        <v>3638</v>
      </c>
      <c r="C484" s="5" t="s">
        <v>2804</v>
      </c>
      <c r="D484" s="5" t="s">
        <v>2805</v>
      </c>
      <c r="E484" s="5" t="s">
        <v>244</v>
      </c>
      <c r="F484" s="5" t="s">
        <v>3534</v>
      </c>
      <c r="G484" s="5" t="s">
        <v>4018</v>
      </c>
      <c r="H484" s="5" t="s">
        <v>4033</v>
      </c>
      <c r="I484" s="5"/>
    </row>
    <row r="485" spans="1:9" x14ac:dyDescent="0.2">
      <c r="A485" s="5">
        <v>1</v>
      </c>
      <c r="B485" s="5" t="s">
        <v>3638</v>
      </c>
      <c r="C485" s="5" t="s">
        <v>2804</v>
      </c>
      <c r="D485" s="5" t="s">
        <v>2805</v>
      </c>
      <c r="E485" s="5" t="s">
        <v>244</v>
      </c>
      <c r="F485" s="5" t="s">
        <v>3534</v>
      </c>
      <c r="G485" s="5" t="s">
        <v>4018</v>
      </c>
      <c r="H485" s="5" t="s">
        <v>4034</v>
      </c>
      <c r="I485" s="5"/>
    </row>
    <row r="486" spans="1:9" x14ac:dyDescent="0.2">
      <c r="A486" s="5">
        <v>1</v>
      </c>
      <c r="B486" s="5" t="s">
        <v>3638</v>
      </c>
      <c r="C486" s="5" t="s">
        <v>2804</v>
      </c>
      <c r="D486" s="5" t="s">
        <v>2805</v>
      </c>
      <c r="E486" s="5" t="s">
        <v>244</v>
      </c>
      <c r="F486" s="5" t="s">
        <v>3534</v>
      </c>
      <c r="G486" s="5" t="s">
        <v>4018</v>
      </c>
      <c r="H486" s="5" t="s">
        <v>4035</v>
      </c>
      <c r="I486" s="5"/>
    </row>
    <row r="487" spans="1:9" x14ac:dyDescent="0.2">
      <c r="A487" s="5">
        <v>1</v>
      </c>
      <c r="B487" s="5" t="s">
        <v>3638</v>
      </c>
      <c r="C487" s="5" t="s">
        <v>2804</v>
      </c>
      <c r="D487" s="5" t="s">
        <v>2805</v>
      </c>
      <c r="E487" s="5" t="s">
        <v>244</v>
      </c>
      <c r="F487" s="5" t="s">
        <v>3534</v>
      </c>
      <c r="G487" s="5" t="s">
        <v>4018</v>
      </c>
      <c r="H487" s="5" t="s">
        <v>4036</v>
      </c>
      <c r="I487" s="5"/>
    </row>
    <row r="488" spans="1:9" x14ac:dyDescent="0.2">
      <c r="A488" s="5">
        <v>1</v>
      </c>
      <c r="B488" s="5" t="s">
        <v>3638</v>
      </c>
      <c r="C488" s="5" t="s">
        <v>2804</v>
      </c>
      <c r="D488" s="5" t="s">
        <v>2805</v>
      </c>
      <c r="E488" s="5" t="s">
        <v>244</v>
      </c>
      <c r="F488" s="5" t="s">
        <v>3534</v>
      </c>
      <c r="G488" s="5" t="s">
        <v>4018</v>
      </c>
      <c r="H488" s="5" t="s">
        <v>4037</v>
      </c>
      <c r="I488" s="5"/>
    </row>
    <row r="489" spans="1:9" x14ac:dyDescent="0.2">
      <c r="A489" s="5">
        <v>1</v>
      </c>
      <c r="B489" s="5" t="s">
        <v>3638</v>
      </c>
      <c r="C489" s="5" t="s">
        <v>2804</v>
      </c>
      <c r="D489" s="5" t="s">
        <v>2805</v>
      </c>
      <c r="E489" s="5" t="s">
        <v>244</v>
      </c>
      <c r="F489" s="5" t="s">
        <v>3534</v>
      </c>
      <c r="G489" s="5" t="s">
        <v>4018</v>
      </c>
      <c r="H489" s="5" t="s">
        <v>4038</v>
      </c>
      <c r="I489" s="5"/>
    </row>
    <row r="490" spans="1:9" x14ac:dyDescent="0.2">
      <c r="A490" s="5">
        <v>1</v>
      </c>
      <c r="B490" s="5" t="s">
        <v>3638</v>
      </c>
      <c r="C490" s="5" t="s">
        <v>2804</v>
      </c>
      <c r="D490" s="5" t="s">
        <v>2805</v>
      </c>
      <c r="E490" s="5" t="s">
        <v>244</v>
      </c>
      <c r="F490" s="5" t="s">
        <v>3534</v>
      </c>
      <c r="G490" s="5" t="s">
        <v>4018</v>
      </c>
      <c r="H490" s="5" t="s">
        <v>4039</v>
      </c>
      <c r="I490" s="5"/>
    </row>
    <row r="491" spans="1:9" x14ac:dyDescent="0.2">
      <c r="A491" s="5">
        <v>1</v>
      </c>
      <c r="B491" s="5" t="s">
        <v>3638</v>
      </c>
      <c r="C491" s="5" t="s">
        <v>2804</v>
      </c>
      <c r="D491" s="5" t="s">
        <v>2805</v>
      </c>
      <c r="E491" s="5" t="s">
        <v>244</v>
      </c>
      <c r="F491" s="5" t="s">
        <v>3534</v>
      </c>
      <c r="G491" s="5" t="s">
        <v>4018</v>
      </c>
      <c r="H491" s="5" t="s">
        <v>4040</v>
      </c>
      <c r="I491" s="5"/>
    </row>
    <row r="492" spans="1:9" x14ac:dyDescent="0.2">
      <c r="A492" s="5">
        <v>1</v>
      </c>
      <c r="B492" s="5" t="s">
        <v>3638</v>
      </c>
      <c r="C492" s="5" t="s">
        <v>2804</v>
      </c>
      <c r="D492" s="5" t="s">
        <v>2805</v>
      </c>
      <c r="E492" s="5" t="s">
        <v>244</v>
      </c>
      <c r="F492" s="5" t="s">
        <v>3534</v>
      </c>
      <c r="G492" s="5" t="s">
        <v>4018</v>
      </c>
      <c r="H492" s="5" t="s">
        <v>4041</v>
      </c>
      <c r="I492" s="5"/>
    </row>
    <row r="493" spans="1:9" x14ac:dyDescent="0.2">
      <c r="A493" s="5">
        <v>1</v>
      </c>
      <c r="B493" s="5" t="s">
        <v>3638</v>
      </c>
      <c r="C493" s="5" t="s">
        <v>2804</v>
      </c>
      <c r="D493" s="5" t="s">
        <v>2805</v>
      </c>
      <c r="E493" s="5" t="s">
        <v>244</v>
      </c>
      <c r="F493" s="5" t="s">
        <v>3534</v>
      </c>
      <c r="G493" s="5" t="s">
        <v>4018</v>
      </c>
      <c r="H493" s="5" t="s">
        <v>4042</v>
      </c>
      <c r="I493" s="5"/>
    </row>
    <row r="494" spans="1:9" x14ac:dyDescent="0.2">
      <c r="A494" s="5">
        <v>1</v>
      </c>
      <c r="B494" s="5" t="s">
        <v>3638</v>
      </c>
      <c r="C494" s="5" t="s">
        <v>2804</v>
      </c>
      <c r="D494" s="5" t="s">
        <v>2805</v>
      </c>
      <c r="E494" s="5" t="s">
        <v>244</v>
      </c>
      <c r="F494" s="5" t="s">
        <v>3534</v>
      </c>
      <c r="G494" s="5" t="s">
        <v>4018</v>
      </c>
      <c r="H494" s="5" t="s">
        <v>4043</v>
      </c>
      <c r="I494" s="5"/>
    </row>
    <row r="495" spans="1:9" x14ac:dyDescent="0.2">
      <c r="A495" s="5">
        <v>1</v>
      </c>
      <c r="B495" s="5" t="s">
        <v>3638</v>
      </c>
      <c r="C495" s="5" t="s">
        <v>2804</v>
      </c>
      <c r="D495" s="5" t="s">
        <v>2805</v>
      </c>
      <c r="E495" s="5" t="s">
        <v>244</v>
      </c>
      <c r="F495" s="5" t="s">
        <v>3534</v>
      </c>
      <c r="G495" s="5" t="s">
        <v>4018</v>
      </c>
      <c r="H495" s="5" t="s">
        <v>4044</v>
      </c>
      <c r="I495" s="5"/>
    </row>
    <row r="496" spans="1:9" x14ac:dyDescent="0.2">
      <c r="A496" s="5">
        <v>1</v>
      </c>
      <c r="B496" s="5" t="s">
        <v>3638</v>
      </c>
      <c r="C496" s="5" t="s">
        <v>2804</v>
      </c>
      <c r="D496" s="5" t="s">
        <v>2805</v>
      </c>
      <c r="E496" s="5" t="s">
        <v>244</v>
      </c>
      <c r="F496" s="5" t="s">
        <v>3534</v>
      </c>
      <c r="G496" s="5" t="s">
        <v>4018</v>
      </c>
      <c r="H496" s="5" t="s">
        <v>4045</v>
      </c>
      <c r="I496" s="5"/>
    </row>
    <row r="497" spans="1:9" x14ac:dyDescent="0.2">
      <c r="A497" s="5">
        <v>1</v>
      </c>
      <c r="B497" s="5" t="s">
        <v>3638</v>
      </c>
      <c r="C497" s="5" t="s">
        <v>2804</v>
      </c>
      <c r="D497" s="5" t="s">
        <v>2805</v>
      </c>
      <c r="E497" s="5" t="s">
        <v>244</v>
      </c>
      <c r="F497" s="5" t="s">
        <v>3534</v>
      </c>
      <c r="G497" s="5" t="s">
        <v>4018</v>
      </c>
      <c r="H497" s="5" t="s">
        <v>4046</v>
      </c>
      <c r="I497" s="5"/>
    </row>
    <row r="498" spans="1:9" x14ac:dyDescent="0.2">
      <c r="A498" s="5">
        <v>1</v>
      </c>
      <c r="B498" s="5" t="s">
        <v>3638</v>
      </c>
      <c r="C498" s="5" t="s">
        <v>2804</v>
      </c>
      <c r="D498" s="5" t="s">
        <v>2805</v>
      </c>
      <c r="E498" s="5" t="s">
        <v>244</v>
      </c>
      <c r="F498" s="5" t="s">
        <v>3534</v>
      </c>
      <c r="G498" s="5" t="s">
        <v>4018</v>
      </c>
      <c r="H498" s="5" t="s">
        <v>4047</v>
      </c>
      <c r="I498" s="5"/>
    </row>
    <row r="499" spans="1:9" x14ac:dyDescent="0.2">
      <c r="A499" s="5">
        <v>1</v>
      </c>
      <c r="B499" s="5" t="s">
        <v>3638</v>
      </c>
      <c r="C499" s="5" t="s">
        <v>2804</v>
      </c>
      <c r="D499" s="5" t="s">
        <v>2805</v>
      </c>
      <c r="E499" s="5" t="s">
        <v>244</v>
      </c>
      <c r="F499" s="5" t="s">
        <v>3534</v>
      </c>
      <c r="G499" s="5" t="s">
        <v>4018</v>
      </c>
      <c r="H499" s="5" t="s">
        <v>4048</v>
      </c>
      <c r="I499" s="5"/>
    </row>
    <row r="500" spans="1:9" x14ac:dyDescent="0.2">
      <c r="A500" s="5">
        <v>1</v>
      </c>
      <c r="B500" s="5" t="s">
        <v>3638</v>
      </c>
      <c r="C500" s="5" t="s">
        <v>2804</v>
      </c>
      <c r="D500" s="5" t="s">
        <v>2805</v>
      </c>
      <c r="E500" s="5" t="s">
        <v>244</v>
      </c>
      <c r="F500" s="5" t="s">
        <v>3534</v>
      </c>
      <c r="G500" s="5" t="s">
        <v>4018</v>
      </c>
      <c r="H500" s="5" t="s">
        <v>4049</v>
      </c>
      <c r="I500" s="5"/>
    </row>
    <row r="501" spans="1:9" x14ac:dyDescent="0.2">
      <c r="A501" s="5">
        <v>1</v>
      </c>
      <c r="B501" s="5" t="s">
        <v>3638</v>
      </c>
      <c r="C501" s="5" t="s">
        <v>2804</v>
      </c>
      <c r="D501" s="5" t="s">
        <v>2805</v>
      </c>
      <c r="E501" s="5" t="s">
        <v>244</v>
      </c>
      <c r="F501" s="5" t="s">
        <v>3534</v>
      </c>
      <c r="G501" s="5" t="s">
        <v>4018</v>
      </c>
      <c r="H501" s="5" t="s">
        <v>4050</v>
      </c>
      <c r="I501" s="5"/>
    </row>
    <row r="502" spans="1:9" x14ac:dyDescent="0.2">
      <c r="A502" s="5">
        <v>1</v>
      </c>
      <c r="B502" s="5" t="s">
        <v>3638</v>
      </c>
      <c r="C502" s="5" t="s">
        <v>2804</v>
      </c>
      <c r="D502" s="5" t="s">
        <v>2805</v>
      </c>
      <c r="E502" s="5" t="s">
        <v>244</v>
      </c>
      <c r="F502" s="5" t="s">
        <v>3534</v>
      </c>
      <c r="G502" s="5" t="s">
        <v>4018</v>
      </c>
      <c r="H502" s="5" t="s">
        <v>4051</v>
      </c>
      <c r="I502" s="5"/>
    </row>
    <row r="503" spans="1:9" x14ac:dyDescent="0.2">
      <c r="A503" s="5">
        <v>1</v>
      </c>
      <c r="B503" s="5" t="s">
        <v>3638</v>
      </c>
      <c r="C503" s="5" t="s">
        <v>2804</v>
      </c>
      <c r="D503" s="5" t="s">
        <v>2805</v>
      </c>
      <c r="E503" s="5" t="s">
        <v>244</v>
      </c>
      <c r="F503" s="5" t="s">
        <v>3534</v>
      </c>
      <c r="G503" s="5" t="s">
        <v>4018</v>
      </c>
      <c r="H503" s="5" t="s">
        <v>4052</v>
      </c>
      <c r="I503" s="5"/>
    </row>
    <row r="504" spans="1:9" x14ac:dyDescent="0.2">
      <c r="A504" s="5">
        <v>1</v>
      </c>
      <c r="B504" s="5" t="s">
        <v>3638</v>
      </c>
      <c r="C504" s="5" t="s">
        <v>2804</v>
      </c>
      <c r="D504" s="5" t="s">
        <v>2805</v>
      </c>
      <c r="E504" s="5" t="s">
        <v>244</v>
      </c>
      <c r="F504" s="5" t="s">
        <v>3534</v>
      </c>
      <c r="G504" s="5" t="s">
        <v>4018</v>
      </c>
      <c r="H504" s="5" t="s">
        <v>4053</v>
      </c>
      <c r="I504" s="5"/>
    </row>
    <row r="505" spans="1:9" x14ac:dyDescent="0.2">
      <c r="A505" s="5">
        <v>1</v>
      </c>
      <c r="B505" s="5" t="s">
        <v>3638</v>
      </c>
      <c r="C505" s="5" t="s">
        <v>2804</v>
      </c>
      <c r="D505" s="5" t="s">
        <v>2805</v>
      </c>
      <c r="E505" s="5" t="s">
        <v>244</v>
      </c>
      <c r="F505" s="5" t="s">
        <v>3534</v>
      </c>
      <c r="G505" s="5" t="s">
        <v>4018</v>
      </c>
      <c r="H505" s="5" t="s">
        <v>4054</v>
      </c>
      <c r="I505" s="5"/>
    </row>
    <row r="506" spans="1:9" x14ac:dyDescent="0.2">
      <c r="A506" s="5">
        <v>1</v>
      </c>
      <c r="B506" s="5" t="s">
        <v>3638</v>
      </c>
      <c r="C506" s="5" t="s">
        <v>2804</v>
      </c>
      <c r="D506" s="5" t="s">
        <v>2805</v>
      </c>
      <c r="E506" s="5" t="s">
        <v>244</v>
      </c>
      <c r="F506" s="5" t="s">
        <v>3534</v>
      </c>
      <c r="G506" s="5" t="s">
        <v>4018</v>
      </c>
      <c r="H506" s="5" t="s">
        <v>4055</v>
      </c>
      <c r="I506" s="5"/>
    </row>
    <row r="507" spans="1:9" x14ac:dyDescent="0.2">
      <c r="A507" s="5">
        <v>1</v>
      </c>
      <c r="B507" s="5" t="s">
        <v>3638</v>
      </c>
      <c r="C507" s="5" t="s">
        <v>2804</v>
      </c>
      <c r="D507" s="5" t="s">
        <v>2805</v>
      </c>
      <c r="E507" s="5" t="s">
        <v>244</v>
      </c>
      <c r="F507" s="5" t="s">
        <v>3534</v>
      </c>
      <c r="G507" s="5" t="s">
        <v>4018</v>
      </c>
      <c r="H507" s="5" t="s">
        <v>4056</v>
      </c>
      <c r="I507" s="5"/>
    </row>
    <row r="508" spans="1:9" x14ac:dyDescent="0.2">
      <c r="A508" s="5">
        <v>1</v>
      </c>
      <c r="B508" s="5" t="s">
        <v>3638</v>
      </c>
      <c r="C508" s="5" t="s">
        <v>2804</v>
      </c>
      <c r="D508" s="5" t="s">
        <v>2805</v>
      </c>
      <c r="E508" s="5" t="s">
        <v>244</v>
      </c>
      <c r="F508" s="5" t="s">
        <v>3534</v>
      </c>
      <c r="G508" s="5" t="s">
        <v>4018</v>
      </c>
      <c r="H508" s="5" t="s">
        <v>4057</v>
      </c>
      <c r="I508" s="5"/>
    </row>
    <row r="509" spans="1:9" x14ac:dyDescent="0.2">
      <c r="A509" s="5">
        <v>1</v>
      </c>
      <c r="B509" s="5" t="s">
        <v>3638</v>
      </c>
      <c r="C509" s="5" t="s">
        <v>2804</v>
      </c>
      <c r="D509" s="5" t="s">
        <v>2805</v>
      </c>
      <c r="E509" s="5" t="s">
        <v>244</v>
      </c>
      <c r="F509" s="5" t="s">
        <v>3534</v>
      </c>
      <c r="G509" s="5" t="s">
        <v>4018</v>
      </c>
      <c r="H509" s="5" t="s">
        <v>4058</v>
      </c>
      <c r="I509" s="5"/>
    </row>
    <row r="510" spans="1:9" x14ac:dyDescent="0.2">
      <c r="A510" s="5">
        <v>1</v>
      </c>
      <c r="B510" s="5" t="s">
        <v>3638</v>
      </c>
      <c r="C510" s="5" t="s">
        <v>2804</v>
      </c>
      <c r="D510" s="5" t="s">
        <v>2805</v>
      </c>
      <c r="E510" s="5" t="s">
        <v>244</v>
      </c>
      <c r="F510" s="5" t="s">
        <v>3534</v>
      </c>
      <c r="G510" s="5" t="s">
        <v>4018</v>
      </c>
      <c r="H510" s="5" t="s">
        <v>4059</v>
      </c>
      <c r="I510" s="5"/>
    </row>
    <row r="511" spans="1:9" x14ac:dyDescent="0.2">
      <c r="A511" s="5">
        <v>1</v>
      </c>
      <c r="B511" s="5" t="s">
        <v>3638</v>
      </c>
      <c r="C511" s="5" t="s">
        <v>2804</v>
      </c>
      <c r="D511" s="5" t="s">
        <v>2805</v>
      </c>
      <c r="E511" s="5" t="s">
        <v>244</v>
      </c>
      <c r="F511" s="5" t="s">
        <v>3534</v>
      </c>
      <c r="G511" s="5" t="s">
        <v>4018</v>
      </c>
      <c r="H511" s="5" t="s">
        <v>4060</v>
      </c>
      <c r="I511" s="5"/>
    </row>
    <row r="512" spans="1:9" x14ac:dyDescent="0.2">
      <c r="A512" s="5">
        <v>1</v>
      </c>
      <c r="B512" s="5" t="s">
        <v>3638</v>
      </c>
      <c r="C512" s="5" t="s">
        <v>2804</v>
      </c>
      <c r="D512" s="5" t="s">
        <v>2805</v>
      </c>
      <c r="E512" s="5" t="s">
        <v>244</v>
      </c>
      <c r="F512" s="5" t="s">
        <v>3534</v>
      </c>
      <c r="G512" s="5" t="s">
        <v>4018</v>
      </c>
      <c r="H512" s="5" t="s">
        <v>4061</v>
      </c>
      <c r="I512" s="5"/>
    </row>
    <row r="513" spans="1:9" x14ac:dyDescent="0.2">
      <c r="A513" s="5">
        <v>1</v>
      </c>
      <c r="B513" s="5" t="s">
        <v>3638</v>
      </c>
      <c r="C513" s="5" t="s">
        <v>2804</v>
      </c>
      <c r="D513" s="5" t="s">
        <v>2805</v>
      </c>
      <c r="E513" s="5" t="s">
        <v>244</v>
      </c>
      <c r="F513" s="5" t="s">
        <v>3534</v>
      </c>
      <c r="G513" s="5" t="s">
        <v>4018</v>
      </c>
      <c r="H513" s="5" t="s">
        <v>4062</v>
      </c>
      <c r="I513" s="5"/>
    </row>
    <row r="514" spans="1:9" x14ac:dyDescent="0.2">
      <c r="A514" s="5">
        <v>1</v>
      </c>
      <c r="B514" s="5" t="s">
        <v>3638</v>
      </c>
      <c r="C514" s="5" t="s">
        <v>2804</v>
      </c>
      <c r="D514" s="5" t="s">
        <v>2805</v>
      </c>
      <c r="E514" s="5" t="s">
        <v>244</v>
      </c>
      <c r="F514" s="5" t="s">
        <v>3534</v>
      </c>
      <c r="G514" s="5" t="s">
        <v>4018</v>
      </c>
      <c r="H514" s="5" t="s">
        <v>4063</v>
      </c>
      <c r="I514" s="5"/>
    </row>
    <row r="515" spans="1:9" x14ac:dyDescent="0.2">
      <c r="A515" s="5">
        <v>1</v>
      </c>
      <c r="B515" s="5" t="s">
        <v>3638</v>
      </c>
      <c r="C515" s="5" t="s">
        <v>2265</v>
      </c>
      <c r="D515" s="5" t="s">
        <v>2266</v>
      </c>
      <c r="E515" s="5" t="s">
        <v>244</v>
      </c>
      <c r="F515" s="5" t="s">
        <v>3507</v>
      </c>
      <c r="G515" s="5" t="s">
        <v>4064</v>
      </c>
      <c r="H515" s="5" t="s">
        <v>4065</v>
      </c>
      <c r="I515" s="5"/>
    </row>
    <row r="516" spans="1:9" x14ac:dyDescent="0.2">
      <c r="A516" s="5">
        <v>1</v>
      </c>
      <c r="B516" s="5" t="s">
        <v>3638</v>
      </c>
      <c r="C516" s="5" t="s">
        <v>2706</v>
      </c>
      <c r="D516" s="5" t="s">
        <v>2707</v>
      </c>
      <c r="E516" s="5" t="s">
        <v>244</v>
      </c>
      <c r="F516" s="5" t="s">
        <v>3533</v>
      </c>
      <c r="G516" s="5" t="s">
        <v>4066</v>
      </c>
      <c r="H516" s="5" t="s">
        <v>4067</v>
      </c>
      <c r="I516" s="5"/>
    </row>
    <row r="517" spans="1:9" x14ac:dyDescent="0.2">
      <c r="A517" s="5">
        <v>1</v>
      </c>
      <c r="B517" s="5" t="s">
        <v>3638</v>
      </c>
      <c r="C517" s="5" t="s">
        <v>2706</v>
      </c>
      <c r="D517" s="5" t="s">
        <v>2707</v>
      </c>
      <c r="E517" s="5" t="s">
        <v>244</v>
      </c>
      <c r="F517" s="5" t="s">
        <v>3530</v>
      </c>
      <c r="G517" s="5" t="s">
        <v>4068</v>
      </c>
      <c r="H517" s="5" t="s">
        <v>4069</v>
      </c>
      <c r="I517" s="5"/>
    </row>
    <row r="518" spans="1:9" x14ac:dyDescent="0.2">
      <c r="A518" s="5">
        <v>1</v>
      </c>
      <c r="B518" s="5" t="s">
        <v>3638</v>
      </c>
      <c r="C518" s="5" t="s">
        <v>2564</v>
      </c>
      <c r="D518" s="5" t="s">
        <v>2565</v>
      </c>
      <c r="E518" s="5" t="s">
        <v>244</v>
      </c>
      <c r="F518" s="5" t="s">
        <v>3518</v>
      </c>
      <c r="G518" s="5" t="s">
        <v>4070</v>
      </c>
      <c r="H518" s="5" t="s">
        <v>4071</v>
      </c>
      <c r="I518" s="5"/>
    </row>
    <row r="519" spans="1:9" x14ac:dyDescent="0.2">
      <c r="A519" s="5">
        <v>1</v>
      </c>
      <c r="B519" s="5" t="s">
        <v>3638</v>
      </c>
      <c r="C519" s="5" t="s">
        <v>2400</v>
      </c>
      <c r="D519" s="5" t="s">
        <v>2401</v>
      </c>
      <c r="E519" s="5" t="s">
        <v>244</v>
      </c>
      <c r="F519" s="5" t="s">
        <v>3517</v>
      </c>
      <c r="G519" s="5" t="s">
        <v>4072</v>
      </c>
      <c r="H519" s="5" t="s">
        <v>4073</v>
      </c>
      <c r="I519" s="5"/>
    </row>
    <row r="520" spans="1:9" x14ac:dyDescent="0.2">
      <c r="A520" s="5">
        <v>1</v>
      </c>
      <c r="B520" s="5" t="s">
        <v>3638</v>
      </c>
      <c r="C520" s="5" t="s">
        <v>2265</v>
      </c>
      <c r="D520" s="5" t="s">
        <v>2266</v>
      </c>
      <c r="E520" s="5" t="s">
        <v>244</v>
      </c>
      <c r="F520" s="5" t="s">
        <v>3508</v>
      </c>
      <c r="G520" s="5" t="s">
        <v>4065</v>
      </c>
      <c r="H520" s="5" t="s">
        <v>4074</v>
      </c>
      <c r="I520" s="5"/>
    </row>
    <row r="521" spans="1:9" x14ac:dyDescent="0.2">
      <c r="A521" s="5">
        <v>1</v>
      </c>
      <c r="B521" s="5" t="s">
        <v>3638</v>
      </c>
      <c r="C521" s="5" t="s">
        <v>2265</v>
      </c>
      <c r="D521" s="5" t="s">
        <v>2266</v>
      </c>
      <c r="E521" s="5" t="s">
        <v>244</v>
      </c>
      <c r="F521" s="5" t="s">
        <v>3509</v>
      </c>
      <c r="G521" s="5" t="s">
        <v>4074</v>
      </c>
      <c r="H521" s="5" t="s">
        <v>4075</v>
      </c>
      <c r="I521" s="5"/>
    </row>
    <row r="522" spans="1:9" x14ac:dyDescent="0.2">
      <c r="A522" s="5">
        <v>1</v>
      </c>
      <c r="B522" s="5" t="s">
        <v>3677</v>
      </c>
      <c r="C522" s="5" t="s">
        <v>2706</v>
      </c>
      <c r="D522" s="5" t="s">
        <v>2707</v>
      </c>
      <c r="E522" s="5" t="s">
        <v>244</v>
      </c>
      <c r="F522" s="5" t="s">
        <v>3532</v>
      </c>
      <c r="G522" s="5" t="s">
        <v>4076</v>
      </c>
      <c r="H522" s="5" t="s">
        <v>4077</v>
      </c>
      <c r="I522" s="5"/>
    </row>
    <row r="523" spans="1:9" x14ac:dyDescent="0.2">
      <c r="A523" s="5">
        <v>1</v>
      </c>
      <c r="B523" s="5" t="s">
        <v>3677</v>
      </c>
      <c r="C523" s="5" t="s">
        <v>2706</v>
      </c>
      <c r="D523" s="5" t="s">
        <v>2707</v>
      </c>
      <c r="E523" s="5" t="s">
        <v>244</v>
      </c>
      <c r="F523" s="5" t="s">
        <v>3532</v>
      </c>
      <c r="G523" s="5" t="s">
        <v>4076</v>
      </c>
      <c r="H523" s="5" t="s">
        <v>4078</v>
      </c>
      <c r="I523" s="5"/>
    </row>
    <row r="524" spans="1:9" x14ac:dyDescent="0.2">
      <c r="A524" s="5">
        <v>1</v>
      </c>
      <c r="B524" s="5" t="s">
        <v>3677</v>
      </c>
      <c r="C524" s="5" t="s">
        <v>2706</v>
      </c>
      <c r="D524" s="5" t="s">
        <v>2707</v>
      </c>
      <c r="E524" s="5" t="s">
        <v>244</v>
      </c>
      <c r="F524" s="5" t="s">
        <v>3529</v>
      </c>
      <c r="G524" s="5" t="s">
        <v>4079</v>
      </c>
      <c r="H524" s="5" t="s">
        <v>4080</v>
      </c>
      <c r="I524" s="5"/>
    </row>
    <row r="525" spans="1:9" x14ac:dyDescent="0.2">
      <c r="A525" s="5">
        <v>1</v>
      </c>
      <c r="B525" s="5" t="s">
        <v>3677</v>
      </c>
      <c r="C525" s="5" t="s">
        <v>2706</v>
      </c>
      <c r="D525" s="5" t="s">
        <v>2707</v>
      </c>
      <c r="E525" s="5" t="s">
        <v>244</v>
      </c>
      <c r="F525" s="5" t="s">
        <v>3531</v>
      </c>
      <c r="G525" s="5" t="s">
        <v>4081</v>
      </c>
      <c r="H525" s="5" t="s">
        <v>4069</v>
      </c>
      <c r="I525" s="5"/>
    </row>
    <row r="526" spans="1:9" x14ac:dyDescent="0.2">
      <c r="A526" s="5">
        <v>1</v>
      </c>
      <c r="B526" s="5" t="s">
        <v>3638</v>
      </c>
      <c r="C526" s="5" t="s">
        <v>2804</v>
      </c>
      <c r="D526" s="5" t="s">
        <v>2805</v>
      </c>
      <c r="E526" s="5" t="s">
        <v>244</v>
      </c>
      <c r="F526" s="5" t="s">
        <v>3538</v>
      </c>
      <c r="G526" s="5" t="s">
        <v>4082</v>
      </c>
      <c r="H526" s="5" t="s">
        <v>4083</v>
      </c>
      <c r="I526" s="5"/>
    </row>
    <row r="527" spans="1:9" x14ac:dyDescent="0.2">
      <c r="A527" s="5">
        <v>1</v>
      </c>
      <c r="B527" s="5" t="s">
        <v>3638</v>
      </c>
      <c r="C527" s="5" t="s">
        <v>2804</v>
      </c>
      <c r="D527" s="5" t="s">
        <v>2805</v>
      </c>
      <c r="E527" s="5" t="s">
        <v>244</v>
      </c>
      <c r="F527" s="5" t="s">
        <v>3539</v>
      </c>
      <c r="G527" s="5" t="s">
        <v>4082</v>
      </c>
      <c r="H527" s="5" t="s">
        <v>4083</v>
      </c>
      <c r="I527" s="5"/>
    </row>
    <row r="528" spans="1:9" x14ac:dyDescent="0.2">
      <c r="A528" s="5">
        <v>1</v>
      </c>
      <c r="B528" s="5" t="s">
        <v>3677</v>
      </c>
      <c r="C528" s="5" t="s">
        <v>2249</v>
      </c>
      <c r="D528" s="5" t="s">
        <v>2250</v>
      </c>
      <c r="E528" s="5" t="s">
        <v>244</v>
      </c>
      <c r="F528" s="5" t="s">
        <v>3505</v>
      </c>
      <c r="G528" s="5" t="s">
        <v>4084</v>
      </c>
      <c r="H528" s="5" t="s">
        <v>4085</v>
      </c>
      <c r="I528" s="5"/>
    </row>
    <row r="529" spans="1:9" x14ac:dyDescent="0.2">
      <c r="A529" s="5">
        <v>1</v>
      </c>
      <c r="B529" s="5" t="s">
        <v>3638</v>
      </c>
      <c r="C529" s="5" t="s">
        <v>2564</v>
      </c>
      <c r="D529" s="5" t="s">
        <v>2565</v>
      </c>
      <c r="E529" s="5" t="s">
        <v>244</v>
      </c>
      <c r="F529" s="5" t="s">
        <v>3520</v>
      </c>
      <c r="G529" s="5" t="s">
        <v>4086</v>
      </c>
      <c r="H529" s="5" t="s">
        <v>4087</v>
      </c>
      <c r="I529" s="5"/>
    </row>
    <row r="530" spans="1:9" x14ac:dyDescent="0.2">
      <c r="A530" s="5">
        <v>1</v>
      </c>
      <c r="B530" s="5" t="s">
        <v>3638</v>
      </c>
      <c r="C530" s="5" t="s">
        <v>2564</v>
      </c>
      <c r="D530" s="5" t="s">
        <v>2565</v>
      </c>
      <c r="E530" s="5" t="s">
        <v>244</v>
      </c>
      <c r="F530" s="5" t="s">
        <v>3521</v>
      </c>
      <c r="G530" s="5" t="s">
        <v>4086</v>
      </c>
      <c r="H530" s="5" t="s">
        <v>4087</v>
      </c>
      <c r="I530" s="5"/>
    </row>
    <row r="531" spans="1:9" x14ac:dyDescent="0.2">
      <c r="A531" s="5">
        <v>1</v>
      </c>
      <c r="B531" s="5" t="s">
        <v>3638</v>
      </c>
      <c r="C531" s="5" t="s">
        <v>2265</v>
      </c>
      <c r="D531" s="5" t="s">
        <v>2266</v>
      </c>
      <c r="E531" s="5" t="s">
        <v>244</v>
      </c>
      <c r="F531" s="5" t="s">
        <v>3510</v>
      </c>
      <c r="G531" s="5" t="s">
        <v>4088</v>
      </c>
      <c r="H531" s="5" t="s">
        <v>4089</v>
      </c>
      <c r="I531" s="5"/>
    </row>
    <row r="532" spans="1:9" x14ac:dyDescent="0.2">
      <c r="A532" s="5">
        <v>1</v>
      </c>
      <c r="B532" s="5" t="s">
        <v>3638</v>
      </c>
      <c r="C532" s="5" t="s">
        <v>2265</v>
      </c>
      <c r="D532" s="5" t="s">
        <v>2266</v>
      </c>
      <c r="E532" s="5" t="s">
        <v>244</v>
      </c>
      <c r="F532" s="5" t="s">
        <v>3511</v>
      </c>
      <c r="G532" s="5" t="s">
        <v>4088</v>
      </c>
      <c r="H532" s="5" t="s">
        <v>4089</v>
      </c>
      <c r="I532" s="5"/>
    </row>
    <row r="533" spans="1:9" x14ac:dyDescent="0.2">
      <c r="A533" s="5">
        <v>1</v>
      </c>
      <c r="B533" s="5" t="s">
        <v>3677</v>
      </c>
      <c r="C533" s="5" t="s">
        <v>3081</v>
      </c>
      <c r="D533" s="5" t="s">
        <v>3082</v>
      </c>
      <c r="E533" s="5" t="s">
        <v>244</v>
      </c>
      <c r="F533" s="5" t="s">
        <v>3357</v>
      </c>
      <c r="G533" s="5"/>
      <c r="H533" s="5"/>
      <c r="I533" s="5"/>
    </row>
    <row r="534" spans="1:9" x14ac:dyDescent="0.2">
      <c r="A534" s="5">
        <v>1</v>
      </c>
      <c r="B534" s="5" t="s">
        <v>3638</v>
      </c>
      <c r="C534" s="5" t="s">
        <v>2804</v>
      </c>
      <c r="D534" s="5" t="s">
        <v>2805</v>
      </c>
      <c r="E534" s="5" t="s">
        <v>244</v>
      </c>
      <c r="F534" s="5" t="s">
        <v>3445</v>
      </c>
      <c r="G534" s="5" t="s">
        <v>4090</v>
      </c>
      <c r="H534" s="5" t="s">
        <v>4091</v>
      </c>
      <c r="I534" s="5"/>
    </row>
    <row r="535" spans="1:9" x14ac:dyDescent="0.2">
      <c r="A535" s="5">
        <v>1</v>
      </c>
      <c r="B535" s="5" t="s">
        <v>3638</v>
      </c>
      <c r="C535" s="5" t="s">
        <v>2804</v>
      </c>
      <c r="D535" s="5" t="s">
        <v>2805</v>
      </c>
      <c r="E535" s="5" t="s">
        <v>244</v>
      </c>
      <c r="F535" s="5" t="s">
        <v>3445</v>
      </c>
      <c r="G535" s="5" t="s">
        <v>4090</v>
      </c>
      <c r="H535" s="5" t="s">
        <v>4092</v>
      </c>
      <c r="I535" s="5"/>
    </row>
    <row r="536" spans="1:9" x14ac:dyDescent="0.2">
      <c r="A536" s="5">
        <v>1</v>
      </c>
      <c r="B536" s="5" t="s">
        <v>3677</v>
      </c>
      <c r="C536" s="5" t="s">
        <v>2706</v>
      </c>
      <c r="D536" s="5" t="s">
        <v>2707</v>
      </c>
      <c r="E536" s="5" t="s">
        <v>244</v>
      </c>
      <c r="F536" s="5" t="s">
        <v>3421</v>
      </c>
      <c r="G536" s="5" t="s">
        <v>4093</v>
      </c>
      <c r="H536" s="5" t="s">
        <v>4094</v>
      </c>
      <c r="I536" s="5"/>
    </row>
    <row r="537" spans="1:9" x14ac:dyDescent="0.2">
      <c r="A537" s="5">
        <v>1</v>
      </c>
      <c r="B537" s="5" t="s">
        <v>3638</v>
      </c>
      <c r="C537" s="5" t="s">
        <v>2804</v>
      </c>
      <c r="D537" s="5" t="s">
        <v>2805</v>
      </c>
      <c r="E537" s="5" t="s">
        <v>244</v>
      </c>
      <c r="F537" s="5" t="s">
        <v>3446</v>
      </c>
      <c r="G537" s="5" t="s">
        <v>4095</v>
      </c>
      <c r="H537" s="5" t="s">
        <v>4096</v>
      </c>
      <c r="I537" s="5"/>
    </row>
    <row r="538" spans="1:9" x14ac:dyDescent="0.2">
      <c r="A538" s="5">
        <v>1</v>
      </c>
      <c r="B538" s="5" t="s">
        <v>3638</v>
      </c>
      <c r="C538" s="5" t="s">
        <v>2804</v>
      </c>
      <c r="D538" s="5" t="s">
        <v>2805</v>
      </c>
      <c r="E538" s="5" t="s">
        <v>244</v>
      </c>
      <c r="F538" s="5" t="s">
        <v>3446</v>
      </c>
      <c r="G538" s="5" t="s">
        <v>4095</v>
      </c>
      <c r="H538" s="5" t="s">
        <v>4097</v>
      </c>
      <c r="I538" s="5"/>
    </row>
    <row r="539" spans="1:9" x14ac:dyDescent="0.2">
      <c r="A539" s="5">
        <v>1</v>
      </c>
      <c r="B539" s="5" t="s">
        <v>3638</v>
      </c>
      <c r="C539" s="5" t="s">
        <v>2804</v>
      </c>
      <c r="D539" s="5" t="s">
        <v>2805</v>
      </c>
      <c r="E539" s="5" t="s">
        <v>244</v>
      </c>
      <c r="F539" s="5" t="s">
        <v>3446</v>
      </c>
      <c r="G539" s="5" t="s">
        <v>4095</v>
      </c>
      <c r="H539" s="5" t="s">
        <v>4098</v>
      </c>
      <c r="I539" s="5"/>
    </row>
    <row r="540" spans="1:9" x14ac:dyDescent="0.2">
      <c r="A540" s="5">
        <v>1</v>
      </c>
      <c r="B540" s="5" t="s">
        <v>3638</v>
      </c>
      <c r="C540" s="5" t="s">
        <v>2804</v>
      </c>
      <c r="D540" s="5" t="s">
        <v>2805</v>
      </c>
      <c r="E540" s="5" t="s">
        <v>244</v>
      </c>
      <c r="F540" s="5" t="s">
        <v>3446</v>
      </c>
      <c r="G540" s="5" t="s">
        <v>4095</v>
      </c>
      <c r="H540" s="5" t="s">
        <v>4099</v>
      </c>
      <c r="I540" s="5"/>
    </row>
    <row r="541" spans="1:9" x14ac:dyDescent="0.2">
      <c r="A541" s="5">
        <v>1</v>
      </c>
      <c r="B541" s="5" t="s">
        <v>3677</v>
      </c>
      <c r="C541" s="5" t="s">
        <v>2706</v>
      </c>
      <c r="D541" s="5" t="s">
        <v>2707</v>
      </c>
      <c r="E541" s="5" t="s">
        <v>244</v>
      </c>
      <c r="F541" s="5" t="s">
        <v>3423</v>
      </c>
      <c r="G541" s="5" t="s">
        <v>4076</v>
      </c>
      <c r="H541" s="5" t="s">
        <v>4077</v>
      </c>
      <c r="I541" s="5"/>
    </row>
    <row r="542" spans="1:9" x14ac:dyDescent="0.2">
      <c r="A542" s="5">
        <v>1</v>
      </c>
      <c r="B542" s="5" t="s">
        <v>3638</v>
      </c>
      <c r="C542" s="5" t="s">
        <v>2400</v>
      </c>
      <c r="D542" s="5" t="s">
        <v>2401</v>
      </c>
      <c r="E542" s="5" t="s">
        <v>244</v>
      </c>
      <c r="F542" s="5" t="s">
        <v>3379</v>
      </c>
      <c r="G542" s="5" t="s">
        <v>4100</v>
      </c>
      <c r="H542" s="5" t="s">
        <v>4101</v>
      </c>
      <c r="I542" s="5"/>
    </row>
    <row r="543" spans="1:9" x14ac:dyDescent="0.2">
      <c r="A543" s="5">
        <v>1</v>
      </c>
      <c r="B543" s="5" t="s">
        <v>3677</v>
      </c>
      <c r="C543" s="5" t="s">
        <v>2706</v>
      </c>
      <c r="D543" s="5" t="s">
        <v>2707</v>
      </c>
      <c r="E543" s="5" t="s">
        <v>244</v>
      </c>
      <c r="F543" s="5" t="s">
        <v>3422</v>
      </c>
      <c r="G543" s="5" t="s">
        <v>4068</v>
      </c>
      <c r="H543" s="5" t="s">
        <v>4102</v>
      </c>
      <c r="I543" s="5"/>
    </row>
    <row r="544" spans="1:9" x14ac:dyDescent="0.2">
      <c r="A544" s="5">
        <v>1</v>
      </c>
      <c r="B544" s="5" t="s">
        <v>3638</v>
      </c>
      <c r="C544" s="5" t="s">
        <v>2564</v>
      </c>
      <c r="D544" s="5" t="s">
        <v>2565</v>
      </c>
      <c r="E544" s="5" t="s">
        <v>244</v>
      </c>
      <c r="F544" s="5" t="s">
        <v>3399</v>
      </c>
      <c r="G544" s="5" t="s">
        <v>4086</v>
      </c>
      <c r="H544" s="5" t="s">
        <v>4087</v>
      </c>
      <c r="I544" s="5"/>
    </row>
    <row r="545" spans="1:9" x14ac:dyDescent="0.2">
      <c r="A545" s="5">
        <v>1</v>
      </c>
      <c r="B545" s="5" t="s">
        <v>3638</v>
      </c>
      <c r="C545" s="5" t="s">
        <v>2564</v>
      </c>
      <c r="D545" s="5" t="s">
        <v>2565</v>
      </c>
      <c r="E545" s="5" t="s">
        <v>244</v>
      </c>
      <c r="F545" s="5" t="s">
        <v>3398</v>
      </c>
      <c r="G545" s="5" t="s">
        <v>4070</v>
      </c>
      <c r="H545" s="5" t="s">
        <v>4103</v>
      </c>
      <c r="I545" s="5"/>
    </row>
    <row r="546" spans="1:9" x14ac:dyDescent="0.2">
      <c r="A546" s="5">
        <v>1</v>
      </c>
      <c r="B546" s="5" t="s">
        <v>3638</v>
      </c>
      <c r="C546" s="5" t="s">
        <v>2804</v>
      </c>
      <c r="D546" s="5" t="s">
        <v>2805</v>
      </c>
      <c r="E546" s="5" t="s">
        <v>244</v>
      </c>
      <c r="F546" s="5" t="s">
        <v>3447</v>
      </c>
      <c r="G546" s="5" t="s">
        <v>4104</v>
      </c>
      <c r="H546" s="5" t="s">
        <v>4105</v>
      </c>
      <c r="I546" s="5"/>
    </row>
    <row r="547" spans="1:9" x14ac:dyDescent="0.2">
      <c r="A547" s="5">
        <v>1</v>
      </c>
      <c r="B547" s="5" t="s">
        <v>3638</v>
      </c>
      <c r="C547" s="5" t="s">
        <v>2804</v>
      </c>
      <c r="D547" s="5" t="s">
        <v>2805</v>
      </c>
      <c r="E547" s="5" t="s">
        <v>244</v>
      </c>
      <c r="F547" s="5" t="s">
        <v>3392</v>
      </c>
      <c r="G547" s="5" t="s">
        <v>4106</v>
      </c>
      <c r="H547" s="5" t="s">
        <v>4107</v>
      </c>
      <c r="I547" s="5"/>
    </row>
    <row r="548" spans="1:9" x14ac:dyDescent="0.2">
      <c r="A548" s="5">
        <v>1</v>
      </c>
      <c r="B548" s="5" t="s">
        <v>3638</v>
      </c>
      <c r="C548" s="5" t="s">
        <v>2804</v>
      </c>
      <c r="D548" s="5" t="s">
        <v>2805</v>
      </c>
      <c r="E548" s="5" t="s">
        <v>244</v>
      </c>
      <c r="F548" s="5" t="s">
        <v>3392</v>
      </c>
      <c r="G548" s="5" t="s">
        <v>4106</v>
      </c>
      <c r="H548" s="5" t="s">
        <v>4108</v>
      </c>
      <c r="I548" s="5"/>
    </row>
    <row r="549" spans="1:9" x14ac:dyDescent="0.2">
      <c r="A549" s="5">
        <v>1</v>
      </c>
      <c r="B549" s="5" t="s">
        <v>3638</v>
      </c>
      <c r="C549" s="5" t="s">
        <v>2804</v>
      </c>
      <c r="D549" s="5" t="s">
        <v>2805</v>
      </c>
      <c r="E549" s="5" t="s">
        <v>244</v>
      </c>
      <c r="F549" s="5" t="s">
        <v>3392</v>
      </c>
      <c r="G549" s="5" t="s">
        <v>4106</v>
      </c>
      <c r="H549" s="5" t="s">
        <v>4109</v>
      </c>
      <c r="I549" s="5"/>
    </row>
    <row r="550" spans="1:9" x14ac:dyDescent="0.2">
      <c r="A550" s="5">
        <v>1</v>
      </c>
      <c r="B550" s="5" t="s">
        <v>3638</v>
      </c>
      <c r="C550" s="5" t="s">
        <v>2804</v>
      </c>
      <c r="D550" s="5" t="s">
        <v>2805</v>
      </c>
      <c r="E550" s="5" t="s">
        <v>244</v>
      </c>
      <c r="F550" s="5" t="s">
        <v>3392</v>
      </c>
      <c r="G550" s="5" t="s">
        <v>4106</v>
      </c>
      <c r="H550" s="5" t="s">
        <v>4110</v>
      </c>
      <c r="I550" s="5"/>
    </row>
    <row r="551" spans="1:9" x14ac:dyDescent="0.2">
      <c r="A551" s="5">
        <v>1</v>
      </c>
      <c r="B551" s="5" t="s">
        <v>3638</v>
      </c>
      <c r="C551" s="5" t="s">
        <v>2804</v>
      </c>
      <c r="D551" s="5" t="s">
        <v>2805</v>
      </c>
      <c r="E551" s="5" t="s">
        <v>244</v>
      </c>
      <c r="F551" s="5" t="s">
        <v>3392</v>
      </c>
      <c r="G551" s="5" t="s">
        <v>4106</v>
      </c>
      <c r="H551" s="5" t="s">
        <v>4111</v>
      </c>
      <c r="I551" s="5"/>
    </row>
    <row r="552" spans="1:9" x14ac:dyDescent="0.2">
      <c r="A552" s="5">
        <v>1</v>
      </c>
      <c r="B552" s="5" t="s">
        <v>3638</v>
      </c>
      <c r="C552" s="5" t="s">
        <v>2804</v>
      </c>
      <c r="D552" s="5" t="s">
        <v>2805</v>
      </c>
      <c r="E552" s="5" t="s">
        <v>244</v>
      </c>
      <c r="F552" s="5" t="s">
        <v>3392</v>
      </c>
      <c r="G552" s="5" t="s">
        <v>4106</v>
      </c>
      <c r="H552" s="5" t="s">
        <v>4112</v>
      </c>
      <c r="I552" s="5"/>
    </row>
    <row r="553" spans="1:9" x14ac:dyDescent="0.2">
      <c r="A553" s="5">
        <v>1</v>
      </c>
      <c r="B553" s="5" t="s">
        <v>3638</v>
      </c>
      <c r="C553" s="5" t="s">
        <v>2804</v>
      </c>
      <c r="D553" s="5" t="s">
        <v>2805</v>
      </c>
      <c r="E553" s="5" t="s">
        <v>244</v>
      </c>
      <c r="F553" s="5" t="s">
        <v>3392</v>
      </c>
      <c r="G553" s="5" t="s">
        <v>4106</v>
      </c>
      <c r="H553" s="5" t="s">
        <v>4113</v>
      </c>
      <c r="I553" s="5"/>
    </row>
    <row r="554" spans="1:9" x14ac:dyDescent="0.2">
      <c r="A554" s="5">
        <v>1</v>
      </c>
      <c r="B554" s="5" t="s">
        <v>3638</v>
      </c>
      <c r="C554" s="5" t="s">
        <v>2804</v>
      </c>
      <c r="D554" s="5" t="s">
        <v>2805</v>
      </c>
      <c r="E554" s="5" t="s">
        <v>244</v>
      </c>
      <c r="F554" s="5" t="s">
        <v>3392</v>
      </c>
      <c r="G554" s="5" t="s">
        <v>4106</v>
      </c>
      <c r="H554" s="5" t="s">
        <v>4114</v>
      </c>
      <c r="I554" s="5"/>
    </row>
    <row r="555" spans="1:9" x14ac:dyDescent="0.2">
      <c r="A555" s="5">
        <v>1</v>
      </c>
      <c r="B555" s="5" t="s">
        <v>3638</v>
      </c>
      <c r="C555" s="5" t="s">
        <v>2804</v>
      </c>
      <c r="D555" s="5" t="s">
        <v>2805</v>
      </c>
      <c r="E555" s="5" t="s">
        <v>244</v>
      </c>
      <c r="F555" s="5" t="s">
        <v>3392</v>
      </c>
      <c r="G555" s="5" t="s">
        <v>4106</v>
      </c>
      <c r="H555" s="5" t="s">
        <v>4115</v>
      </c>
      <c r="I555" s="5"/>
    </row>
    <row r="556" spans="1:9" x14ac:dyDescent="0.2">
      <c r="A556" s="5">
        <v>1</v>
      </c>
      <c r="B556" s="5" t="s">
        <v>3638</v>
      </c>
      <c r="C556" s="5" t="s">
        <v>2804</v>
      </c>
      <c r="D556" s="5" t="s">
        <v>2805</v>
      </c>
      <c r="E556" s="5" t="s">
        <v>244</v>
      </c>
      <c r="F556" s="5" t="s">
        <v>3392</v>
      </c>
      <c r="G556" s="5" t="s">
        <v>4106</v>
      </c>
      <c r="H556" s="5" t="s">
        <v>4116</v>
      </c>
      <c r="I556" s="5"/>
    </row>
    <row r="557" spans="1:9" x14ac:dyDescent="0.2">
      <c r="A557" s="5">
        <v>1</v>
      </c>
      <c r="B557" s="5" t="s">
        <v>3638</v>
      </c>
      <c r="C557" s="5" t="s">
        <v>2804</v>
      </c>
      <c r="D557" s="5" t="s">
        <v>2805</v>
      </c>
      <c r="E557" s="5" t="s">
        <v>244</v>
      </c>
      <c r="F557" s="5" t="s">
        <v>3392</v>
      </c>
      <c r="G557" s="5" t="s">
        <v>4106</v>
      </c>
      <c r="H557" s="5" t="s">
        <v>4117</v>
      </c>
      <c r="I557" s="5"/>
    </row>
    <row r="558" spans="1:9" x14ac:dyDescent="0.2">
      <c r="A558" s="5">
        <v>1</v>
      </c>
      <c r="B558" s="5" t="s">
        <v>3638</v>
      </c>
      <c r="C558" s="5" t="s">
        <v>2804</v>
      </c>
      <c r="D558" s="5" t="s">
        <v>2805</v>
      </c>
      <c r="E558" s="5" t="s">
        <v>244</v>
      </c>
      <c r="F558" s="5" t="s">
        <v>3392</v>
      </c>
      <c r="G558" s="5" t="s">
        <v>4106</v>
      </c>
      <c r="H558" s="5" t="s">
        <v>4118</v>
      </c>
      <c r="I558" s="5"/>
    </row>
    <row r="559" spans="1:9" x14ac:dyDescent="0.2">
      <c r="A559" s="5">
        <v>1</v>
      </c>
      <c r="B559" s="5" t="s">
        <v>3638</v>
      </c>
      <c r="C559" s="5" t="s">
        <v>2804</v>
      </c>
      <c r="D559" s="5" t="s">
        <v>2805</v>
      </c>
      <c r="E559" s="5" t="s">
        <v>244</v>
      </c>
      <c r="F559" s="5" t="s">
        <v>3392</v>
      </c>
      <c r="G559" s="5" t="s">
        <v>4106</v>
      </c>
      <c r="H559" s="5" t="s">
        <v>4119</v>
      </c>
      <c r="I559" s="5"/>
    </row>
    <row r="560" spans="1:9" x14ac:dyDescent="0.2">
      <c r="A560" s="5">
        <v>1</v>
      </c>
      <c r="B560" s="5" t="s">
        <v>3638</v>
      </c>
      <c r="C560" s="5" t="s">
        <v>2804</v>
      </c>
      <c r="D560" s="5" t="s">
        <v>2805</v>
      </c>
      <c r="E560" s="5" t="s">
        <v>244</v>
      </c>
      <c r="F560" s="5" t="s">
        <v>3392</v>
      </c>
      <c r="G560" s="5" t="s">
        <v>4106</v>
      </c>
      <c r="H560" s="5" t="s">
        <v>4120</v>
      </c>
      <c r="I560" s="5"/>
    </row>
    <row r="561" spans="1:9" x14ac:dyDescent="0.2">
      <c r="A561" s="5">
        <v>1</v>
      </c>
      <c r="B561" s="5" t="s">
        <v>3638</v>
      </c>
      <c r="C561" s="5" t="s">
        <v>2804</v>
      </c>
      <c r="D561" s="5" t="s">
        <v>2805</v>
      </c>
      <c r="E561" s="5" t="s">
        <v>244</v>
      </c>
      <c r="F561" s="5" t="s">
        <v>3392</v>
      </c>
      <c r="G561" s="5" t="s">
        <v>4106</v>
      </c>
      <c r="H561" s="5" t="s">
        <v>4121</v>
      </c>
      <c r="I561" s="5"/>
    </row>
    <row r="562" spans="1:9" x14ac:dyDescent="0.2">
      <c r="A562" s="5">
        <v>1</v>
      </c>
      <c r="B562" s="5" t="s">
        <v>3638</v>
      </c>
      <c r="C562" s="5" t="s">
        <v>2804</v>
      </c>
      <c r="D562" s="5" t="s">
        <v>2805</v>
      </c>
      <c r="E562" s="5" t="s">
        <v>244</v>
      </c>
      <c r="F562" s="5" t="s">
        <v>3392</v>
      </c>
      <c r="G562" s="5" t="s">
        <v>4106</v>
      </c>
      <c r="H562" s="5" t="s">
        <v>4122</v>
      </c>
      <c r="I562" s="5"/>
    </row>
    <row r="563" spans="1:9" x14ac:dyDescent="0.2">
      <c r="A563" s="5">
        <v>1</v>
      </c>
      <c r="B563" s="5" t="s">
        <v>3638</v>
      </c>
      <c r="C563" s="5" t="s">
        <v>2804</v>
      </c>
      <c r="D563" s="5" t="s">
        <v>2805</v>
      </c>
      <c r="E563" s="5" t="s">
        <v>244</v>
      </c>
      <c r="F563" s="5" t="s">
        <v>3392</v>
      </c>
      <c r="G563" s="5" t="s">
        <v>4106</v>
      </c>
      <c r="H563" s="5" t="s">
        <v>4123</v>
      </c>
      <c r="I563" s="5"/>
    </row>
    <row r="564" spans="1:9" x14ac:dyDescent="0.2">
      <c r="A564" s="5">
        <v>1</v>
      </c>
      <c r="B564" s="5" t="s">
        <v>3638</v>
      </c>
      <c r="C564" s="5" t="s">
        <v>2804</v>
      </c>
      <c r="D564" s="5" t="s">
        <v>2805</v>
      </c>
      <c r="E564" s="5" t="s">
        <v>244</v>
      </c>
      <c r="F564" s="5" t="s">
        <v>3392</v>
      </c>
      <c r="G564" s="5" t="s">
        <v>4106</v>
      </c>
      <c r="H564" s="5" t="s">
        <v>4124</v>
      </c>
      <c r="I564" s="5"/>
    </row>
    <row r="565" spans="1:9" x14ac:dyDescent="0.2">
      <c r="A565" s="5">
        <v>1</v>
      </c>
      <c r="B565" s="5" t="s">
        <v>3638</v>
      </c>
      <c r="C565" s="5" t="s">
        <v>2804</v>
      </c>
      <c r="D565" s="5" t="s">
        <v>2805</v>
      </c>
      <c r="E565" s="5" t="s">
        <v>244</v>
      </c>
      <c r="F565" s="5" t="s">
        <v>3392</v>
      </c>
      <c r="G565" s="5" t="s">
        <v>4106</v>
      </c>
      <c r="H565" s="5" t="s">
        <v>4125</v>
      </c>
      <c r="I565" s="5"/>
    </row>
    <row r="566" spans="1:9" x14ac:dyDescent="0.2">
      <c r="A566" s="5">
        <v>1</v>
      </c>
      <c r="B566" s="5" t="s">
        <v>3638</v>
      </c>
      <c r="C566" s="5" t="s">
        <v>2804</v>
      </c>
      <c r="D566" s="5" t="s">
        <v>2805</v>
      </c>
      <c r="E566" s="5" t="s">
        <v>244</v>
      </c>
      <c r="F566" s="5" t="s">
        <v>3392</v>
      </c>
      <c r="G566" s="5" t="s">
        <v>4106</v>
      </c>
      <c r="H566" s="5" t="s">
        <v>4126</v>
      </c>
      <c r="I566" s="5"/>
    </row>
    <row r="567" spans="1:9" x14ac:dyDescent="0.2">
      <c r="A567" s="5">
        <v>1</v>
      </c>
      <c r="B567" s="5" t="s">
        <v>3638</v>
      </c>
      <c r="C567" s="5" t="s">
        <v>2804</v>
      </c>
      <c r="D567" s="5" t="s">
        <v>2805</v>
      </c>
      <c r="E567" s="5" t="s">
        <v>244</v>
      </c>
      <c r="F567" s="5" t="s">
        <v>3392</v>
      </c>
      <c r="G567" s="5" t="s">
        <v>4106</v>
      </c>
      <c r="H567" s="5" t="s">
        <v>4127</v>
      </c>
      <c r="I567" s="5"/>
    </row>
    <row r="568" spans="1:9" x14ac:dyDescent="0.2">
      <c r="A568" s="5">
        <v>1</v>
      </c>
      <c r="B568" s="5" t="s">
        <v>3638</v>
      </c>
      <c r="C568" s="5" t="s">
        <v>2804</v>
      </c>
      <c r="D568" s="5" t="s">
        <v>2805</v>
      </c>
      <c r="E568" s="5" t="s">
        <v>244</v>
      </c>
      <c r="F568" s="5" t="s">
        <v>3392</v>
      </c>
      <c r="G568" s="5" t="s">
        <v>4106</v>
      </c>
      <c r="H568" s="5" t="s">
        <v>4128</v>
      </c>
      <c r="I568" s="5"/>
    </row>
    <row r="569" spans="1:9" x14ac:dyDescent="0.2">
      <c r="A569" s="5">
        <v>1</v>
      </c>
      <c r="B569" s="5" t="s">
        <v>3638</v>
      </c>
      <c r="C569" s="5" t="s">
        <v>2804</v>
      </c>
      <c r="D569" s="5" t="s">
        <v>2805</v>
      </c>
      <c r="E569" s="5" t="s">
        <v>244</v>
      </c>
      <c r="F569" s="5" t="s">
        <v>3392</v>
      </c>
      <c r="G569" s="5" t="s">
        <v>4106</v>
      </c>
      <c r="H569" s="5" t="s">
        <v>4129</v>
      </c>
      <c r="I569" s="5"/>
    </row>
    <row r="570" spans="1:9" x14ac:dyDescent="0.2">
      <c r="A570" s="5">
        <v>1</v>
      </c>
      <c r="B570" s="5" t="s">
        <v>3638</v>
      </c>
      <c r="C570" s="5" t="s">
        <v>2804</v>
      </c>
      <c r="D570" s="5" t="s">
        <v>2805</v>
      </c>
      <c r="E570" s="5" t="s">
        <v>244</v>
      </c>
      <c r="F570" s="5" t="s">
        <v>3392</v>
      </c>
      <c r="G570" s="5" t="s">
        <v>4106</v>
      </c>
      <c r="H570" s="5" t="s">
        <v>4130</v>
      </c>
      <c r="I570" s="5"/>
    </row>
    <row r="571" spans="1:9" x14ac:dyDescent="0.2">
      <c r="A571" s="5">
        <v>1</v>
      </c>
      <c r="B571" s="5" t="s">
        <v>3638</v>
      </c>
      <c r="C571" s="5" t="s">
        <v>2804</v>
      </c>
      <c r="D571" s="5" t="s">
        <v>2805</v>
      </c>
      <c r="E571" s="5" t="s">
        <v>244</v>
      </c>
      <c r="F571" s="5" t="s">
        <v>3392</v>
      </c>
      <c r="G571" s="5" t="s">
        <v>4106</v>
      </c>
      <c r="H571" s="5" t="s">
        <v>4131</v>
      </c>
      <c r="I571" s="5"/>
    </row>
    <row r="572" spans="1:9" x14ac:dyDescent="0.2">
      <c r="A572" s="5">
        <v>1</v>
      </c>
      <c r="B572" s="5" t="s">
        <v>3638</v>
      </c>
      <c r="C572" s="5" t="s">
        <v>2804</v>
      </c>
      <c r="D572" s="5" t="s">
        <v>2805</v>
      </c>
      <c r="E572" s="5" t="s">
        <v>244</v>
      </c>
      <c r="F572" s="5" t="s">
        <v>3392</v>
      </c>
      <c r="G572" s="5" t="s">
        <v>4106</v>
      </c>
      <c r="H572" s="5" t="s">
        <v>4132</v>
      </c>
      <c r="I572" s="5"/>
    </row>
    <row r="573" spans="1:9" x14ac:dyDescent="0.2">
      <c r="A573" s="5">
        <v>1</v>
      </c>
      <c r="B573" s="5" t="s">
        <v>3638</v>
      </c>
      <c r="C573" s="5" t="s">
        <v>2804</v>
      </c>
      <c r="D573" s="5" t="s">
        <v>2805</v>
      </c>
      <c r="E573" s="5" t="s">
        <v>244</v>
      </c>
      <c r="F573" s="5" t="s">
        <v>3392</v>
      </c>
      <c r="G573" s="5" t="s">
        <v>4106</v>
      </c>
      <c r="H573" s="5" t="s">
        <v>4133</v>
      </c>
      <c r="I573" s="5"/>
    </row>
    <row r="574" spans="1:9" x14ac:dyDescent="0.2">
      <c r="A574" s="5">
        <v>1</v>
      </c>
      <c r="B574" s="5" t="s">
        <v>3638</v>
      </c>
      <c r="C574" s="5" t="s">
        <v>2804</v>
      </c>
      <c r="D574" s="5" t="s">
        <v>2805</v>
      </c>
      <c r="E574" s="5" t="s">
        <v>244</v>
      </c>
      <c r="F574" s="5" t="s">
        <v>3392</v>
      </c>
      <c r="G574" s="5" t="s">
        <v>4106</v>
      </c>
      <c r="H574" s="5" t="s">
        <v>4134</v>
      </c>
      <c r="I574" s="5"/>
    </row>
    <row r="575" spans="1:9" x14ac:dyDescent="0.2">
      <c r="A575" s="5">
        <v>1</v>
      </c>
      <c r="B575" s="5" t="s">
        <v>3638</v>
      </c>
      <c r="C575" s="5" t="s">
        <v>2804</v>
      </c>
      <c r="D575" s="5" t="s">
        <v>2805</v>
      </c>
      <c r="E575" s="5" t="s">
        <v>244</v>
      </c>
      <c r="F575" s="5" t="s">
        <v>3392</v>
      </c>
      <c r="G575" s="5" t="s">
        <v>4106</v>
      </c>
      <c r="H575" s="5" t="s">
        <v>4135</v>
      </c>
      <c r="I575" s="5"/>
    </row>
    <row r="576" spans="1:9" x14ac:dyDescent="0.2">
      <c r="A576" s="5">
        <v>1</v>
      </c>
      <c r="B576" s="5" t="s">
        <v>3638</v>
      </c>
      <c r="C576" s="5" t="s">
        <v>2804</v>
      </c>
      <c r="D576" s="5" t="s">
        <v>2805</v>
      </c>
      <c r="E576" s="5" t="s">
        <v>244</v>
      </c>
      <c r="F576" s="5" t="s">
        <v>3392</v>
      </c>
      <c r="G576" s="5" t="s">
        <v>4106</v>
      </c>
      <c r="H576" s="5" t="s">
        <v>4136</v>
      </c>
      <c r="I576" s="5"/>
    </row>
    <row r="577" spans="1:9" x14ac:dyDescent="0.2">
      <c r="A577" s="5">
        <v>1</v>
      </c>
      <c r="B577" s="5" t="s">
        <v>3638</v>
      </c>
      <c r="C577" s="5" t="s">
        <v>2804</v>
      </c>
      <c r="D577" s="5" t="s">
        <v>2805</v>
      </c>
      <c r="E577" s="5" t="s">
        <v>244</v>
      </c>
      <c r="F577" s="5" t="s">
        <v>3392</v>
      </c>
      <c r="G577" s="5" t="s">
        <v>4106</v>
      </c>
      <c r="H577" s="5" t="s">
        <v>4137</v>
      </c>
      <c r="I577" s="5"/>
    </row>
    <row r="578" spans="1:9" x14ac:dyDescent="0.2">
      <c r="A578" s="5">
        <v>1</v>
      </c>
      <c r="B578" s="5" t="s">
        <v>3638</v>
      </c>
      <c r="C578" s="5" t="s">
        <v>2804</v>
      </c>
      <c r="D578" s="5" t="s">
        <v>2805</v>
      </c>
      <c r="E578" s="5" t="s">
        <v>244</v>
      </c>
      <c r="F578" s="5" t="s">
        <v>3392</v>
      </c>
      <c r="G578" s="5" t="s">
        <v>4106</v>
      </c>
      <c r="H578" s="5" t="s">
        <v>4138</v>
      </c>
      <c r="I578" s="5"/>
    </row>
    <row r="579" spans="1:9" x14ac:dyDescent="0.2">
      <c r="A579" s="5">
        <v>1</v>
      </c>
      <c r="B579" s="5" t="s">
        <v>3638</v>
      </c>
      <c r="C579" s="5" t="s">
        <v>2804</v>
      </c>
      <c r="D579" s="5" t="s">
        <v>2805</v>
      </c>
      <c r="E579" s="5" t="s">
        <v>244</v>
      </c>
      <c r="F579" s="5" t="s">
        <v>3392</v>
      </c>
      <c r="G579" s="5" t="s">
        <v>4106</v>
      </c>
      <c r="H579" s="5" t="s">
        <v>4139</v>
      </c>
      <c r="I579" s="5"/>
    </row>
    <row r="580" spans="1:9" x14ac:dyDescent="0.2">
      <c r="A580" s="5">
        <v>1</v>
      </c>
      <c r="B580" s="5" t="s">
        <v>3638</v>
      </c>
      <c r="C580" s="5" t="s">
        <v>2804</v>
      </c>
      <c r="D580" s="5" t="s">
        <v>2805</v>
      </c>
      <c r="E580" s="5" t="s">
        <v>244</v>
      </c>
      <c r="F580" s="5" t="s">
        <v>3392</v>
      </c>
      <c r="G580" s="5" t="s">
        <v>4106</v>
      </c>
      <c r="H580" s="5" t="s">
        <v>4140</v>
      </c>
      <c r="I580" s="5"/>
    </row>
    <row r="581" spans="1:9" x14ac:dyDescent="0.2">
      <c r="A581" s="5">
        <v>1</v>
      </c>
      <c r="B581" s="5" t="s">
        <v>3638</v>
      </c>
      <c r="C581" s="5" t="s">
        <v>2804</v>
      </c>
      <c r="D581" s="5" t="s">
        <v>2805</v>
      </c>
      <c r="E581" s="5" t="s">
        <v>244</v>
      </c>
      <c r="F581" s="5" t="s">
        <v>3392</v>
      </c>
      <c r="G581" s="5" t="s">
        <v>4106</v>
      </c>
      <c r="H581" s="5" t="s">
        <v>4141</v>
      </c>
      <c r="I581" s="5"/>
    </row>
    <row r="582" spans="1:9" x14ac:dyDescent="0.2">
      <c r="A582" s="5">
        <v>1</v>
      </c>
      <c r="B582" s="5" t="s">
        <v>3638</v>
      </c>
      <c r="C582" s="5" t="s">
        <v>2804</v>
      </c>
      <c r="D582" s="5" t="s">
        <v>2805</v>
      </c>
      <c r="E582" s="5" t="s">
        <v>244</v>
      </c>
      <c r="F582" s="5" t="s">
        <v>3392</v>
      </c>
      <c r="G582" s="5" t="s">
        <v>4106</v>
      </c>
      <c r="H582" s="5" t="s">
        <v>4142</v>
      </c>
      <c r="I582" s="5"/>
    </row>
    <row r="583" spans="1:9" x14ac:dyDescent="0.2">
      <c r="A583" s="5">
        <v>1</v>
      </c>
      <c r="B583" s="5" t="s">
        <v>3638</v>
      </c>
      <c r="C583" s="5" t="s">
        <v>2804</v>
      </c>
      <c r="D583" s="5" t="s">
        <v>2805</v>
      </c>
      <c r="E583" s="5" t="s">
        <v>244</v>
      </c>
      <c r="F583" s="5" t="s">
        <v>3392</v>
      </c>
      <c r="G583" s="5" t="s">
        <v>4106</v>
      </c>
      <c r="H583" s="5" t="s">
        <v>4143</v>
      </c>
      <c r="I583" s="5"/>
    </row>
    <row r="584" spans="1:9" x14ac:dyDescent="0.2">
      <c r="A584" s="5">
        <v>1</v>
      </c>
      <c r="B584" s="5" t="s">
        <v>3638</v>
      </c>
      <c r="C584" s="5" t="s">
        <v>2804</v>
      </c>
      <c r="D584" s="5" t="s">
        <v>2805</v>
      </c>
      <c r="E584" s="5" t="s">
        <v>244</v>
      </c>
      <c r="F584" s="5" t="s">
        <v>3392</v>
      </c>
      <c r="G584" s="5" t="s">
        <v>4106</v>
      </c>
      <c r="H584" s="5" t="s">
        <v>4144</v>
      </c>
      <c r="I584" s="5"/>
    </row>
    <row r="585" spans="1:9" x14ac:dyDescent="0.2">
      <c r="A585" s="5">
        <v>1</v>
      </c>
      <c r="B585" s="5" t="s">
        <v>3638</v>
      </c>
      <c r="C585" s="5" t="s">
        <v>2577</v>
      </c>
      <c r="D585" s="5" t="s">
        <v>2578</v>
      </c>
      <c r="E585" s="5" t="s">
        <v>244</v>
      </c>
      <c r="F585" s="5" t="s">
        <v>3401</v>
      </c>
      <c r="G585" s="5" t="s">
        <v>4145</v>
      </c>
      <c r="H585" s="5" t="s">
        <v>4146</v>
      </c>
      <c r="I585" s="5"/>
    </row>
    <row r="586" spans="1:9" x14ac:dyDescent="0.2">
      <c r="A586" s="5">
        <v>1</v>
      </c>
      <c r="B586" s="5" t="s">
        <v>3638</v>
      </c>
      <c r="C586" s="5" t="s">
        <v>2539</v>
      </c>
      <c r="D586" s="5" t="s">
        <v>2540</v>
      </c>
      <c r="E586" s="5" t="s">
        <v>244</v>
      </c>
      <c r="F586" s="5" t="s">
        <v>3114</v>
      </c>
      <c r="G586" s="5"/>
      <c r="H586" s="5" t="s">
        <v>3237</v>
      </c>
      <c r="I586" s="5"/>
    </row>
    <row r="587" spans="1:9" x14ac:dyDescent="0.2">
      <c r="A587" s="5">
        <v>1</v>
      </c>
      <c r="B587" s="5" t="s">
        <v>3638</v>
      </c>
      <c r="C587" s="5" t="s">
        <v>2564</v>
      </c>
      <c r="D587" s="5" t="s">
        <v>2565</v>
      </c>
      <c r="E587" s="5" t="s">
        <v>244</v>
      </c>
      <c r="F587" s="5" t="s">
        <v>3114</v>
      </c>
      <c r="G587" s="5"/>
      <c r="H587" s="5" t="s">
        <v>3237</v>
      </c>
      <c r="I587" s="5"/>
    </row>
    <row r="588" spans="1:9" x14ac:dyDescent="0.2">
      <c r="A588" s="5">
        <v>1</v>
      </c>
      <c r="B588" s="5" t="s">
        <v>3640</v>
      </c>
      <c r="C588" s="5" t="s">
        <v>2706</v>
      </c>
      <c r="D588" s="5" t="s">
        <v>2707</v>
      </c>
      <c r="E588" s="5" t="s">
        <v>244</v>
      </c>
      <c r="F588" s="5" t="s">
        <v>3114</v>
      </c>
      <c r="G588" s="5"/>
      <c r="H588" s="5" t="s">
        <v>3237</v>
      </c>
      <c r="I588" s="5"/>
    </row>
    <row r="589" spans="1:9" x14ac:dyDescent="0.2">
      <c r="A589" s="5">
        <v>1</v>
      </c>
      <c r="B589" s="5" t="s">
        <v>3638</v>
      </c>
      <c r="C589" s="5" t="s">
        <v>2400</v>
      </c>
      <c r="D589" s="5" t="s">
        <v>2401</v>
      </c>
      <c r="E589" s="5" t="s">
        <v>244</v>
      </c>
      <c r="F589" s="5" t="s">
        <v>3127</v>
      </c>
      <c r="G589" s="5"/>
      <c r="H589" s="5" t="s">
        <v>3244</v>
      </c>
      <c r="I589" s="5"/>
    </row>
    <row r="590" spans="1:9" x14ac:dyDescent="0.2">
      <c r="A590" s="5">
        <v>1</v>
      </c>
      <c r="B590" s="5" t="s">
        <v>3638</v>
      </c>
      <c r="C590" s="5" t="s">
        <v>2539</v>
      </c>
      <c r="D590" s="5" t="s">
        <v>2540</v>
      </c>
      <c r="E590" s="5" t="s">
        <v>244</v>
      </c>
      <c r="F590" s="5" t="s">
        <v>3127</v>
      </c>
      <c r="G590" s="5"/>
      <c r="H590" s="5" t="s">
        <v>3244</v>
      </c>
      <c r="I590" s="5"/>
    </row>
    <row r="591" spans="1:9" x14ac:dyDescent="0.2">
      <c r="A591" s="5">
        <v>1</v>
      </c>
      <c r="B591" s="5" t="s">
        <v>3638</v>
      </c>
      <c r="C591" s="5" t="s">
        <v>2564</v>
      </c>
      <c r="D591" s="5" t="s">
        <v>2565</v>
      </c>
      <c r="E591" s="5" t="s">
        <v>244</v>
      </c>
      <c r="F591" s="5" t="s">
        <v>3127</v>
      </c>
      <c r="G591" s="5"/>
      <c r="H591" s="5" t="s">
        <v>3244</v>
      </c>
      <c r="I591" s="5"/>
    </row>
    <row r="592" spans="1:9" x14ac:dyDescent="0.2">
      <c r="A592" s="5">
        <v>1</v>
      </c>
      <c r="B592" s="5" t="s">
        <v>3640</v>
      </c>
      <c r="C592" s="5" t="s">
        <v>2706</v>
      </c>
      <c r="D592" s="5" t="s">
        <v>2707</v>
      </c>
      <c r="E592" s="5" t="s">
        <v>244</v>
      </c>
      <c r="F592" s="5" t="s">
        <v>3127</v>
      </c>
      <c r="G592" s="5"/>
      <c r="H592" s="5" t="s">
        <v>3244</v>
      </c>
      <c r="I592" s="5"/>
    </row>
    <row r="593" spans="1:9" x14ac:dyDescent="0.2">
      <c r="A593" s="5">
        <v>1</v>
      </c>
      <c r="B593" s="5" t="s">
        <v>3638</v>
      </c>
      <c r="C593" s="5" t="s">
        <v>2804</v>
      </c>
      <c r="D593" s="5" t="s">
        <v>2805</v>
      </c>
      <c r="E593" s="5" t="s">
        <v>244</v>
      </c>
      <c r="F593" s="5" t="s">
        <v>3127</v>
      </c>
      <c r="G593" s="5"/>
      <c r="H593" s="5" t="s">
        <v>3244</v>
      </c>
      <c r="I593" s="5"/>
    </row>
    <row r="594" spans="1:9" x14ac:dyDescent="0.2">
      <c r="A594" s="5">
        <v>1</v>
      </c>
      <c r="B594" s="5" t="s">
        <v>3638</v>
      </c>
      <c r="C594" s="5" t="s">
        <v>2539</v>
      </c>
      <c r="D594" s="5" t="s">
        <v>2540</v>
      </c>
      <c r="E594" s="5" t="s">
        <v>244</v>
      </c>
      <c r="F594" s="5" t="s">
        <v>3115</v>
      </c>
      <c r="G594" s="5"/>
      <c r="H594" s="5" t="s">
        <v>3238</v>
      </c>
      <c r="I594" s="5"/>
    </row>
    <row r="595" spans="1:9" x14ac:dyDescent="0.2">
      <c r="A595" s="5">
        <v>1</v>
      </c>
      <c r="B595" s="5" t="s">
        <v>3638</v>
      </c>
      <c r="C595" s="5" t="s">
        <v>2564</v>
      </c>
      <c r="D595" s="5" t="s">
        <v>2565</v>
      </c>
      <c r="E595" s="5" t="s">
        <v>244</v>
      </c>
      <c r="F595" s="5" t="s">
        <v>3115</v>
      </c>
      <c r="G595" s="5"/>
      <c r="H595" s="5" t="s">
        <v>3238</v>
      </c>
      <c r="I595" s="5"/>
    </row>
    <row r="596" spans="1:9" x14ac:dyDescent="0.2">
      <c r="A596" s="5">
        <v>1</v>
      </c>
      <c r="B596" s="5" t="s">
        <v>3638</v>
      </c>
      <c r="C596" s="5" t="s">
        <v>2804</v>
      </c>
      <c r="D596" s="5" t="s">
        <v>2805</v>
      </c>
      <c r="E596" s="5" t="s">
        <v>244</v>
      </c>
      <c r="F596" s="5" t="s">
        <v>3115</v>
      </c>
      <c r="G596" s="5"/>
      <c r="H596" s="5" t="s">
        <v>3238</v>
      </c>
      <c r="I596" s="5"/>
    </row>
    <row r="597" spans="1:9" x14ac:dyDescent="0.2">
      <c r="A597" s="5">
        <v>1</v>
      </c>
      <c r="B597" s="5" t="s">
        <v>3638</v>
      </c>
      <c r="C597" s="5" t="s">
        <v>2539</v>
      </c>
      <c r="D597" s="5" t="s">
        <v>2540</v>
      </c>
      <c r="E597" s="5" t="s">
        <v>244</v>
      </c>
      <c r="F597" s="5" t="s">
        <v>3201</v>
      </c>
      <c r="G597" s="5"/>
      <c r="H597" s="5" t="s">
        <v>3327</v>
      </c>
      <c r="I597" s="5"/>
    </row>
    <row r="598" spans="1:9" x14ac:dyDescent="0.2">
      <c r="A598" s="5">
        <v>1</v>
      </c>
      <c r="B598" s="5" t="s">
        <v>3640</v>
      </c>
      <c r="C598" s="5" t="s">
        <v>2706</v>
      </c>
      <c r="D598" s="5" t="s">
        <v>2707</v>
      </c>
      <c r="E598" s="5" t="s">
        <v>244</v>
      </c>
      <c r="F598" s="5" t="s">
        <v>3201</v>
      </c>
      <c r="G598" s="5"/>
      <c r="H598" s="5" t="s">
        <v>3327</v>
      </c>
      <c r="I598" s="5"/>
    </row>
    <row r="599" spans="1:9" x14ac:dyDescent="0.2">
      <c r="A599" s="5">
        <v>1</v>
      </c>
      <c r="B599" s="5" t="s">
        <v>3638</v>
      </c>
      <c r="C599" s="5" t="s">
        <v>2539</v>
      </c>
      <c r="D599" s="5" t="s">
        <v>2540</v>
      </c>
      <c r="E599" s="5" t="s">
        <v>244</v>
      </c>
      <c r="F599" s="5" t="s">
        <v>3195</v>
      </c>
      <c r="G599" s="5"/>
      <c r="H599" s="5" t="s">
        <v>3289</v>
      </c>
      <c r="I599" s="5"/>
    </row>
    <row r="600" spans="1:9" x14ac:dyDescent="0.2">
      <c r="A600" s="5">
        <v>1</v>
      </c>
      <c r="B600" s="5" t="s">
        <v>3638</v>
      </c>
      <c r="C600" s="5" t="s">
        <v>2564</v>
      </c>
      <c r="D600" s="5" t="s">
        <v>2565</v>
      </c>
      <c r="E600" s="5" t="s">
        <v>244</v>
      </c>
      <c r="F600" s="5" t="s">
        <v>3195</v>
      </c>
      <c r="G600" s="5"/>
      <c r="H600" s="5" t="s">
        <v>3289</v>
      </c>
      <c r="I600" s="5"/>
    </row>
    <row r="601" spans="1:9" x14ac:dyDescent="0.2">
      <c r="A601" s="5">
        <v>1</v>
      </c>
      <c r="B601" s="5" t="s">
        <v>3640</v>
      </c>
      <c r="C601" s="5" t="s">
        <v>2706</v>
      </c>
      <c r="D601" s="5" t="s">
        <v>2707</v>
      </c>
      <c r="E601" s="5" t="s">
        <v>244</v>
      </c>
      <c r="F601" s="5" t="s">
        <v>3195</v>
      </c>
      <c r="G601" s="5"/>
      <c r="H601" s="5" t="s">
        <v>3289</v>
      </c>
      <c r="I601" s="5"/>
    </row>
    <row r="602" spans="1:9" x14ac:dyDescent="0.2">
      <c r="A602" s="5">
        <v>1</v>
      </c>
      <c r="B602" s="5" t="s">
        <v>3638</v>
      </c>
      <c r="C602" s="5" t="s">
        <v>2539</v>
      </c>
      <c r="D602" s="5" t="s">
        <v>2540</v>
      </c>
      <c r="E602" s="5" t="s">
        <v>244</v>
      </c>
      <c r="F602" s="5" t="s">
        <v>3109</v>
      </c>
      <c r="G602" s="5"/>
      <c r="H602" s="5" t="s">
        <v>3236</v>
      </c>
      <c r="I602" s="5"/>
    </row>
    <row r="603" spans="1:9" x14ac:dyDescent="0.2">
      <c r="A603" s="5">
        <v>1</v>
      </c>
      <c r="B603" s="5" t="s">
        <v>3638</v>
      </c>
      <c r="C603" s="5" t="s">
        <v>2564</v>
      </c>
      <c r="D603" s="5" t="s">
        <v>2565</v>
      </c>
      <c r="E603" s="5" t="s">
        <v>244</v>
      </c>
      <c r="F603" s="5" t="s">
        <v>3109</v>
      </c>
      <c r="G603" s="5"/>
      <c r="H603" s="5" t="s">
        <v>3236</v>
      </c>
      <c r="I603" s="5"/>
    </row>
    <row r="604" spans="1:9" x14ac:dyDescent="0.2">
      <c r="A604" s="5">
        <v>1</v>
      </c>
      <c r="B604" s="5" t="s">
        <v>3638</v>
      </c>
      <c r="C604" s="5" t="s">
        <v>2577</v>
      </c>
      <c r="D604" s="5" t="s">
        <v>2578</v>
      </c>
      <c r="E604" s="5" t="s">
        <v>244</v>
      </c>
      <c r="F604" s="5" t="s">
        <v>3109</v>
      </c>
      <c r="G604" s="5"/>
      <c r="H604" s="5" t="s">
        <v>3236</v>
      </c>
      <c r="I604" s="5"/>
    </row>
    <row r="605" spans="1:9" x14ac:dyDescent="0.2">
      <c r="A605" s="5">
        <v>1</v>
      </c>
      <c r="B605" s="5" t="s">
        <v>3638</v>
      </c>
      <c r="C605" s="5" t="s">
        <v>2367</v>
      </c>
      <c r="D605" s="5" t="s">
        <v>2368</v>
      </c>
      <c r="E605" s="5" t="s">
        <v>244</v>
      </c>
      <c r="F605" s="5" t="s">
        <v>3090</v>
      </c>
      <c r="G605" s="5"/>
      <c r="H605" s="5" t="s">
        <v>3225</v>
      </c>
      <c r="I605" s="5"/>
    </row>
    <row r="606" spans="1:9" x14ac:dyDescent="0.2">
      <c r="A606" s="5">
        <v>1</v>
      </c>
      <c r="B606" s="5" t="s">
        <v>3638</v>
      </c>
      <c r="C606" s="5" t="s">
        <v>2400</v>
      </c>
      <c r="D606" s="5" t="s">
        <v>2401</v>
      </c>
      <c r="E606" s="5" t="s">
        <v>244</v>
      </c>
      <c r="F606" s="5" t="s">
        <v>3090</v>
      </c>
      <c r="G606" s="5"/>
      <c r="H606" s="5" t="s">
        <v>3225</v>
      </c>
      <c r="I606" s="5"/>
    </row>
    <row r="607" spans="1:9" x14ac:dyDescent="0.2">
      <c r="A607" s="5">
        <v>1</v>
      </c>
      <c r="B607" s="5" t="s">
        <v>3638</v>
      </c>
      <c r="C607" s="5" t="s">
        <v>2539</v>
      </c>
      <c r="D607" s="5" t="s">
        <v>2540</v>
      </c>
      <c r="E607" s="5" t="s">
        <v>244</v>
      </c>
      <c r="F607" s="5" t="s">
        <v>3090</v>
      </c>
      <c r="G607" s="5"/>
      <c r="H607" s="5" t="s">
        <v>3225</v>
      </c>
      <c r="I607" s="5"/>
    </row>
    <row r="608" spans="1:9" x14ac:dyDescent="0.2">
      <c r="A608" s="5">
        <v>1</v>
      </c>
      <c r="B608" s="5" t="s">
        <v>3638</v>
      </c>
      <c r="C608" s="5" t="s">
        <v>2564</v>
      </c>
      <c r="D608" s="5" t="s">
        <v>2565</v>
      </c>
      <c r="E608" s="5" t="s">
        <v>244</v>
      </c>
      <c r="F608" s="5" t="s">
        <v>3090</v>
      </c>
      <c r="G608" s="5"/>
      <c r="H608" s="5" t="s">
        <v>3225</v>
      </c>
      <c r="I608" s="5"/>
    </row>
    <row r="609" spans="1:9" x14ac:dyDescent="0.2">
      <c r="A609" s="5">
        <v>1</v>
      </c>
      <c r="B609" s="5" t="s">
        <v>3638</v>
      </c>
      <c r="C609" s="5" t="s">
        <v>2577</v>
      </c>
      <c r="D609" s="5" t="s">
        <v>2578</v>
      </c>
      <c r="E609" s="5" t="s">
        <v>244</v>
      </c>
      <c r="F609" s="5" t="s">
        <v>3090</v>
      </c>
      <c r="G609" s="5"/>
      <c r="H609" s="5" t="s">
        <v>3225</v>
      </c>
      <c r="I609" s="5"/>
    </row>
    <row r="610" spans="1:9" x14ac:dyDescent="0.2">
      <c r="A610" s="5">
        <v>1</v>
      </c>
      <c r="B610" s="5" t="s">
        <v>2417</v>
      </c>
      <c r="C610" s="5" t="s">
        <v>2706</v>
      </c>
      <c r="D610" s="5" t="s">
        <v>2707</v>
      </c>
      <c r="E610" s="5" t="s">
        <v>244</v>
      </c>
      <c r="F610" s="5" t="s">
        <v>3090</v>
      </c>
      <c r="G610" s="5"/>
      <c r="H610" s="5" t="s">
        <v>3225</v>
      </c>
      <c r="I610" s="5"/>
    </row>
    <row r="611" spans="1:9" x14ac:dyDescent="0.2">
      <c r="A611" s="5">
        <v>1</v>
      </c>
      <c r="B611" s="5" t="s">
        <v>3638</v>
      </c>
      <c r="C611" s="5" t="s">
        <v>2804</v>
      </c>
      <c r="D611" s="5" t="s">
        <v>2805</v>
      </c>
      <c r="E611" s="5" t="s">
        <v>244</v>
      </c>
      <c r="F611" s="5" t="s">
        <v>3090</v>
      </c>
      <c r="G611" s="5"/>
      <c r="H611" s="5" t="s">
        <v>3225</v>
      </c>
      <c r="I611" s="5"/>
    </row>
    <row r="612" spans="1:9" x14ac:dyDescent="0.2">
      <c r="A612" s="5">
        <v>1</v>
      </c>
      <c r="B612" s="5" t="s">
        <v>3638</v>
      </c>
      <c r="C612" s="5" t="s">
        <v>3046</v>
      </c>
      <c r="D612" s="5" t="s">
        <v>3047</v>
      </c>
      <c r="E612" s="5" t="s">
        <v>244</v>
      </c>
      <c r="F612" s="5" t="s">
        <v>3090</v>
      </c>
      <c r="G612" s="5"/>
      <c r="H612" s="5" t="s">
        <v>3225</v>
      </c>
      <c r="I612" s="5"/>
    </row>
    <row r="613" spans="1:9" x14ac:dyDescent="0.2">
      <c r="A613" s="5">
        <v>1</v>
      </c>
      <c r="B613" s="5" t="s">
        <v>3638</v>
      </c>
      <c r="C613" s="5" t="s">
        <v>2539</v>
      </c>
      <c r="D613" s="5" t="s">
        <v>2540</v>
      </c>
      <c r="E613" s="5" t="s">
        <v>244</v>
      </c>
      <c r="F613" s="5" t="s">
        <v>3089</v>
      </c>
      <c r="G613" s="5"/>
      <c r="H613" s="5" t="s">
        <v>3224</v>
      </c>
      <c r="I613" s="5"/>
    </row>
    <row r="614" spans="1:9" x14ac:dyDescent="0.2">
      <c r="A614" s="5">
        <v>1</v>
      </c>
      <c r="B614" s="5" t="s">
        <v>3638</v>
      </c>
      <c r="C614" s="5" t="s">
        <v>2577</v>
      </c>
      <c r="D614" s="5" t="s">
        <v>2578</v>
      </c>
      <c r="E614" s="5" t="s">
        <v>244</v>
      </c>
      <c r="F614" s="5" t="s">
        <v>3089</v>
      </c>
      <c r="G614" s="5"/>
      <c r="H614" s="5" t="s">
        <v>3224</v>
      </c>
      <c r="I614" s="5"/>
    </row>
    <row r="615" spans="1:9" x14ac:dyDescent="0.2">
      <c r="A615" s="5">
        <v>1</v>
      </c>
      <c r="B615" s="5" t="s">
        <v>3638</v>
      </c>
      <c r="C615" s="5" t="s">
        <v>2804</v>
      </c>
      <c r="D615" s="5" t="s">
        <v>2805</v>
      </c>
      <c r="E615" s="5" t="s">
        <v>244</v>
      </c>
      <c r="F615" s="5" t="s">
        <v>3089</v>
      </c>
      <c r="G615" s="5"/>
      <c r="H615" s="5" t="s">
        <v>3224</v>
      </c>
      <c r="I615" s="5"/>
    </row>
    <row r="616" spans="1:9" x14ac:dyDescent="0.2">
      <c r="A616" s="5">
        <v>1</v>
      </c>
      <c r="B616" s="5" t="s">
        <v>2417</v>
      </c>
      <c r="C616" s="5" t="s">
        <v>3046</v>
      </c>
      <c r="D616" s="5" t="s">
        <v>3047</v>
      </c>
      <c r="E616" s="5" t="s">
        <v>244</v>
      </c>
      <c r="F616" s="5" t="s">
        <v>3089</v>
      </c>
      <c r="G616" s="5"/>
      <c r="H616" s="5" t="s">
        <v>3224</v>
      </c>
      <c r="I616" s="5"/>
    </row>
    <row r="617" spans="1:9" x14ac:dyDescent="0.2">
      <c r="A617" s="5">
        <v>1</v>
      </c>
      <c r="B617" s="5" t="s">
        <v>3638</v>
      </c>
      <c r="C617" s="5" t="s">
        <v>2400</v>
      </c>
      <c r="D617" s="5" t="s">
        <v>2401</v>
      </c>
      <c r="E617" s="5" t="s">
        <v>244</v>
      </c>
      <c r="F617" s="5" t="s">
        <v>3088</v>
      </c>
      <c r="G617" s="5"/>
      <c r="H617" s="5" t="s">
        <v>3223</v>
      </c>
      <c r="I617" s="5"/>
    </row>
    <row r="618" spans="1:9" x14ac:dyDescent="0.2">
      <c r="A618" s="5">
        <v>1</v>
      </c>
      <c r="B618" s="5" t="s">
        <v>3638</v>
      </c>
      <c r="C618" s="5" t="s">
        <v>2539</v>
      </c>
      <c r="D618" s="5" t="s">
        <v>2540</v>
      </c>
      <c r="E618" s="5" t="s">
        <v>244</v>
      </c>
      <c r="F618" s="5" t="s">
        <v>3088</v>
      </c>
      <c r="G618" s="5"/>
      <c r="H618" s="5" t="s">
        <v>3223</v>
      </c>
      <c r="I618" s="5"/>
    </row>
    <row r="619" spans="1:9" x14ac:dyDescent="0.2">
      <c r="A619" s="5">
        <v>1</v>
      </c>
      <c r="B619" s="5" t="s">
        <v>3638</v>
      </c>
      <c r="C619" s="5" t="s">
        <v>2564</v>
      </c>
      <c r="D619" s="5" t="s">
        <v>2565</v>
      </c>
      <c r="E619" s="5" t="s">
        <v>244</v>
      </c>
      <c r="F619" s="5" t="s">
        <v>3088</v>
      </c>
      <c r="G619" s="5"/>
      <c r="H619" s="5" t="s">
        <v>3223</v>
      </c>
      <c r="I619" s="5"/>
    </row>
    <row r="620" spans="1:9" x14ac:dyDescent="0.2">
      <c r="A620" s="5">
        <v>1</v>
      </c>
      <c r="B620" s="5" t="s">
        <v>3638</v>
      </c>
      <c r="C620" s="5" t="s">
        <v>2577</v>
      </c>
      <c r="D620" s="5" t="s">
        <v>2578</v>
      </c>
      <c r="E620" s="5" t="s">
        <v>244</v>
      </c>
      <c r="F620" s="5" t="s">
        <v>3088</v>
      </c>
      <c r="G620" s="5"/>
      <c r="H620" s="5" t="s">
        <v>3223</v>
      </c>
      <c r="I620" s="5"/>
    </row>
    <row r="621" spans="1:9" x14ac:dyDescent="0.2">
      <c r="A621" s="5">
        <v>1</v>
      </c>
      <c r="B621" s="5" t="s">
        <v>2417</v>
      </c>
      <c r="C621" s="5" t="s">
        <v>2706</v>
      </c>
      <c r="D621" s="5" t="s">
        <v>2707</v>
      </c>
      <c r="E621" s="5" t="s">
        <v>244</v>
      </c>
      <c r="F621" s="5" t="s">
        <v>3088</v>
      </c>
      <c r="G621" s="5"/>
      <c r="H621" s="5" t="s">
        <v>3223</v>
      </c>
      <c r="I621" s="5"/>
    </row>
    <row r="622" spans="1:9" x14ac:dyDescent="0.2">
      <c r="A622" s="5">
        <v>1</v>
      </c>
      <c r="B622" s="5" t="s">
        <v>3638</v>
      </c>
      <c r="C622" s="5" t="s">
        <v>2804</v>
      </c>
      <c r="D622" s="5" t="s">
        <v>2805</v>
      </c>
      <c r="E622" s="5" t="s">
        <v>244</v>
      </c>
      <c r="F622" s="5" t="s">
        <v>3088</v>
      </c>
      <c r="G622" s="5"/>
      <c r="H622" s="5" t="s">
        <v>3223</v>
      </c>
      <c r="I622" s="5"/>
    </row>
    <row r="623" spans="1:9" x14ac:dyDescent="0.2">
      <c r="A623" s="5">
        <v>1</v>
      </c>
      <c r="B623" s="5" t="s">
        <v>2417</v>
      </c>
      <c r="C623" s="5" t="s">
        <v>3046</v>
      </c>
      <c r="D623" s="5" t="s">
        <v>3047</v>
      </c>
      <c r="E623" s="5" t="s">
        <v>244</v>
      </c>
      <c r="F623" s="5" t="s">
        <v>3088</v>
      </c>
      <c r="G623" s="5"/>
      <c r="H623" s="5" t="s">
        <v>3223</v>
      </c>
      <c r="I623" s="5"/>
    </row>
    <row r="624" spans="1:9" x14ac:dyDescent="0.2">
      <c r="A624" s="5">
        <v>1</v>
      </c>
      <c r="B624" s="5" t="s">
        <v>3638</v>
      </c>
      <c r="C624" s="5" t="s">
        <v>2539</v>
      </c>
      <c r="D624" s="5" t="s">
        <v>2540</v>
      </c>
      <c r="E624" s="5" t="s">
        <v>244</v>
      </c>
      <c r="F624" s="5" t="s">
        <v>3118</v>
      </c>
      <c r="G624" s="5"/>
      <c r="H624" s="5" t="s">
        <v>3239</v>
      </c>
      <c r="I624" s="5"/>
    </row>
    <row r="625" spans="1:9" x14ac:dyDescent="0.2">
      <c r="A625" s="5">
        <v>1</v>
      </c>
      <c r="B625" s="5" t="s">
        <v>3638</v>
      </c>
      <c r="C625" s="5" t="s">
        <v>2706</v>
      </c>
      <c r="D625" s="5" t="s">
        <v>2707</v>
      </c>
      <c r="E625" s="5" t="s">
        <v>244</v>
      </c>
      <c r="F625" s="5" t="s">
        <v>3118</v>
      </c>
      <c r="G625" s="5"/>
      <c r="H625" s="5" t="s">
        <v>3239</v>
      </c>
      <c r="I625" s="5"/>
    </row>
    <row r="626" spans="1:9" x14ac:dyDescent="0.2">
      <c r="A626" s="5">
        <v>1</v>
      </c>
      <c r="B626" s="5" t="s">
        <v>3638</v>
      </c>
      <c r="C626" s="5" t="s">
        <v>2367</v>
      </c>
      <c r="D626" s="5" t="s">
        <v>2368</v>
      </c>
      <c r="E626" s="5" t="s">
        <v>244</v>
      </c>
      <c r="F626" s="5" t="s">
        <v>3121</v>
      </c>
      <c r="G626" s="5"/>
      <c r="H626" s="5" t="s">
        <v>3240</v>
      </c>
      <c r="I626" s="5"/>
    </row>
    <row r="627" spans="1:9" x14ac:dyDescent="0.2">
      <c r="A627" s="5">
        <v>1</v>
      </c>
      <c r="B627" s="5" t="s">
        <v>3638</v>
      </c>
      <c r="C627" s="5" t="s">
        <v>2400</v>
      </c>
      <c r="D627" s="5" t="s">
        <v>2401</v>
      </c>
      <c r="E627" s="5" t="s">
        <v>244</v>
      </c>
      <c r="F627" s="5" t="s">
        <v>3121</v>
      </c>
      <c r="G627" s="5"/>
      <c r="H627" s="5" t="s">
        <v>3240</v>
      </c>
      <c r="I627" s="5"/>
    </row>
    <row r="628" spans="1:9" x14ac:dyDescent="0.2">
      <c r="A628" s="5">
        <v>1</v>
      </c>
      <c r="B628" s="5" t="s">
        <v>3638</v>
      </c>
      <c r="C628" s="5" t="s">
        <v>2539</v>
      </c>
      <c r="D628" s="5" t="s">
        <v>2540</v>
      </c>
      <c r="E628" s="5" t="s">
        <v>244</v>
      </c>
      <c r="F628" s="5" t="s">
        <v>3121</v>
      </c>
      <c r="G628" s="5"/>
      <c r="H628" s="5" t="s">
        <v>3240</v>
      </c>
      <c r="I628" s="5"/>
    </row>
    <row r="629" spans="1:9" x14ac:dyDescent="0.2">
      <c r="A629" s="5">
        <v>1</v>
      </c>
      <c r="B629" s="5" t="s">
        <v>3638</v>
      </c>
      <c r="C629" s="5" t="s">
        <v>2564</v>
      </c>
      <c r="D629" s="5" t="s">
        <v>2565</v>
      </c>
      <c r="E629" s="5" t="s">
        <v>244</v>
      </c>
      <c r="F629" s="5" t="s">
        <v>3121</v>
      </c>
      <c r="G629" s="5"/>
      <c r="H629" s="5" t="s">
        <v>3240</v>
      </c>
      <c r="I629" s="5"/>
    </row>
    <row r="630" spans="1:9" x14ac:dyDescent="0.2">
      <c r="A630" s="5">
        <v>1</v>
      </c>
      <c r="B630" s="5" t="s">
        <v>3638</v>
      </c>
      <c r="C630" s="5" t="s">
        <v>2706</v>
      </c>
      <c r="D630" s="5" t="s">
        <v>2707</v>
      </c>
      <c r="E630" s="5" t="s">
        <v>244</v>
      </c>
      <c r="F630" s="5" t="s">
        <v>3121</v>
      </c>
      <c r="G630" s="5"/>
      <c r="H630" s="5" t="s">
        <v>3240</v>
      </c>
      <c r="I630" s="5"/>
    </row>
    <row r="631" spans="1:9" x14ac:dyDescent="0.2">
      <c r="A631" s="5">
        <v>1</v>
      </c>
      <c r="B631" s="5" t="s">
        <v>3638</v>
      </c>
      <c r="C631" s="5" t="s">
        <v>2804</v>
      </c>
      <c r="D631" s="5" t="s">
        <v>2805</v>
      </c>
      <c r="E631" s="5" t="s">
        <v>244</v>
      </c>
      <c r="F631" s="5" t="s">
        <v>3121</v>
      </c>
      <c r="G631" s="5"/>
      <c r="H631" s="5" t="s">
        <v>3240</v>
      </c>
      <c r="I631" s="5"/>
    </row>
    <row r="632" spans="1:9" x14ac:dyDescent="0.2">
      <c r="A632" s="5">
        <v>1</v>
      </c>
      <c r="B632" s="5" t="s">
        <v>3638</v>
      </c>
      <c r="C632" s="5" t="s">
        <v>2367</v>
      </c>
      <c r="D632" s="5" t="s">
        <v>2368</v>
      </c>
      <c r="E632" s="5" t="s">
        <v>244</v>
      </c>
      <c r="F632" s="5" t="s">
        <v>3228</v>
      </c>
      <c r="G632" s="5"/>
      <c r="H632" s="5" t="s">
        <v>3229</v>
      </c>
      <c r="I632" s="5"/>
    </row>
    <row r="633" spans="1:9" x14ac:dyDescent="0.2">
      <c r="A633" s="5">
        <v>1</v>
      </c>
      <c r="B633" s="5" t="s">
        <v>3638</v>
      </c>
      <c r="C633" s="5" t="s">
        <v>2400</v>
      </c>
      <c r="D633" s="5" t="s">
        <v>2401</v>
      </c>
      <c r="E633" s="5" t="s">
        <v>244</v>
      </c>
      <c r="F633" s="5" t="s">
        <v>3228</v>
      </c>
      <c r="G633" s="5"/>
      <c r="H633" s="5" t="s">
        <v>3229</v>
      </c>
      <c r="I633" s="5"/>
    </row>
    <row r="634" spans="1:9" x14ac:dyDescent="0.2">
      <c r="A634" s="5">
        <v>1</v>
      </c>
      <c r="B634" s="5" t="s">
        <v>3638</v>
      </c>
      <c r="C634" s="5" t="s">
        <v>2539</v>
      </c>
      <c r="D634" s="5" t="s">
        <v>2540</v>
      </c>
      <c r="E634" s="5" t="s">
        <v>244</v>
      </c>
      <c r="F634" s="5" t="s">
        <v>3228</v>
      </c>
      <c r="G634" s="5"/>
      <c r="H634" s="5" t="s">
        <v>3229</v>
      </c>
      <c r="I634" s="5"/>
    </row>
    <row r="635" spans="1:9" x14ac:dyDescent="0.2">
      <c r="A635" s="5">
        <v>1</v>
      </c>
      <c r="B635" s="5" t="s">
        <v>3638</v>
      </c>
      <c r="C635" s="5" t="s">
        <v>2564</v>
      </c>
      <c r="D635" s="5" t="s">
        <v>2565</v>
      </c>
      <c r="E635" s="5" t="s">
        <v>244</v>
      </c>
      <c r="F635" s="5" t="s">
        <v>3228</v>
      </c>
      <c r="G635" s="5"/>
      <c r="H635" s="5" t="s">
        <v>3229</v>
      </c>
      <c r="I635" s="5"/>
    </row>
    <row r="636" spans="1:9" x14ac:dyDescent="0.2">
      <c r="A636" s="5">
        <v>1</v>
      </c>
      <c r="B636" s="5" t="s">
        <v>3640</v>
      </c>
      <c r="C636" s="5" t="s">
        <v>2706</v>
      </c>
      <c r="D636" s="5" t="s">
        <v>2707</v>
      </c>
      <c r="E636" s="5" t="s">
        <v>244</v>
      </c>
      <c r="F636" s="5" t="s">
        <v>3228</v>
      </c>
      <c r="G636" s="5"/>
      <c r="H636" s="5" t="s">
        <v>3229</v>
      </c>
      <c r="I636" s="5"/>
    </row>
    <row r="637" spans="1:9" x14ac:dyDescent="0.2">
      <c r="A637" s="5">
        <v>1</v>
      </c>
      <c r="B637" s="5" t="s">
        <v>3638</v>
      </c>
      <c r="C637" s="5" t="s">
        <v>2804</v>
      </c>
      <c r="D637" s="5" t="s">
        <v>2805</v>
      </c>
      <c r="E637" s="5" t="s">
        <v>244</v>
      </c>
      <c r="F637" s="5" t="s">
        <v>3228</v>
      </c>
      <c r="G637" s="5"/>
      <c r="H637" s="5" t="s">
        <v>3229</v>
      </c>
      <c r="I637" s="5"/>
    </row>
    <row r="638" spans="1:9" x14ac:dyDescent="0.2">
      <c r="A638" s="5">
        <v>1</v>
      </c>
      <c r="B638" s="5" t="s">
        <v>3638</v>
      </c>
      <c r="C638" s="5" t="s">
        <v>2400</v>
      </c>
      <c r="D638" s="5" t="s">
        <v>2401</v>
      </c>
      <c r="E638" s="5" t="s">
        <v>244</v>
      </c>
      <c r="F638" s="5" t="s">
        <v>3128</v>
      </c>
      <c r="G638" s="5"/>
      <c r="H638" s="5" t="s">
        <v>3226</v>
      </c>
      <c r="I638" s="5"/>
    </row>
    <row r="639" spans="1:9" x14ac:dyDescent="0.2">
      <c r="A639" s="5">
        <v>1</v>
      </c>
      <c r="B639" s="5" t="s">
        <v>3638</v>
      </c>
      <c r="C639" s="5" t="s">
        <v>2539</v>
      </c>
      <c r="D639" s="5" t="s">
        <v>2540</v>
      </c>
      <c r="E639" s="5" t="s">
        <v>244</v>
      </c>
      <c r="F639" s="5" t="s">
        <v>3128</v>
      </c>
      <c r="G639" s="5"/>
      <c r="H639" s="5" t="s">
        <v>3226</v>
      </c>
      <c r="I639" s="5"/>
    </row>
    <row r="640" spans="1:9" x14ac:dyDescent="0.2">
      <c r="A640" s="5">
        <v>1</v>
      </c>
      <c r="B640" s="5" t="s">
        <v>3638</v>
      </c>
      <c r="C640" s="5" t="s">
        <v>2564</v>
      </c>
      <c r="D640" s="5" t="s">
        <v>2565</v>
      </c>
      <c r="E640" s="5" t="s">
        <v>244</v>
      </c>
      <c r="F640" s="5" t="s">
        <v>3128</v>
      </c>
      <c r="G640" s="5"/>
      <c r="H640" s="5" t="s">
        <v>3226</v>
      </c>
      <c r="I640" s="5"/>
    </row>
    <row r="641" spans="1:9" x14ac:dyDescent="0.2">
      <c r="A641" s="5">
        <v>1</v>
      </c>
      <c r="B641" s="5" t="s">
        <v>3638</v>
      </c>
      <c r="C641" s="5" t="s">
        <v>2804</v>
      </c>
      <c r="D641" s="5" t="s">
        <v>2805</v>
      </c>
      <c r="E641" s="5" t="s">
        <v>244</v>
      </c>
      <c r="F641" s="5" t="s">
        <v>3128</v>
      </c>
      <c r="G641" s="5"/>
      <c r="H641" s="5" t="s">
        <v>3226</v>
      </c>
      <c r="I641" s="5"/>
    </row>
    <row r="642" spans="1:9" x14ac:dyDescent="0.2">
      <c r="A642" s="5">
        <v>1</v>
      </c>
      <c r="B642" s="5" t="s">
        <v>3638</v>
      </c>
      <c r="C642" s="5" t="s">
        <v>2367</v>
      </c>
      <c r="D642" s="5" t="s">
        <v>2368</v>
      </c>
      <c r="E642" s="5" t="s">
        <v>244</v>
      </c>
      <c r="F642" s="5" t="s">
        <v>3117</v>
      </c>
      <c r="G642" s="5"/>
      <c r="H642" s="5" t="s">
        <v>3230</v>
      </c>
      <c r="I642" s="5"/>
    </row>
    <row r="643" spans="1:9" x14ac:dyDescent="0.2">
      <c r="A643" s="5">
        <v>1</v>
      </c>
      <c r="B643" s="5" t="s">
        <v>3638</v>
      </c>
      <c r="C643" s="5" t="s">
        <v>2400</v>
      </c>
      <c r="D643" s="5" t="s">
        <v>2401</v>
      </c>
      <c r="E643" s="5" t="s">
        <v>244</v>
      </c>
      <c r="F643" s="5" t="s">
        <v>3117</v>
      </c>
      <c r="G643" s="5"/>
      <c r="H643" s="5" t="s">
        <v>3230</v>
      </c>
      <c r="I643" s="5"/>
    </row>
    <row r="644" spans="1:9" x14ac:dyDescent="0.2">
      <c r="A644" s="5">
        <v>1</v>
      </c>
      <c r="B644" s="5" t="s">
        <v>3638</v>
      </c>
      <c r="C644" s="5" t="s">
        <v>2539</v>
      </c>
      <c r="D644" s="5" t="s">
        <v>2540</v>
      </c>
      <c r="E644" s="5" t="s">
        <v>244</v>
      </c>
      <c r="F644" s="5" t="s">
        <v>3117</v>
      </c>
      <c r="G644" s="5"/>
      <c r="H644" s="5" t="s">
        <v>3230</v>
      </c>
      <c r="I644" s="5"/>
    </row>
    <row r="645" spans="1:9" x14ac:dyDescent="0.2">
      <c r="A645" s="5">
        <v>1</v>
      </c>
      <c r="B645" s="5" t="s">
        <v>3638</v>
      </c>
      <c r="C645" s="5" t="s">
        <v>2564</v>
      </c>
      <c r="D645" s="5" t="s">
        <v>2565</v>
      </c>
      <c r="E645" s="5" t="s">
        <v>244</v>
      </c>
      <c r="F645" s="5" t="s">
        <v>3117</v>
      </c>
      <c r="G645" s="5"/>
      <c r="H645" s="5" t="s">
        <v>3230</v>
      </c>
      <c r="I645" s="5"/>
    </row>
    <row r="646" spans="1:9" x14ac:dyDescent="0.2">
      <c r="A646" s="5">
        <v>1</v>
      </c>
      <c r="B646" s="5" t="s">
        <v>3638</v>
      </c>
      <c r="C646" s="5" t="s">
        <v>2804</v>
      </c>
      <c r="D646" s="5" t="s">
        <v>2805</v>
      </c>
      <c r="E646" s="5" t="s">
        <v>244</v>
      </c>
      <c r="F646" s="5" t="s">
        <v>3117</v>
      </c>
      <c r="G646" s="5"/>
      <c r="H646" s="5" t="s">
        <v>3230</v>
      </c>
      <c r="I646" s="5"/>
    </row>
    <row r="647" spans="1:9" x14ac:dyDescent="0.2">
      <c r="A647" s="5">
        <v>1</v>
      </c>
      <c r="B647" s="5" t="s">
        <v>3638</v>
      </c>
      <c r="C647" s="5" t="s">
        <v>2367</v>
      </c>
      <c r="D647" s="5" t="s">
        <v>2368</v>
      </c>
      <c r="E647" s="5" t="s">
        <v>244</v>
      </c>
      <c r="F647" s="5" t="s">
        <v>3116</v>
      </c>
      <c r="G647" s="5"/>
      <c r="H647" s="5" t="s">
        <v>3227</v>
      </c>
      <c r="I647" s="5"/>
    </row>
    <row r="648" spans="1:9" x14ac:dyDescent="0.2">
      <c r="A648" s="5">
        <v>1</v>
      </c>
      <c r="B648" s="5" t="s">
        <v>3638</v>
      </c>
      <c r="C648" s="5" t="s">
        <v>2400</v>
      </c>
      <c r="D648" s="5" t="s">
        <v>2401</v>
      </c>
      <c r="E648" s="5" t="s">
        <v>244</v>
      </c>
      <c r="F648" s="5" t="s">
        <v>3116</v>
      </c>
      <c r="G648" s="5"/>
      <c r="H648" s="5" t="s">
        <v>3227</v>
      </c>
      <c r="I648" s="5"/>
    </row>
    <row r="649" spans="1:9" x14ac:dyDescent="0.2">
      <c r="A649" s="5">
        <v>1</v>
      </c>
      <c r="B649" s="5" t="s">
        <v>3638</v>
      </c>
      <c r="C649" s="5" t="s">
        <v>2539</v>
      </c>
      <c r="D649" s="5" t="s">
        <v>2540</v>
      </c>
      <c r="E649" s="5" t="s">
        <v>244</v>
      </c>
      <c r="F649" s="5" t="s">
        <v>3116</v>
      </c>
      <c r="G649" s="5"/>
      <c r="H649" s="5" t="s">
        <v>3227</v>
      </c>
      <c r="I649" s="5"/>
    </row>
    <row r="650" spans="1:9" x14ac:dyDescent="0.2">
      <c r="A650" s="5">
        <v>1</v>
      </c>
      <c r="B650" s="5" t="s">
        <v>3638</v>
      </c>
      <c r="C650" s="5" t="s">
        <v>2564</v>
      </c>
      <c r="D650" s="5" t="s">
        <v>2565</v>
      </c>
      <c r="E650" s="5" t="s">
        <v>244</v>
      </c>
      <c r="F650" s="5" t="s">
        <v>3116</v>
      </c>
      <c r="G650" s="5"/>
      <c r="H650" s="5" t="s">
        <v>3227</v>
      </c>
      <c r="I650" s="5"/>
    </row>
    <row r="651" spans="1:9" x14ac:dyDescent="0.2">
      <c r="A651" s="5">
        <v>1</v>
      </c>
      <c r="B651" s="5" t="s">
        <v>3638</v>
      </c>
      <c r="C651" s="5" t="s">
        <v>2804</v>
      </c>
      <c r="D651" s="5" t="s">
        <v>2805</v>
      </c>
      <c r="E651" s="5" t="s">
        <v>244</v>
      </c>
      <c r="F651" s="5" t="s">
        <v>3116</v>
      </c>
      <c r="G651" s="5"/>
      <c r="H651" s="5" t="s">
        <v>3227</v>
      </c>
      <c r="I651" s="5"/>
    </row>
    <row r="652" spans="1:9" x14ac:dyDescent="0.2">
      <c r="A652" s="5">
        <v>1</v>
      </c>
      <c r="B652" s="5" t="s">
        <v>3638</v>
      </c>
      <c r="C652" s="5" t="s">
        <v>2265</v>
      </c>
      <c r="D652" s="5" t="s">
        <v>2266</v>
      </c>
      <c r="E652" s="5" t="s">
        <v>244</v>
      </c>
      <c r="F652" s="5" t="s">
        <v>3321</v>
      </c>
      <c r="G652" s="5"/>
      <c r="H652" s="5"/>
      <c r="I652" s="5"/>
    </row>
    <row r="653" spans="1:9" x14ac:dyDescent="0.2">
      <c r="A653" s="5">
        <v>1</v>
      </c>
      <c r="B653" s="5" t="s">
        <v>3638</v>
      </c>
      <c r="C653" s="5" t="s">
        <v>2539</v>
      </c>
      <c r="D653" s="5" t="s">
        <v>2540</v>
      </c>
      <c r="E653" s="5" t="s">
        <v>244</v>
      </c>
      <c r="F653" s="5" t="s">
        <v>3321</v>
      </c>
      <c r="G653" s="5"/>
      <c r="H653" s="5"/>
      <c r="I653" s="5"/>
    </row>
    <row r="654" spans="1:9" x14ac:dyDescent="0.2">
      <c r="A654" s="5">
        <v>1</v>
      </c>
      <c r="B654" s="5" t="s">
        <v>3638</v>
      </c>
      <c r="C654" s="5" t="s">
        <v>2564</v>
      </c>
      <c r="D654" s="5" t="s">
        <v>2565</v>
      </c>
      <c r="E654" s="5" t="s">
        <v>244</v>
      </c>
      <c r="F654" s="5" t="s">
        <v>3321</v>
      </c>
      <c r="G654" s="5"/>
      <c r="H654" s="5"/>
      <c r="I654" s="5"/>
    </row>
    <row r="655" spans="1:9" x14ac:dyDescent="0.2">
      <c r="A655" s="5">
        <v>1</v>
      </c>
      <c r="B655" s="5" t="s">
        <v>3638</v>
      </c>
      <c r="C655" s="5" t="s">
        <v>2804</v>
      </c>
      <c r="D655" s="5" t="s">
        <v>2805</v>
      </c>
      <c r="E655" s="5" t="s">
        <v>244</v>
      </c>
      <c r="F655" s="5" t="s">
        <v>3321</v>
      </c>
      <c r="G655" s="5"/>
      <c r="H655" s="5"/>
      <c r="I655" s="5"/>
    </row>
    <row r="656" spans="1:9" x14ac:dyDescent="0.2">
      <c r="A656" s="5">
        <v>1</v>
      </c>
      <c r="B656" s="5" t="s">
        <v>2417</v>
      </c>
      <c r="C656" s="5" t="s">
        <v>2706</v>
      </c>
      <c r="D656" s="5" t="s">
        <v>2707</v>
      </c>
      <c r="E656" s="5" t="s">
        <v>244</v>
      </c>
      <c r="F656" s="5" t="s">
        <v>3322</v>
      </c>
      <c r="G656" s="5"/>
      <c r="H656" s="5"/>
      <c r="I656" s="5"/>
    </row>
    <row r="657" spans="1:9" x14ac:dyDescent="0.2">
      <c r="A657" s="5">
        <v>1</v>
      </c>
      <c r="B657" s="5" t="s">
        <v>3638</v>
      </c>
      <c r="C657" s="5" t="s">
        <v>2539</v>
      </c>
      <c r="D657" s="5" t="s">
        <v>2540</v>
      </c>
      <c r="E657" s="5" t="s">
        <v>244</v>
      </c>
      <c r="F657" s="5" t="s">
        <v>3329</v>
      </c>
      <c r="G657" s="5"/>
      <c r="H657" s="5"/>
      <c r="I657" s="5"/>
    </row>
    <row r="658" spans="1:9" x14ac:dyDescent="0.2">
      <c r="A658" s="5">
        <v>1</v>
      </c>
      <c r="B658" s="5" t="s">
        <v>3638</v>
      </c>
      <c r="C658" s="5" t="s">
        <v>2564</v>
      </c>
      <c r="D658" s="5" t="s">
        <v>2565</v>
      </c>
      <c r="E658" s="5" t="s">
        <v>244</v>
      </c>
      <c r="F658" s="5" t="s">
        <v>3329</v>
      </c>
      <c r="G658" s="5"/>
      <c r="H658" s="5"/>
      <c r="I658" s="5"/>
    </row>
    <row r="659" spans="1:9" x14ac:dyDescent="0.2">
      <c r="A659" s="5">
        <v>1</v>
      </c>
      <c r="B659" s="5" t="s">
        <v>3638</v>
      </c>
      <c r="C659" s="5" t="s">
        <v>2577</v>
      </c>
      <c r="D659" s="5" t="s">
        <v>2578</v>
      </c>
      <c r="E659" s="5" t="s">
        <v>244</v>
      </c>
      <c r="F659" s="5" t="s">
        <v>3329</v>
      </c>
      <c r="G659" s="5"/>
      <c r="H659" s="5"/>
      <c r="I659" s="5"/>
    </row>
    <row r="660" spans="1:9" x14ac:dyDescent="0.2">
      <c r="A660" s="5">
        <v>1</v>
      </c>
      <c r="B660" s="5" t="s">
        <v>3638</v>
      </c>
      <c r="C660" s="5" t="s">
        <v>2539</v>
      </c>
      <c r="D660" s="5" t="s">
        <v>2540</v>
      </c>
      <c r="E660" s="5" t="s">
        <v>244</v>
      </c>
      <c r="F660" s="5" t="s">
        <v>3328</v>
      </c>
      <c r="G660" s="5"/>
      <c r="H660" s="5"/>
      <c r="I660" s="5"/>
    </row>
    <row r="661" spans="1:9" x14ac:dyDescent="0.2">
      <c r="A661" s="5">
        <v>1</v>
      </c>
      <c r="B661" s="5" t="s">
        <v>3638</v>
      </c>
      <c r="C661" s="5" t="s">
        <v>2564</v>
      </c>
      <c r="D661" s="5" t="s">
        <v>2565</v>
      </c>
      <c r="E661" s="5" t="s">
        <v>244</v>
      </c>
      <c r="F661" s="5" t="s">
        <v>3328</v>
      </c>
      <c r="G661" s="5"/>
      <c r="H661" s="5"/>
      <c r="I661" s="5"/>
    </row>
    <row r="662" spans="1:9" x14ac:dyDescent="0.2">
      <c r="A662" s="5">
        <v>1</v>
      </c>
      <c r="B662" s="5" t="s">
        <v>3638</v>
      </c>
      <c r="C662" s="5" t="s">
        <v>2265</v>
      </c>
      <c r="D662" s="5" t="s">
        <v>2266</v>
      </c>
      <c r="E662" s="5" t="s">
        <v>244</v>
      </c>
      <c r="F662" s="5" t="s">
        <v>3125</v>
      </c>
      <c r="G662" s="5"/>
      <c r="H662" s="5"/>
      <c r="I662" s="5"/>
    </row>
    <row r="663" spans="1:9" x14ac:dyDescent="0.2">
      <c r="A663" s="5">
        <v>1</v>
      </c>
      <c r="B663" s="5" t="s">
        <v>3638</v>
      </c>
      <c r="C663" s="5" t="s">
        <v>2539</v>
      </c>
      <c r="D663" s="5" t="s">
        <v>2540</v>
      </c>
      <c r="E663" s="5" t="s">
        <v>244</v>
      </c>
      <c r="F663" s="5" t="s">
        <v>3125</v>
      </c>
      <c r="G663" s="5"/>
      <c r="H663" s="5"/>
      <c r="I663" s="5"/>
    </row>
    <row r="664" spans="1:9" x14ac:dyDescent="0.2">
      <c r="A664" s="5">
        <v>1</v>
      </c>
      <c r="B664" s="5" t="s">
        <v>3638</v>
      </c>
      <c r="C664" s="5" t="s">
        <v>2564</v>
      </c>
      <c r="D664" s="5" t="s">
        <v>2565</v>
      </c>
      <c r="E664" s="5" t="s">
        <v>244</v>
      </c>
      <c r="F664" s="5" t="s">
        <v>3125</v>
      </c>
      <c r="G664" s="5"/>
      <c r="H664" s="5"/>
      <c r="I664" s="5"/>
    </row>
    <row r="665" spans="1:9" x14ac:dyDescent="0.2">
      <c r="A665" s="5">
        <v>1</v>
      </c>
      <c r="B665" s="5" t="s">
        <v>3638</v>
      </c>
      <c r="C665" s="5" t="s">
        <v>2804</v>
      </c>
      <c r="D665" s="5" t="s">
        <v>2805</v>
      </c>
      <c r="E665" s="5" t="s">
        <v>244</v>
      </c>
      <c r="F665" s="5" t="s">
        <v>3125</v>
      </c>
      <c r="G665" s="5"/>
      <c r="H665" s="5"/>
      <c r="I665" s="5"/>
    </row>
    <row r="666" spans="1:9" x14ac:dyDescent="0.2">
      <c r="A666" s="5">
        <v>1</v>
      </c>
      <c r="B666" s="5" t="s">
        <v>3638</v>
      </c>
      <c r="C666" s="5" t="s">
        <v>2265</v>
      </c>
      <c r="D666" s="5" t="s">
        <v>2266</v>
      </c>
      <c r="E666" s="5" t="s">
        <v>244</v>
      </c>
      <c r="F666" s="5" t="s">
        <v>3323</v>
      </c>
      <c r="G666" s="5"/>
      <c r="H666" s="5"/>
      <c r="I666" s="5"/>
    </row>
    <row r="667" spans="1:9" x14ac:dyDescent="0.2">
      <c r="A667" s="5">
        <v>1</v>
      </c>
      <c r="B667" s="5" t="s">
        <v>3638</v>
      </c>
      <c r="C667" s="5" t="s">
        <v>2400</v>
      </c>
      <c r="D667" s="5" t="s">
        <v>2401</v>
      </c>
      <c r="E667" s="5" t="s">
        <v>244</v>
      </c>
      <c r="F667" s="5" t="s">
        <v>3323</v>
      </c>
      <c r="G667" s="5"/>
      <c r="H667" s="5"/>
      <c r="I667" s="5"/>
    </row>
    <row r="668" spans="1:9" x14ac:dyDescent="0.2">
      <c r="A668" s="5">
        <v>1</v>
      </c>
      <c r="B668" s="5" t="s">
        <v>3638</v>
      </c>
      <c r="C668" s="5" t="s">
        <v>2539</v>
      </c>
      <c r="D668" s="5" t="s">
        <v>2540</v>
      </c>
      <c r="E668" s="5" t="s">
        <v>244</v>
      </c>
      <c r="F668" s="5" t="s">
        <v>3323</v>
      </c>
      <c r="G668" s="5"/>
      <c r="H668" s="5"/>
      <c r="I668" s="5"/>
    </row>
    <row r="669" spans="1:9" x14ac:dyDescent="0.2">
      <c r="A669" s="5">
        <v>1</v>
      </c>
      <c r="B669" s="5" t="s">
        <v>3638</v>
      </c>
      <c r="C669" s="5" t="s">
        <v>2564</v>
      </c>
      <c r="D669" s="5" t="s">
        <v>2565</v>
      </c>
      <c r="E669" s="5" t="s">
        <v>244</v>
      </c>
      <c r="F669" s="5" t="s">
        <v>3323</v>
      </c>
      <c r="G669" s="5"/>
      <c r="H669" s="5"/>
      <c r="I669" s="5"/>
    </row>
    <row r="670" spans="1:9" x14ac:dyDescent="0.2">
      <c r="A670" s="5">
        <v>1</v>
      </c>
      <c r="B670" s="5" t="s">
        <v>3638</v>
      </c>
      <c r="C670" s="5" t="s">
        <v>2577</v>
      </c>
      <c r="D670" s="5" t="s">
        <v>2578</v>
      </c>
      <c r="E670" s="5" t="s">
        <v>244</v>
      </c>
      <c r="F670" s="5" t="s">
        <v>3323</v>
      </c>
      <c r="G670" s="5"/>
      <c r="H670" s="5"/>
      <c r="I670" s="5"/>
    </row>
    <row r="671" spans="1:9" x14ac:dyDescent="0.2">
      <c r="A671" s="5">
        <v>1</v>
      </c>
      <c r="B671" s="5" t="s">
        <v>3638</v>
      </c>
      <c r="C671" s="5" t="s">
        <v>2804</v>
      </c>
      <c r="D671" s="5" t="s">
        <v>2805</v>
      </c>
      <c r="E671" s="5" t="s">
        <v>244</v>
      </c>
      <c r="F671" s="5" t="s">
        <v>3323</v>
      </c>
      <c r="G671" s="5"/>
      <c r="H671" s="5"/>
      <c r="I671" s="5"/>
    </row>
    <row r="672" spans="1:9" x14ac:dyDescent="0.2">
      <c r="A672" s="5">
        <v>1</v>
      </c>
      <c r="B672" s="5" t="s">
        <v>3638</v>
      </c>
      <c r="C672" s="5" t="s">
        <v>2564</v>
      </c>
      <c r="D672" s="5" t="s">
        <v>2565</v>
      </c>
      <c r="E672" s="5" t="s">
        <v>244</v>
      </c>
      <c r="F672" s="5" t="s">
        <v>3324</v>
      </c>
      <c r="G672" s="5"/>
      <c r="H672" s="5"/>
      <c r="I672" s="5"/>
    </row>
    <row r="673" spans="1:9" x14ac:dyDescent="0.2">
      <c r="A673" s="5">
        <v>1</v>
      </c>
      <c r="B673" s="5" t="s">
        <v>3638</v>
      </c>
      <c r="C673" s="5" t="s">
        <v>2577</v>
      </c>
      <c r="D673" s="5" t="s">
        <v>2578</v>
      </c>
      <c r="E673" s="5" t="s">
        <v>244</v>
      </c>
      <c r="F673" s="5" t="s">
        <v>3324</v>
      </c>
      <c r="G673" s="5"/>
      <c r="H673" s="5"/>
      <c r="I673" s="5"/>
    </row>
    <row r="674" spans="1:9" x14ac:dyDescent="0.2">
      <c r="A674" s="5">
        <v>1</v>
      </c>
      <c r="B674" s="5" t="s">
        <v>3638</v>
      </c>
      <c r="C674" s="5" t="s">
        <v>2804</v>
      </c>
      <c r="D674" s="5" t="s">
        <v>2805</v>
      </c>
      <c r="E674" s="5" t="s">
        <v>244</v>
      </c>
      <c r="F674" s="5" t="s">
        <v>3324</v>
      </c>
      <c r="G674" s="5"/>
      <c r="H674" s="5"/>
      <c r="I674" s="5"/>
    </row>
    <row r="675" spans="1:9" x14ac:dyDescent="0.2">
      <c r="A675" s="5">
        <v>1</v>
      </c>
      <c r="B675" s="5" t="s">
        <v>3638</v>
      </c>
      <c r="C675" s="5" t="s">
        <v>2539</v>
      </c>
      <c r="D675" s="5" t="s">
        <v>2540</v>
      </c>
      <c r="E675" s="5" t="s">
        <v>244</v>
      </c>
      <c r="F675" s="5" t="s">
        <v>3326</v>
      </c>
      <c r="G675" s="5"/>
      <c r="H675" s="5"/>
      <c r="I675" s="5"/>
    </row>
    <row r="676" spans="1:9" x14ac:dyDescent="0.2">
      <c r="A676" s="5">
        <v>1</v>
      </c>
      <c r="B676" s="5" t="s">
        <v>3638</v>
      </c>
      <c r="C676" s="5" t="s">
        <v>2564</v>
      </c>
      <c r="D676" s="5" t="s">
        <v>2565</v>
      </c>
      <c r="E676" s="5" t="s">
        <v>244</v>
      </c>
      <c r="F676" s="5" t="s">
        <v>3326</v>
      </c>
      <c r="G676" s="5"/>
      <c r="H676" s="5"/>
      <c r="I676" s="5"/>
    </row>
    <row r="677" spans="1:9" x14ac:dyDescent="0.2">
      <c r="A677" s="5">
        <v>1</v>
      </c>
      <c r="B677" s="5" t="s">
        <v>3638</v>
      </c>
      <c r="C677" s="5" t="s">
        <v>2804</v>
      </c>
      <c r="D677" s="5" t="s">
        <v>2805</v>
      </c>
      <c r="E677" s="5" t="s">
        <v>244</v>
      </c>
      <c r="F677" s="5" t="s">
        <v>3326</v>
      </c>
      <c r="G677" s="5"/>
      <c r="H677" s="5"/>
      <c r="I677" s="5"/>
    </row>
    <row r="678" spans="1:9" x14ac:dyDescent="0.2">
      <c r="A678" s="5">
        <v>1</v>
      </c>
      <c r="B678" s="5" t="s">
        <v>3638</v>
      </c>
      <c r="C678" s="5" t="s">
        <v>2539</v>
      </c>
      <c r="D678" s="5" t="s">
        <v>2540</v>
      </c>
      <c r="E678" s="5" t="s">
        <v>244</v>
      </c>
      <c r="F678" s="5" t="s">
        <v>3325</v>
      </c>
      <c r="G678" s="5"/>
      <c r="H678" s="5"/>
      <c r="I678" s="5"/>
    </row>
    <row r="679" spans="1:9" x14ac:dyDescent="0.2">
      <c r="A679" s="5">
        <v>1</v>
      </c>
      <c r="B679" s="5" t="s">
        <v>3638</v>
      </c>
      <c r="C679" s="5" t="s">
        <v>2564</v>
      </c>
      <c r="D679" s="5" t="s">
        <v>2565</v>
      </c>
      <c r="E679" s="5" t="s">
        <v>244</v>
      </c>
      <c r="F679" s="5" t="s">
        <v>3325</v>
      </c>
      <c r="G679" s="5"/>
      <c r="H679" s="5"/>
      <c r="I679" s="5"/>
    </row>
    <row r="680" spans="1:9" x14ac:dyDescent="0.2">
      <c r="A680" s="5">
        <v>1</v>
      </c>
      <c r="B680" s="5" t="s">
        <v>3638</v>
      </c>
      <c r="C680" s="5" t="s">
        <v>2577</v>
      </c>
      <c r="D680" s="5" t="s">
        <v>2578</v>
      </c>
      <c r="E680" s="5" t="s">
        <v>244</v>
      </c>
      <c r="F680" s="5" t="s">
        <v>3325</v>
      </c>
      <c r="G680" s="5"/>
      <c r="H680" s="5"/>
      <c r="I680" s="5"/>
    </row>
    <row r="681" spans="1:9" x14ac:dyDescent="0.2">
      <c r="A681" s="5">
        <v>1</v>
      </c>
      <c r="B681" s="5" t="s">
        <v>3638</v>
      </c>
      <c r="C681" s="5" t="s">
        <v>2706</v>
      </c>
      <c r="D681" s="5" t="s">
        <v>2707</v>
      </c>
      <c r="E681" s="5" t="s">
        <v>244</v>
      </c>
      <c r="F681" s="5" t="s">
        <v>3325</v>
      </c>
      <c r="G681" s="5"/>
      <c r="H681" s="5"/>
      <c r="I681" s="5"/>
    </row>
    <row r="682" spans="1:9" x14ac:dyDescent="0.2">
      <c r="A682" s="5">
        <v>1</v>
      </c>
      <c r="B682" s="5" t="s">
        <v>3638</v>
      </c>
      <c r="C682" s="5" t="s">
        <v>2804</v>
      </c>
      <c r="D682" s="5" t="s">
        <v>2805</v>
      </c>
      <c r="E682" s="5" t="s">
        <v>244</v>
      </c>
      <c r="F682" s="5" t="s">
        <v>3325</v>
      </c>
      <c r="G682" s="5"/>
      <c r="H682" s="5"/>
      <c r="I682" s="5"/>
    </row>
    <row r="683" spans="1:9" x14ac:dyDescent="0.2">
      <c r="A683" s="5">
        <v>1</v>
      </c>
      <c r="B683" s="5" t="s">
        <v>3638</v>
      </c>
      <c r="C683" s="5" t="s">
        <v>2564</v>
      </c>
      <c r="D683" s="5" t="s">
        <v>2565</v>
      </c>
      <c r="E683" s="5" t="s">
        <v>244</v>
      </c>
      <c r="F683" s="5" t="s">
        <v>3400</v>
      </c>
      <c r="G683" s="5"/>
      <c r="H683" s="5"/>
      <c r="I683" s="5"/>
    </row>
    <row r="684" spans="1:9" x14ac:dyDescent="0.2">
      <c r="A684" s="5">
        <v>1</v>
      </c>
      <c r="B684" s="5" t="s">
        <v>3638</v>
      </c>
      <c r="C684" s="5" t="s">
        <v>2804</v>
      </c>
      <c r="D684" s="5" t="s">
        <v>2805</v>
      </c>
      <c r="E684" s="5" t="s">
        <v>244</v>
      </c>
      <c r="F684" s="5" t="s">
        <v>3400</v>
      </c>
      <c r="G684" s="5"/>
      <c r="H684" s="5"/>
      <c r="I684" s="5"/>
    </row>
    <row r="685" spans="1:9" x14ac:dyDescent="0.2">
      <c r="A685" s="5">
        <v>1</v>
      </c>
      <c r="B685" s="5" t="s">
        <v>3638</v>
      </c>
      <c r="C685" s="5" t="s">
        <v>2539</v>
      </c>
      <c r="D685" s="5" t="s">
        <v>2540</v>
      </c>
      <c r="E685" s="5" t="s">
        <v>244</v>
      </c>
      <c r="F685" s="5" t="s">
        <v>3352</v>
      </c>
      <c r="G685" s="5"/>
      <c r="H685" s="5"/>
      <c r="I685" s="5"/>
    </row>
    <row r="686" spans="1:9" x14ac:dyDescent="0.2">
      <c r="A686" s="5">
        <v>1</v>
      </c>
      <c r="B686" s="5" t="s">
        <v>3638</v>
      </c>
      <c r="C686" s="5" t="s">
        <v>2564</v>
      </c>
      <c r="D686" s="5" t="s">
        <v>2565</v>
      </c>
      <c r="E686" s="5" t="s">
        <v>244</v>
      </c>
      <c r="F686" s="5" t="s">
        <v>3352</v>
      </c>
      <c r="G686" s="5"/>
      <c r="H686" s="5"/>
      <c r="I686" s="5"/>
    </row>
    <row r="687" spans="1:9" x14ac:dyDescent="0.2">
      <c r="A687" s="5">
        <v>1</v>
      </c>
      <c r="B687" s="5" t="s">
        <v>3638</v>
      </c>
      <c r="C687" s="5" t="s">
        <v>2804</v>
      </c>
      <c r="D687" s="5" t="s">
        <v>2805</v>
      </c>
      <c r="E687" s="5" t="s">
        <v>244</v>
      </c>
      <c r="F687" s="5" t="s">
        <v>3352</v>
      </c>
      <c r="G687" s="5"/>
      <c r="H687" s="5"/>
      <c r="I687" s="5"/>
    </row>
    <row r="688" spans="1:9" x14ac:dyDescent="0.2">
      <c r="A688" s="5">
        <v>1</v>
      </c>
      <c r="B688" s="5" t="s">
        <v>3638</v>
      </c>
      <c r="C688" s="5" t="s">
        <v>2400</v>
      </c>
      <c r="D688" s="5" t="s">
        <v>2401</v>
      </c>
      <c r="E688" s="5" t="s">
        <v>244</v>
      </c>
      <c r="F688" s="5" t="s">
        <v>3587</v>
      </c>
      <c r="G688" s="5" t="s">
        <v>3377</v>
      </c>
      <c r="H688" s="5"/>
      <c r="I688" s="5"/>
    </row>
    <row r="689" spans="1:9" x14ac:dyDescent="0.2">
      <c r="A689" s="5">
        <v>1</v>
      </c>
      <c r="B689" s="5" t="s">
        <v>3638</v>
      </c>
      <c r="C689" s="5" t="s">
        <v>2367</v>
      </c>
      <c r="D689" s="5" t="s">
        <v>2368</v>
      </c>
      <c r="E689" s="5" t="s">
        <v>244</v>
      </c>
      <c r="F689" s="5" t="s">
        <v>3570</v>
      </c>
      <c r="G689" s="5" t="s">
        <v>3366</v>
      </c>
      <c r="H689" s="5"/>
      <c r="I689" s="5"/>
    </row>
    <row r="690" spans="1:9" x14ac:dyDescent="0.2">
      <c r="A690" s="5">
        <v>1</v>
      </c>
      <c r="B690" s="5" t="s">
        <v>3638</v>
      </c>
      <c r="C690" s="5" t="s">
        <v>2400</v>
      </c>
      <c r="D690" s="5" t="s">
        <v>2401</v>
      </c>
      <c r="E690" s="5" t="s">
        <v>244</v>
      </c>
      <c r="F690" s="5" t="s">
        <v>3570</v>
      </c>
      <c r="G690" s="5" t="s">
        <v>3377</v>
      </c>
      <c r="H690" s="5"/>
      <c r="I690" s="5"/>
    </row>
    <row r="691" spans="1:9" x14ac:dyDescent="0.2">
      <c r="A691" s="5">
        <v>1</v>
      </c>
      <c r="B691" s="5" t="s">
        <v>3638</v>
      </c>
      <c r="C691" s="5" t="s">
        <v>2706</v>
      </c>
      <c r="D691" s="5" t="s">
        <v>2707</v>
      </c>
      <c r="E691" s="5" t="s">
        <v>244</v>
      </c>
      <c r="F691" s="5" t="s">
        <v>3570</v>
      </c>
      <c r="G691" s="5" t="s">
        <v>3420</v>
      </c>
      <c r="H691" s="5"/>
      <c r="I691" s="5"/>
    </row>
    <row r="692" spans="1:9" x14ac:dyDescent="0.2">
      <c r="A692" s="5">
        <v>1</v>
      </c>
      <c r="B692" s="5" t="s">
        <v>3638</v>
      </c>
      <c r="C692" s="5" t="s">
        <v>2706</v>
      </c>
      <c r="D692" s="5" t="s">
        <v>2707</v>
      </c>
      <c r="E692" s="5" t="s">
        <v>244</v>
      </c>
      <c r="F692" s="5" t="s">
        <v>3570</v>
      </c>
      <c r="G692" s="5" t="s">
        <v>3599</v>
      </c>
      <c r="H692" s="5"/>
      <c r="I692" s="5"/>
    </row>
    <row r="693" spans="1:9" x14ac:dyDescent="0.2">
      <c r="A693" s="5">
        <v>1</v>
      </c>
      <c r="B693" s="5" t="s">
        <v>3638</v>
      </c>
      <c r="C693" s="5" t="s">
        <v>2706</v>
      </c>
      <c r="D693" s="5" t="s">
        <v>2707</v>
      </c>
      <c r="E693" s="5" t="s">
        <v>244</v>
      </c>
      <c r="F693" s="5" t="s">
        <v>3570</v>
      </c>
      <c r="G693" s="5" t="s">
        <v>3600</v>
      </c>
      <c r="H693" s="5"/>
      <c r="I693" s="5"/>
    </row>
    <row r="694" spans="1:9" x14ac:dyDescent="0.2">
      <c r="A694" s="5">
        <v>1</v>
      </c>
      <c r="B694" s="5" t="s">
        <v>3638</v>
      </c>
      <c r="C694" s="5" t="s">
        <v>2706</v>
      </c>
      <c r="D694" s="5" t="s">
        <v>2707</v>
      </c>
      <c r="E694" s="5" t="s">
        <v>244</v>
      </c>
      <c r="F694" s="5" t="s">
        <v>3570</v>
      </c>
      <c r="G694" s="5" t="s">
        <v>3601</v>
      </c>
      <c r="H694" s="5"/>
      <c r="I694" s="5"/>
    </row>
    <row r="695" spans="1:9" x14ac:dyDescent="0.2">
      <c r="A695" s="5">
        <v>1</v>
      </c>
      <c r="B695" s="5" t="s">
        <v>3638</v>
      </c>
      <c r="C695" s="5" t="s">
        <v>2706</v>
      </c>
      <c r="D695" s="5" t="s">
        <v>2707</v>
      </c>
      <c r="E695" s="5" t="s">
        <v>244</v>
      </c>
      <c r="F695" s="5" t="s">
        <v>3570</v>
      </c>
      <c r="G695" s="5" t="s">
        <v>3602</v>
      </c>
      <c r="H695" s="5"/>
      <c r="I695" s="5"/>
    </row>
    <row r="696" spans="1:9" x14ac:dyDescent="0.2">
      <c r="A696" s="5">
        <v>1</v>
      </c>
      <c r="B696" s="5" t="s">
        <v>3638</v>
      </c>
      <c r="C696" s="5" t="s">
        <v>2706</v>
      </c>
      <c r="D696" s="5" t="s">
        <v>2707</v>
      </c>
      <c r="E696" s="5" t="s">
        <v>244</v>
      </c>
      <c r="F696" s="5" t="s">
        <v>3570</v>
      </c>
      <c r="G696" s="5" t="s">
        <v>3603</v>
      </c>
      <c r="H696" s="5"/>
      <c r="I696" s="5"/>
    </row>
    <row r="697" spans="1:9" x14ac:dyDescent="0.2">
      <c r="A697" s="5">
        <v>1</v>
      </c>
      <c r="B697" s="5" t="s">
        <v>3638</v>
      </c>
      <c r="C697" s="5" t="s">
        <v>2265</v>
      </c>
      <c r="D697" s="5" t="s">
        <v>2266</v>
      </c>
      <c r="E697" s="5" t="s">
        <v>244</v>
      </c>
      <c r="F697" s="5" t="s">
        <v>2901</v>
      </c>
      <c r="G697" s="5"/>
      <c r="H697" s="5"/>
      <c r="I697" s="5"/>
    </row>
    <row r="698" spans="1:9" x14ac:dyDescent="0.2">
      <c r="A698" s="5">
        <v>1</v>
      </c>
      <c r="B698" s="5" t="s">
        <v>3638</v>
      </c>
      <c r="C698" s="5" t="s">
        <v>2564</v>
      </c>
      <c r="D698" s="5" t="s">
        <v>2565</v>
      </c>
      <c r="E698" s="5" t="s">
        <v>244</v>
      </c>
      <c r="F698" s="5" t="s">
        <v>2901</v>
      </c>
      <c r="G698" s="5"/>
      <c r="H698" s="5"/>
      <c r="I698" s="5"/>
    </row>
    <row r="699" spans="1:9" x14ac:dyDescent="0.2">
      <c r="A699" s="5">
        <v>1</v>
      </c>
      <c r="B699" s="5" t="s">
        <v>3638</v>
      </c>
      <c r="C699" s="5" t="s">
        <v>2577</v>
      </c>
      <c r="D699" s="5" t="s">
        <v>2578</v>
      </c>
      <c r="E699" s="5" t="s">
        <v>244</v>
      </c>
      <c r="F699" s="5" t="s">
        <v>2901</v>
      </c>
      <c r="G699" s="5"/>
      <c r="H699" s="5"/>
      <c r="I699" s="5"/>
    </row>
    <row r="700" spans="1:9" x14ac:dyDescent="0.2">
      <c r="A700" s="5">
        <v>1</v>
      </c>
      <c r="B700" s="5" t="s">
        <v>3638</v>
      </c>
      <c r="C700" s="5" t="s">
        <v>2706</v>
      </c>
      <c r="D700" s="5" t="s">
        <v>2707</v>
      </c>
      <c r="E700" s="5" t="s">
        <v>244</v>
      </c>
      <c r="F700" s="5" t="s">
        <v>2901</v>
      </c>
      <c r="G700" s="5"/>
      <c r="H700" s="5"/>
      <c r="I700" s="5"/>
    </row>
    <row r="701" spans="1:9" x14ac:dyDescent="0.2">
      <c r="A701" s="5">
        <v>1</v>
      </c>
      <c r="B701" s="5" t="s">
        <v>3638</v>
      </c>
      <c r="C701" s="5" t="s">
        <v>2367</v>
      </c>
      <c r="D701" s="5" t="s">
        <v>2368</v>
      </c>
      <c r="E701" s="5" t="s">
        <v>244</v>
      </c>
      <c r="F701" s="5" t="s">
        <v>2984</v>
      </c>
      <c r="G701" s="5" t="s">
        <v>3366</v>
      </c>
      <c r="H701" s="5"/>
      <c r="I701" s="5"/>
    </row>
    <row r="702" spans="1:9" x14ac:dyDescent="0.2">
      <c r="A702" s="5">
        <v>1</v>
      </c>
      <c r="B702" s="5" t="s">
        <v>3638</v>
      </c>
      <c r="C702" s="5" t="s">
        <v>2400</v>
      </c>
      <c r="D702" s="5" t="s">
        <v>2401</v>
      </c>
      <c r="E702" s="5" t="s">
        <v>244</v>
      </c>
      <c r="F702" s="5" t="s">
        <v>2984</v>
      </c>
      <c r="G702" s="5" t="s">
        <v>3376</v>
      </c>
      <c r="H702" s="5"/>
      <c r="I702" s="5"/>
    </row>
    <row r="703" spans="1:9" x14ac:dyDescent="0.2">
      <c r="A703" s="5">
        <v>1</v>
      </c>
      <c r="B703" s="5" t="s">
        <v>3638</v>
      </c>
      <c r="C703" s="5" t="s">
        <v>2400</v>
      </c>
      <c r="D703" s="5" t="s">
        <v>2401</v>
      </c>
      <c r="E703" s="5" t="s">
        <v>244</v>
      </c>
      <c r="F703" s="5" t="s">
        <v>2984</v>
      </c>
      <c r="G703" s="5" t="s">
        <v>3377</v>
      </c>
      <c r="H703" s="5"/>
      <c r="I703" s="5"/>
    </row>
    <row r="704" spans="1:9" x14ac:dyDescent="0.2">
      <c r="A704" s="5">
        <v>1</v>
      </c>
      <c r="B704" s="5" t="s">
        <v>3638</v>
      </c>
      <c r="C704" s="5" t="s">
        <v>2564</v>
      </c>
      <c r="D704" s="5" t="s">
        <v>2565</v>
      </c>
      <c r="E704" s="5" t="s">
        <v>244</v>
      </c>
      <c r="F704" s="5" t="s">
        <v>2984</v>
      </c>
      <c r="G704" s="5" t="s">
        <v>3393</v>
      </c>
      <c r="H704" s="5"/>
      <c r="I704" s="5"/>
    </row>
    <row r="705" spans="1:9" x14ac:dyDescent="0.2">
      <c r="A705" s="5">
        <v>1</v>
      </c>
      <c r="B705" s="5" t="s">
        <v>3638</v>
      </c>
      <c r="C705" s="5" t="s">
        <v>2564</v>
      </c>
      <c r="D705" s="5" t="s">
        <v>2565</v>
      </c>
      <c r="E705" s="5" t="s">
        <v>244</v>
      </c>
      <c r="F705" s="5" t="s">
        <v>2984</v>
      </c>
      <c r="G705" s="5" t="s">
        <v>3394</v>
      </c>
      <c r="H705" s="5"/>
      <c r="I705" s="5"/>
    </row>
    <row r="706" spans="1:9" x14ac:dyDescent="0.2">
      <c r="A706" s="5">
        <v>1</v>
      </c>
      <c r="B706" s="5" t="s">
        <v>3638</v>
      </c>
      <c r="C706" s="5" t="s">
        <v>2564</v>
      </c>
      <c r="D706" s="5" t="s">
        <v>2565</v>
      </c>
      <c r="E706" s="5" t="s">
        <v>244</v>
      </c>
      <c r="F706" s="5" t="s">
        <v>2984</v>
      </c>
      <c r="G706" s="5" t="s">
        <v>3395</v>
      </c>
      <c r="H706" s="5"/>
      <c r="I706" s="5"/>
    </row>
    <row r="707" spans="1:9" x14ac:dyDescent="0.2">
      <c r="A707" s="5">
        <v>1</v>
      </c>
      <c r="B707" s="5" t="s">
        <v>3638</v>
      </c>
      <c r="C707" s="5" t="s">
        <v>2564</v>
      </c>
      <c r="D707" s="5" t="s">
        <v>2565</v>
      </c>
      <c r="E707" s="5" t="s">
        <v>244</v>
      </c>
      <c r="F707" s="5" t="s">
        <v>2984</v>
      </c>
      <c r="G707" s="5" t="s">
        <v>3396</v>
      </c>
      <c r="H707" s="5"/>
      <c r="I707" s="5"/>
    </row>
    <row r="708" spans="1:9" x14ac:dyDescent="0.2">
      <c r="A708" s="5">
        <v>1</v>
      </c>
      <c r="B708" s="5" t="s">
        <v>3638</v>
      </c>
      <c r="C708" s="5" t="s">
        <v>2564</v>
      </c>
      <c r="D708" s="5" t="s">
        <v>2565</v>
      </c>
      <c r="E708" s="5" t="s">
        <v>244</v>
      </c>
      <c r="F708" s="5" t="s">
        <v>2984</v>
      </c>
      <c r="G708" s="5" t="s">
        <v>3397</v>
      </c>
      <c r="H708" s="5"/>
      <c r="I708" s="5"/>
    </row>
    <row r="709" spans="1:9" x14ac:dyDescent="0.2">
      <c r="A709" s="5">
        <v>1</v>
      </c>
      <c r="B709" s="5" t="s">
        <v>3638</v>
      </c>
      <c r="C709" s="5" t="s">
        <v>2804</v>
      </c>
      <c r="D709" s="5" t="s">
        <v>2805</v>
      </c>
      <c r="E709" s="5" t="s">
        <v>244</v>
      </c>
      <c r="F709" s="5" t="s">
        <v>2984</v>
      </c>
      <c r="G709" s="5" t="s">
        <v>3435</v>
      </c>
      <c r="H709" s="5"/>
      <c r="I709" s="5"/>
    </row>
    <row r="710" spans="1:9" x14ac:dyDescent="0.2">
      <c r="A710" s="5">
        <v>1</v>
      </c>
      <c r="B710" s="5" t="s">
        <v>3638</v>
      </c>
      <c r="C710" s="5" t="s">
        <v>2804</v>
      </c>
      <c r="D710" s="5" t="s">
        <v>2805</v>
      </c>
      <c r="E710" s="5" t="s">
        <v>244</v>
      </c>
      <c r="F710" s="5" t="s">
        <v>2984</v>
      </c>
      <c r="G710" s="5" t="s">
        <v>3436</v>
      </c>
      <c r="H710" s="5"/>
      <c r="I710" s="5"/>
    </row>
    <row r="711" spans="1:9" x14ac:dyDescent="0.2">
      <c r="A711" s="5">
        <v>1</v>
      </c>
      <c r="B711" s="5" t="s">
        <v>3638</v>
      </c>
      <c r="C711" s="5" t="s">
        <v>2804</v>
      </c>
      <c r="D711" s="5" t="s">
        <v>2805</v>
      </c>
      <c r="E711" s="5" t="s">
        <v>244</v>
      </c>
      <c r="F711" s="5" t="s">
        <v>2984</v>
      </c>
      <c r="G711" s="5" t="s">
        <v>3437</v>
      </c>
      <c r="H711" s="5"/>
      <c r="I711" s="5"/>
    </row>
    <row r="712" spans="1:9" x14ac:dyDescent="0.2">
      <c r="A712" s="5">
        <v>1</v>
      </c>
      <c r="B712" s="5" t="s">
        <v>3638</v>
      </c>
      <c r="C712" s="5" t="s">
        <v>2804</v>
      </c>
      <c r="D712" s="5" t="s">
        <v>2805</v>
      </c>
      <c r="E712" s="5" t="s">
        <v>244</v>
      </c>
      <c r="F712" s="5" t="s">
        <v>2984</v>
      </c>
      <c r="G712" s="5" t="s">
        <v>3438</v>
      </c>
      <c r="H712" s="5"/>
      <c r="I712" s="5"/>
    </row>
    <row r="713" spans="1:9" x14ac:dyDescent="0.2">
      <c r="A713" s="5">
        <v>1</v>
      </c>
      <c r="B713" s="5" t="s">
        <v>3638</v>
      </c>
      <c r="C713" s="5" t="s">
        <v>2804</v>
      </c>
      <c r="D713" s="5" t="s">
        <v>2805</v>
      </c>
      <c r="E713" s="5" t="s">
        <v>244</v>
      </c>
      <c r="F713" s="5" t="s">
        <v>2984</v>
      </c>
      <c r="G713" s="5" t="s">
        <v>3439</v>
      </c>
      <c r="H713" s="5"/>
      <c r="I713" s="5"/>
    </row>
    <row r="714" spans="1:9" x14ac:dyDescent="0.2">
      <c r="A714" s="5">
        <v>1</v>
      </c>
      <c r="B714" s="5" t="s">
        <v>3638</v>
      </c>
      <c r="C714" s="5" t="s">
        <v>2804</v>
      </c>
      <c r="D714" s="5" t="s">
        <v>2805</v>
      </c>
      <c r="E714" s="5" t="s">
        <v>244</v>
      </c>
      <c r="F714" s="5" t="s">
        <v>2984</v>
      </c>
      <c r="G714" s="5" t="s">
        <v>3440</v>
      </c>
      <c r="H714" s="5"/>
      <c r="I714" s="5"/>
    </row>
    <row r="715" spans="1:9" x14ac:dyDescent="0.2">
      <c r="A715" s="5">
        <v>1</v>
      </c>
      <c r="B715" s="5" t="s">
        <v>3638</v>
      </c>
      <c r="C715" s="5" t="s">
        <v>2804</v>
      </c>
      <c r="D715" s="5" t="s">
        <v>2805</v>
      </c>
      <c r="E715" s="5" t="s">
        <v>244</v>
      </c>
      <c r="F715" s="5" t="s">
        <v>2984</v>
      </c>
      <c r="G715" s="5" t="s">
        <v>3441</v>
      </c>
      <c r="H715" s="5"/>
      <c r="I715" s="5"/>
    </row>
    <row r="716" spans="1:9" x14ac:dyDescent="0.2">
      <c r="A716" s="5">
        <v>1</v>
      </c>
      <c r="B716" s="5" t="s">
        <v>3638</v>
      </c>
      <c r="C716" s="5" t="s">
        <v>2804</v>
      </c>
      <c r="D716" s="5" t="s">
        <v>2805</v>
      </c>
      <c r="E716" s="5" t="s">
        <v>244</v>
      </c>
      <c r="F716" s="5" t="s">
        <v>2984</v>
      </c>
      <c r="G716" s="5" t="s">
        <v>3442</v>
      </c>
      <c r="H716" s="5"/>
      <c r="I716" s="5"/>
    </row>
    <row r="717" spans="1:9" x14ac:dyDescent="0.2">
      <c r="A717" s="5">
        <v>1</v>
      </c>
      <c r="B717" s="5" t="s">
        <v>3638</v>
      </c>
      <c r="C717" s="5" t="s">
        <v>2706</v>
      </c>
      <c r="D717" s="5" t="s">
        <v>2707</v>
      </c>
      <c r="E717" s="5" t="s">
        <v>244</v>
      </c>
      <c r="F717" s="5" t="s">
        <v>3194</v>
      </c>
      <c r="G717" s="5" t="s">
        <v>3420</v>
      </c>
      <c r="H717" s="5"/>
      <c r="I717" s="5"/>
    </row>
    <row r="718" spans="1:9" x14ac:dyDescent="0.2">
      <c r="A718" s="5">
        <v>1</v>
      </c>
      <c r="B718" s="5" t="s">
        <v>3638</v>
      </c>
      <c r="C718" s="5" t="s">
        <v>2265</v>
      </c>
      <c r="D718" s="5" t="s">
        <v>2266</v>
      </c>
      <c r="E718" s="5" t="s">
        <v>244</v>
      </c>
      <c r="F718" s="5" t="s">
        <v>3123</v>
      </c>
      <c r="G718" s="5" t="s">
        <v>3355</v>
      </c>
      <c r="H718" s="5"/>
      <c r="I718" s="5"/>
    </row>
    <row r="719" spans="1:9" x14ac:dyDescent="0.2">
      <c r="A719" s="5">
        <v>1</v>
      </c>
      <c r="B719" s="5" t="s">
        <v>3638</v>
      </c>
      <c r="C719" s="5" t="s">
        <v>3046</v>
      </c>
      <c r="D719" s="5" t="s">
        <v>3047</v>
      </c>
      <c r="E719" s="5" t="s">
        <v>244</v>
      </c>
      <c r="F719" s="5" t="s">
        <v>3123</v>
      </c>
      <c r="G719" s="5" t="s">
        <v>3449</v>
      </c>
      <c r="H719" s="5"/>
      <c r="I719" s="5"/>
    </row>
    <row r="720" spans="1:9" x14ac:dyDescent="0.2">
      <c r="A720" s="5">
        <v>1</v>
      </c>
      <c r="B720" s="5" t="s">
        <v>3638</v>
      </c>
      <c r="C720" s="5" t="s">
        <v>2804</v>
      </c>
      <c r="D720" s="5" t="s">
        <v>2805</v>
      </c>
      <c r="E720" s="5" t="s">
        <v>244</v>
      </c>
      <c r="F720" s="5" t="s">
        <v>3290</v>
      </c>
      <c r="G720" s="5" t="s">
        <v>3444</v>
      </c>
      <c r="H720" s="5" t="s">
        <v>2950</v>
      </c>
      <c r="I720" s="5"/>
    </row>
    <row r="721" spans="1:9" x14ac:dyDescent="0.2">
      <c r="A721" s="5">
        <v>1</v>
      </c>
      <c r="B721" s="5" t="s">
        <v>3638</v>
      </c>
      <c r="C721" s="5" t="s">
        <v>2400</v>
      </c>
      <c r="D721" s="5" t="s">
        <v>2401</v>
      </c>
      <c r="E721" s="5" t="s">
        <v>244</v>
      </c>
      <c r="F721" s="5" t="s">
        <v>3110</v>
      </c>
      <c r="G721" s="5" t="s">
        <v>3378</v>
      </c>
      <c r="H721" s="5" t="s">
        <v>3343</v>
      </c>
      <c r="I721" s="5"/>
    </row>
    <row r="722" spans="1:9" x14ac:dyDescent="0.2">
      <c r="A722" s="5">
        <v>1</v>
      </c>
      <c r="B722" s="5" t="s">
        <v>3638</v>
      </c>
      <c r="C722" s="5" t="s">
        <v>2804</v>
      </c>
      <c r="D722" s="5" t="s">
        <v>2805</v>
      </c>
      <c r="E722" s="5" t="s">
        <v>244</v>
      </c>
      <c r="F722" s="5" t="s">
        <v>3110</v>
      </c>
      <c r="G722" s="5" t="s">
        <v>3444</v>
      </c>
      <c r="H722" s="5" t="s">
        <v>3443</v>
      </c>
      <c r="I722" s="5"/>
    </row>
    <row r="723" spans="1:9" x14ac:dyDescent="0.2">
      <c r="A723" s="5">
        <v>1</v>
      </c>
      <c r="B723" s="5" t="s">
        <v>3638</v>
      </c>
      <c r="C723" s="5" t="s">
        <v>2400</v>
      </c>
      <c r="D723" s="5" t="s">
        <v>2401</v>
      </c>
      <c r="E723" s="5" t="s">
        <v>244</v>
      </c>
      <c r="F723" s="5" t="s">
        <v>3112</v>
      </c>
      <c r="G723" s="5" t="s">
        <v>3378</v>
      </c>
      <c r="H723" s="5" t="s">
        <v>3344</v>
      </c>
      <c r="I723" s="5"/>
    </row>
    <row r="724" spans="1:9" x14ac:dyDescent="0.2">
      <c r="A724" s="5">
        <v>1</v>
      </c>
      <c r="B724" s="5" t="s">
        <v>3638</v>
      </c>
      <c r="C724" s="5" t="s">
        <v>2804</v>
      </c>
      <c r="D724" s="5" t="s">
        <v>2805</v>
      </c>
      <c r="E724" s="5" t="s">
        <v>244</v>
      </c>
      <c r="F724" s="5" t="s">
        <v>3112</v>
      </c>
      <c r="G724" s="5" t="s">
        <v>3444</v>
      </c>
      <c r="H724" s="5" t="s">
        <v>3342</v>
      </c>
      <c r="I724" s="5"/>
    </row>
    <row r="725" spans="1:9" x14ac:dyDescent="0.2">
      <c r="A725" s="5">
        <v>1</v>
      </c>
      <c r="B725" s="5" t="s">
        <v>3638</v>
      </c>
      <c r="C725" s="5" t="s">
        <v>2265</v>
      </c>
      <c r="D725" s="5" t="s">
        <v>2266</v>
      </c>
      <c r="E725" s="5" t="s">
        <v>244</v>
      </c>
      <c r="F725" s="5" t="s">
        <v>3353</v>
      </c>
      <c r="G725" s="5" t="s">
        <v>3356</v>
      </c>
      <c r="H725" s="5" t="s">
        <v>3354</v>
      </c>
      <c r="I725" s="5"/>
    </row>
    <row r="726" spans="1:9" x14ac:dyDescent="0.2">
      <c r="A726" s="5">
        <v>1</v>
      </c>
      <c r="B726" s="5" t="s">
        <v>3638</v>
      </c>
      <c r="C726" s="5" t="s">
        <v>2367</v>
      </c>
      <c r="D726" s="5" t="s">
        <v>2368</v>
      </c>
      <c r="E726" s="5" t="s">
        <v>244</v>
      </c>
      <c r="F726" s="5" t="s">
        <v>3367</v>
      </c>
      <c r="G726" s="5" t="s">
        <v>3368</v>
      </c>
      <c r="H726" s="5" t="s">
        <v>3364</v>
      </c>
      <c r="I726" s="5"/>
    </row>
    <row r="727" spans="1:9" x14ac:dyDescent="0.2">
      <c r="A727" s="5">
        <v>1</v>
      </c>
      <c r="B727" s="5" t="s">
        <v>3638</v>
      </c>
      <c r="C727" s="5" t="s">
        <v>2367</v>
      </c>
      <c r="D727" s="5" t="s">
        <v>2368</v>
      </c>
      <c r="E727" s="5" t="s">
        <v>244</v>
      </c>
      <c r="F727" s="5" t="s">
        <v>3202</v>
      </c>
      <c r="G727" s="5" t="s">
        <v>3369</v>
      </c>
      <c r="H727" s="5" t="s">
        <v>3365</v>
      </c>
      <c r="I727" s="5"/>
    </row>
    <row r="728" spans="1:9" x14ac:dyDescent="0.2">
      <c r="A728" s="5">
        <v>1</v>
      </c>
      <c r="B728" s="5" t="s">
        <v>3678</v>
      </c>
      <c r="C728" s="5" t="s">
        <v>2606</v>
      </c>
      <c r="D728" s="5" t="s">
        <v>2607</v>
      </c>
      <c r="E728" s="5" t="s">
        <v>219</v>
      </c>
      <c r="F728" s="5" t="s">
        <v>3524</v>
      </c>
      <c r="G728" s="5" t="s">
        <v>4147</v>
      </c>
      <c r="H728" s="5" t="s">
        <v>4148</v>
      </c>
      <c r="I728" s="5"/>
    </row>
    <row r="729" spans="1:9" x14ac:dyDescent="0.2">
      <c r="A729" s="5">
        <v>1</v>
      </c>
      <c r="B729" s="5" t="s">
        <v>3679</v>
      </c>
      <c r="C729" s="5" t="s">
        <v>2606</v>
      </c>
      <c r="D729" s="5" t="s">
        <v>2607</v>
      </c>
      <c r="E729" s="5" t="s">
        <v>219</v>
      </c>
      <c r="F729" s="5" t="s">
        <v>3528</v>
      </c>
      <c r="G729" s="5" t="s">
        <v>4149</v>
      </c>
      <c r="H729" s="5" t="s">
        <v>4150</v>
      </c>
      <c r="I729" s="5"/>
    </row>
    <row r="730" spans="1:9" x14ac:dyDescent="0.2">
      <c r="A730" s="5">
        <v>1</v>
      </c>
      <c r="B730" s="5" t="s">
        <v>3680</v>
      </c>
      <c r="C730" s="5" t="s">
        <v>2871</v>
      </c>
      <c r="D730" s="5" t="s">
        <v>2872</v>
      </c>
      <c r="E730" s="5" t="s">
        <v>219</v>
      </c>
      <c r="F730" s="5" t="s">
        <v>3544</v>
      </c>
      <c r="G730" s="5" t="s">
        <v>4151</v>
      </c>
      <c r="H730" s="5" t="s">
        <v>4152</v>
      </c>
      <c r="I730" s="5"/>
    </row>
    <row r="731" spans="1:9" x14ac:dyDescent="0.2">
      <c r="A731" s="5">
        <v>1</v>
      </c>
      <c r="B731" s="5" t="s">
        <v>3680</v>
      </c>
      <c r="C731" s="5" t="s">
        <v>2871</v>
      </c>
      <c r="D731" s="5" t="s">
        <v>2872</v>
      </c>
      <c r="E731" s="5" t="s">
        <v>219</v>
      </c>
      <c r="F731" s="5" t="s">
        <v>3544</v>
      </c>
      <c r="G731" s="5" t="s">
        <v>4151</v>
      </c>
      <c r="H731" s="5" t="s">
        <v>4153</v>
      </c>
      <c r="I731" s="5"/>
    </row>
    <row r="732" spans="1:9" x14ac:dyDescent="0.2">
      <c r="A732" s="5">
        <v>1</v>
      </c>
      <c r="B732" s="5" t="s">
        <v>3680</v>
      </c>
      <c r="C732" s="5" t="s">
        <v>2871</v>
      </c>
      <c r="D732" s="5" t="s">
        <v>2872</v>
      </c>
      <c r="E732" s="5" t="s">
        <v>219</v>
      </c>
      <c r="F732" s="5" t="s">
        <v>3544</v>
      </c>
      <c r="G732" s="5" t="s">
        <v>4151</v>
      </c>
      <c r="H732" s="5" t="s">
        <v>4154</v>
      </c>
      <c r="I732" s="5"/>
    </row>
    <row r="733" spans="1:9" x14ac:dyDescent="0.2">
      <c r="A733" s="5">
        <v>1</v>
      </c>
      <c r="B733" s="5" t="s">
        <v>3680</v>
      </c>
      <c r="C733" s="5" t="s">
        <v>2871</v>
      </c>
      <c r="D733" s="5" t="s">
        <v>2872</v>
      </c>
      <c r="E733" s="5" t="s">
        <v>219</v>
      </c>
      <c r="F733" s="5" t="s">
        <v>3544</v>
      </c>
      <c r="G733" s="5" t="s">
        <v>4151</v>
      </c>
      <c r="H733" s="5" t="s">
        <v>4155</v>
      </c>
      <c r="I733" s="5"/>
    </row>
    <row r="734" spans="1:9" x14ac:dyDescent="0.2">
      <c r="A734" s="5">
        <v>1</v>
      </c>
      <c r="B734" s="5" t="s">
        <v>3680</v>
      </c>
      <c r="C734" s="5" t="s">
        <v>2871</v>
      </c>
      <c r="D734" s="5" t="s">
        <v>2872</v>
      </c>
      <c r="E734" s="5" t="s">
        <v>219</v>
      </c>
      <c r="F734" s="5" t="s">
        <v>3544</v>
      </c>
      <c r="G734" s="5" t="s">
        <v>4151</v>
      </c>
      <c r="H734" s="5" t="s">
        <v>4156</v>
      </c>
      <c r="I734" s="5"/>
    </row>
    <row r="735" spans="1:9" x14ac:dyDescent="0.2">
      <c r="A735" s="5">
        <v>1</v>
      </c>
      <c r="B735" s="5" t="s">
        <v>3680</v>
      </c>
      <c r="C735" s="5" t="s">
        <v>2871</v>
      </c>
      <c r="D735" s="5" t="s">
        <v>2872</v>
      </c>
      <c r="E735" s="5" t="s">
        <v>219</v>
      </c>
      <c r="F735" s="5" t="s">
        <v>3544</v>
      </c>
      <c r="G735" s="5" t="s">
        <v>4151</v>
      </c>
      <c r="H735" s="5" t="s">
        <v>4157</v>
      </c>
      <c r="I735" s="5"/>
    </row>
    <row r="736" spans="1:9" x14ac:dyDescent="0.2">
      <c r="A736" s="5">
        <v>1</v>
      </c>
      <c r="B736" s="5" t="s">
        <v>3681</v>
      </c>
      <c r="C736" s="5" t="s">
        <v>2606</v>
      </c>
      <c r="D736" s="5" t="s">
        <v>2607</v>
      </c>
      <c r="E736" s="5" t="s">
        <v>219</v>
      </c>
      <c r="F736" s="5" t="s">
        <v>3668</v>
      </c>
      <c r="G736" s="5" t="s">
        <v>4158</v>
      </c>
      <c r="H736" s="5" t="s">
        <v>4159</v>
      </c>
      <c r="I736" s="5"/>
    </row>
    <row r="737" spans="1:9" x14ac:dyDescent="0.2">
      <c r="A737" s="5">
        <v>1</v>
      </c>
      <c r="B737" s="5" t="s">
        <v>1152</v>
      </c>
      <c r="C737" s="5" t="s">
        <v>362</v>
      </c>
      <c r="D737" s="5" t="s">
        <v>363</v>
      </c>
      <c r="E737" s="5" t="s">
        <v>219</v>
      </c>
      <c r="F737" s="5" t="s">
        <v>3484</v>
      </c>
      <c r="G737" s="5" t="s">
        <v>4160</v>
      </c>
      <c r="H737" s="5" t="s">
        <v>4161</v>
      </c>
      <c r="I737" s="5"/>
    </row>
    <row r="738" spans="1:9" x14ac:dyDescent="0.2">
      <c r="A738" s="5">
        <v>1</v>
      </c>
      <c r="B738" s="5" t="s">
        <v>1152</v>
      </c>
      <c r="C738" s="5" t="s">
        <v>2606</v>
      </c>
      <c r="D738" s="5" t="s">
        <v>2607</v>
      </c>
      <c r="E738" s="5" t="s">
        <v>219</v>
      </c>
      <c r="F738" s="5" t="s">
        <v>3525</v>
      </c>
      <c r="G738" s="5" t="s">
        <v>4162</v>
      </c>
      <c r="H738" s="5" t="s">
        <v>4163</v>
      </c>
      <c r="I738" s="5"/>
    </row>
    <row r="739" spans="1:9" x14ac:dyDescent="0.2">
      <c r="A739" s="5">
        <v>1</v>
      </c>
      <c r="B739" s="5" t="s">
        <v>3682</v>
      </c>
      <c r="C739" s="5" t="s">
        <v>2606</v>
      </c>
      <c r="D739" s="5" t="s">
        <v>2607</v>
      </c>
      <c r="E739" s="5" t="s">
        <v>219</v>
      </c>
      <c r="F739" s="5" t="s">
        <v>3526</v>
      </c>
      <c r="G739" s="5" t="s">
        <v>4164</v>
      </c>
      <c r="H739" s="5" t="s">
        <v>4165</v>
      </c>
      <c r="I739" s="5"/>
    </row>
    <row r="740" spans="1:9" x14ac:dyDescent="0.2">
      <c r="A740" s="5">
        <v>1</v>
      </c>
      <c r="B740" s="5" t="s">
        <v>3683</v>
      </c>
      <c r="C740" s="5" t="s">
        <v>2606</v>
      </c>
      <c r="D740" s="5" t="s">
        <v>2607</v>
      </c>
      <c r="E740" s="5" t="s">
        <v>219</v>
      </c>
      <c r="F740" s="5" t="s">
        <v>3527</v>
      </c>
      <c r="G740" s="5" t="s">
        <v>4164</v>
      </c>
      <c r="H740" s="5" t="s">
        <v>4165</v>
      </c>
      <c r="I740" s="5"/>
    </row>
    <row r="741" spans="1:9" x14ac:dyDescent="0.2">
      <c r="A741" s="5">
        <v>1</v>
      </c>
      <c r="B741" s="5" t="s">
        <v>3684</v>
      </c>
      <c r="C741" s="5" t="s">
        <v>362</v>
      </c>
      <c r="D741" s="5" t="s">
        <v>363</v>
      </c>
      <c r="E741" s="5" t="s">
        <v>219</v>
      </c>
      <c r="F741" s="5" t="s">
        <v>3479</v>
      </c>
      <c r="G741" s="5" t="s">
        <v>4166</v>
      </c>
      <c r="H741" s="5" t="s">
        <v>4167</v>
      </c>
      <c r="I741" s="5"/>
    </row>
    <row r="742" spans="1:9" x14ac:dyDescent="0.2">
      <c r="A742" s="5">
        <v>1</v>
      </c>
      <c r="B742" s="5" t="s">
        <v>3684</v>
      </c>
      <c r="C742" s="5" t="s">
        <v>362</v>
      </c>
      <c r="D742" s="5" t="s">
        <v>363</v>
      </c>
      <c r="E742" s="5" t="s">
        <v>219</v>
      </c>
      <c r="F742" s="5" t="s">
        <v>3478</v>
      </c>
      <c r="G742" s="5" t="s">
        <v>4168</v>
      </c>
      <c r="H742" s="5" t="s">
        <v>4169</v>
      </c>
      <c r="I742" s="5"/>
    </row>
    <row r="743" spans="1:9" x14ac:dyDescent="0.2">
      <c r="A743" s="5">
        <v>1</v>
      </c>
      <c r="B743" s="5" t="s">
        <v>3684</v>
      </c>
      <c r="C743" s="5" t="s">
        <v>362</v>
      </c>
      <c r="D743" s="5" t="s">
        <v>363</v>
      </c>
      <c r="E743" s="5" t="s">
        <v>219</v>
      </c>
      <c r="F743" s="5" t="s">
        <v>3480</v>
      </c>
      <c r="G743" s="5" t="s">
        <v>4170</v>
      </c>
      <c r="H743" s="5" t="s">
        <v>4171</v>
      </c>
      <c r="I743" s="5"/>
    </row>
    <row r="744" spans="1:9" x14ac:dyDescent="0.2">
      <c r="A744" s="5">
        <v>1</v>
      </c>
      <c r="B744" s="5" t="s">
        <v>3684</v>
      </c>
      <c r="C744" s="5" t="s">
        <v>362</v>
      </c>
      <c r="D744" s="5" t="s">
        <v>363</v>
      </c>
      <c r="E744" s="5" t="s">
        <v>219</v>
      </c>
      <c r="F744" s="5" t="s">
        <v>3481</v>
      </c>
      <c r="G744" s="5" t="s">
        <v>4170</v>
      </c>
      <c r="H744" s="5" t="s">
        <v>4171</v>
      </c>
      <c r="I744" s="5"/>
    </row>
    <row r="745" spans="1:9" x14ac:dyDescent="0.2">
      <c r="A745" s="5">
        <v>1</v>
      </c>
      <c r="B745" s="5" t="s">
        <v>3684</v>
      </c>
      <c r="C745" s="5" t="s">
        <v>362</v>
      </c>
      <c r="D745" s="5" t="s">
        <v>363</v>
      </c>
      <c r="E745" s="5" t="s">
        <v>219</v>
      </c>
      <c r="F745" s="5" t="s">
        <v>3482</v>
      </c>
      <c r="G745" s="5" t="s">
        <v>4172</v>
      </c>
      <c r="H745" s="5" t="s">
        <v>4173</v>
      </c>
      <c r="I745" s="5"/>
    </row>
    <row r="746" spans="1:9" x14ac:dyDescent="0.2">
      <c r="A746" s="5">
        <v>1</v>
      </c>
      <c r="B746" s="5" t="s">
        <v>3685</v>
      </c>
      <c r="C746" s="5" t="s">
        <v>2871</v>
      </c>
      <c r="D746" s="5" t="s">
        <v>2872</v>
      </c>
      <c r="E746" s="5" t="s">
        <v>219</v>
      </c>
      <c r="F746" s="5" t="s">
        <v>3543</v>
      </c>
      <c r="G746" s="5" t="s">
        <v>4174</v>
      </c>
      <c r="H746" s="5" t="s">
        <v>4175</v>
      </c>
      <c r="I746" s="5"/>
    </row>
    <row r="747" spans="1:9" x14ac:dyDescent="0.2">
      <c r="A747" s="5">
        <v>1</v>
      </c>
      <c r="B747" s="5" t="s">
        <v>3684</v>
      </c>
      <c r="C747" s="5" t="s">
        <v>362</v>
      </c>
      <c r="D747" s="5" t="s">
        <v>363</v>
      </c>
      <c r="E747" s="5" t="s">
        <v>219</v>
      </c>
      <c r="F747" s="5" t="s">
        <v>3483</v>
      </c>
      <c r="G747" s="5" t="s">
        <v>4172</v>
      </c>
      <c r="H747" s="5" t="s">
        <v>4173</v>
      </c>
      <c r="I747" s="5"/>
    </row>
    <row r="748" spans="1:9" x14ac:dyDescent="0.2">
      <c r="A748" s="5">
        <v>1</v>
      </c>
      <c r="B748" s="5" t="s">
        <v>3684</v>
      </c>
      <c r="C748" s="5" t="s">
        <v>362</v>
      </c>
      <c r="D748" s="5" t="s">
        <v>363</v>
      </c>
      <c r="E748" s="5" t="s">
        <v>219</v>
      </c>
      <c r="F748" s="5" t="s">
        <v>3485</v>
      </c>
      <c r="G748" s="5" t="s">
        <v>4176</v>
      </c>
      <c r="H748" s="5" t="s">
        <v>4177</v>
      </c>
      <c r="I748" s="5"/>
    </row>
    <row r="749" spans="1:9" x14ac:dyDescent="0.2">
      <c r="A749" s="5">
        <v>1</v>
      </c>
      <c r="B749" s="5" t="s">
        <v>3682</v>
      </c>
      <c r="C749" s="5" t="s">
        <v>2606</v>
      </c>
      <c r="D749" s="5" t="s">
        <v>2607</v>
      </c>
      <c r="E749" s="5" t="s">
        <v>219</v>
      </c>
      <c r="F749" s="5" t="s">
        <v>3416</v>
      </c>
      <c r="G749" s="5" t="s">
        <v>4147</v>
      </c>
      <c r="H749" s="5" t="s">
        <v>4178</v>
      </c>
      <c r="I749" s="5"/>
    </row>
    <row r="750" spans="1:9" x14ac:dyDescent="0.2">
      <c r="A750" s="5">
        <v>1</v>
      </c>
      <c r="B750" s="5" t="s">
        <v>3684</v>
      </c>
      <c r="C750" s="5" t="s">
        <v>2469</v>
      </c>
      <c r="D750" s="5" t="s">
        <v>2470</v>
      </c>
      <c r="E750" s="5" t="s">
        <v>219</v>
      </c>
      <c r="F750" s="5" t="s">
        <v>3388</v>
      </c>
      <c r="G750" s="5" t="s">
        <v>4179</v>
      </c>
      <c r="H750" s="5" t="s">
        <v>4180</v>
      </c>
      <c r="I750" s="5"/>
    </row>
    <row r="751" spans="1:9" x14ac:dyDescent="0.2">
      <c r="A751" s="5">
        <v>1</v>
      </c>
      <c r="B751" s="5" t="s">
        <v>3684</v>
      </c>
      <c r="C751" s="5" t="s">
        <v>362</v>
      </c>
      <c r="D751" s="5" t="s">
        <v>363</v>
      </c>
      <c r="E751" s="5" t="s">
        <v>219</v>
      </c>
      <c r="F751" s="5" t="s">
        <v>3122</v>
      </c>
      <c r="G751" s="5" t="s">
        <v>4181</v>
      </c>
      <c r="H751" s="5" t="s">
        <v>4182</v>
      </c>
      <c r="I751" s="5"/>
    </row>
    <row r="752" spans="1:9" x14ac:dyDescent="0.2">
      <c r="A752" s="5">
        <v>1</v>
      </c>
      <c r="B752" s="5" t="s">
        <v>3684</v>
      </c>
      <c r="C752" s="5" t="s">
        <v>362</v>
      </c>
      <c r="D752" s="5" t="s">
        <v>363</v>
      </c>
      <c r="E752" s="5" t="s">
        <v>219</v>
      </c>
      <c r="F752" s="5" t="s">
        <v>3122</v>
      </c>
      <c r="G752" s="5" t="s">
        <v>4181</v>
      </c>
      <c r="H752" s="5" t="s">
        <v>4183</v>
      </c>
      <c r="I752" s="5"/>
    </row>
    <row r="753" spans="1:9" x14ac:dyDescent="0.2">
      <c r="A753" s="5">
        <v>1</v>
      </c>
      <c r="B753" s="5" t="s">
        <v>3684</v>
      </c>
      <c r="C753" s="5" t="s">
        <v>2469</v>
      </c>
      <c r="D753" s="5" t="s">
        <v>2470</v>
      </c>
      <c r="E753" s="5" t="s">
        <v>219</v>
      </c>
      <c r="F753" s="5" t="s">
        <v>3122</v>
      </c>
      <c r="G753" s="5" t="s">
        <v>4184</v>
      </c>
      <c r="H753" s="5" t="s">
        <v>4185</v>
      </c>
      <c r="I753" s="5"/>
    </row>
    <row r="754" spans="1:9" x14ac:dyDescent="0.2">
      <c r="A754" s="5">
        <v>1</v>
      </c>
      <c r="B754" s="5" t="s">
        <v>3684</v>
      </c>
      <c r="C754" s="5" t="s">
        <v>2469</v>
      </c>
      <c r="D754" s="5" t="s">
        <v>2470</v>
      </c>
      <c r="E754" s="5" t="s">
        <v>219</v>
      </c>
      <c r="F754" s="5" t="s">
        <v>3389</v>
      </c>
      <c r="G754" s="5" t="s">
        <v>4184</v>
      </c>
      <c r="H754" s="5" t="s">
        <v>4185</v>
      </c>
      <c r="I754" s="5"/>
    </row>
    <row r="755" spans="1:9" x14ac:dyDescent="0.2">
      <c r="A755" s="5">
        <v>1</v>
      </c>
      <c r="B755" s="5" t="s">
        <v>3686</v>
      </c>
      <c r="C755" s="5" t="s">
        <v>2380</v>
      </c>
      <c r="D755" s="5" t="s">
        <v>2381</v>
      </c>
      <c r="E755" s="5" t="s">
        <v>219</v>
      </c>
      <c r="F755" s="5" t="s">
        <v>3375</v>
      </c>
      <c r="G755" s="5" t="s">
        <v>4186</v>
      </c>
      <c r="H755" s="5" t="s">
        <v>4187</v>
      </c>
      <c r="I755" s="5"/>
    </row>
    <row r="756" spans="1:9" x14ac:dyDescent="0.2">
      <c r="A756" s="5">
        <v>1</v>
      </c>
      <c r="B756" s="5" t="s">
        <v>3684</v>
      </c>
      <c r="C756" s="5" t="s">
        <v>362</v>
      </c>
      <c r="D756" s="5" t="s">
        <v>363</v>
      </c>
      <c r="E756" s="5" t="s">
        <v>219</v>
      </c>
      <c r="F756" s="5" t="s">
        <v>3267</v>
      </c>
      <c r="G756" s="5" t="s">
        <v>4188</v>
      </c>
      <c r="H756" s="5" t="s">
        <v>4160</v>
      </c>
      <c r="I756" s="5"/>
    </row>
    <row r="757" spans="1:9" x14ac:dyDescent="0.2">
      <c r="A757" s="5">
        <v>1</v>
      </c>
      <c r="B757" s="5" t="s">
        <v>3684</v>
      </c>
      <c r="C757" s="5" t="s">
        <v>362</v>
      </c>
      <c r="D757" s="5" t="s">
        <v>363</v>
      </c>
      <c r="E757" s="5" t="s">
        <v>219</v>
      </c>
      <c r="F757" s="5" t="s">
        <v>3267</v>
      </c>
      <c r="G757" s="5" t="s">
        <v>4188</v>
      </c>
      <c r="H757" s="5" t="s">
        <v>4161</v>
      </c>
      <c r="I757" s="5"/>
    </row>
    <row r="758" spans="1:9" x14ac:dyDescent="0.2">
      <c r="A758" s="5">
        <v>1</v>
      </c>
      <c r="B758" s="5" t="s">
        <v>3685</v>
      </c>
      <c r="C758" s="5" t="s">
        <v>2871</v>
      </c>
      <c r="D758" s="5" t="s">
        <v>2872</v>
      </c>
      <c r="E758" s="5" t="s">
        <v>219</v>
      </c>
      <c r="F758" s="5" t="s">
        <v>3448</v>
      </c>
      <c r="G758" s="5" t="s">
        <v>4174</v>
      </c>
      <c r="H758" s="5" t="s">
        <v>4189</v>
      </c>
      <c r="I758" s="5"/>
    </row>
    <row r="759" spans="1:9" x14ac:dyDescent="0.2">
      <c r="A759" s="5">
        <v>1</v>
      </c>
      <c r="B759" s="5" t="s">
        <v>3687</v>
      </c>
      <c r="C759" s="5" t="s">
        <v>362</v>
      </c>
      <c r="D759" s="5" t="s">
        <v>363</v>
      </c>
      <c r="E759" s="5" t="s">
        <v>219</v>
      </c>
      <c r="F759" s="5" t="s">
        <v>3114</v>
      </c>
      <c r="G759" s="5"/>
      <c r="H759" s="5" t="s">
        <v>3237</v>
      </c>
      <c r="I759" s="5"/>
    </row>
    <row r="760" spans="1:9" x14ac:dyDescent="0.2">
      <c r="A760" s="5">
        <v>1</v>
      </c>
      <c r="B760" s="5" t="s">
        <v>3687</v>
      </c>
      <c r="C760" s="5" t="s">
        <v>2643</v>
      </c>
      <c r="D760" s="5" t="s">
        <v>2644</v>
      </c>
      <c r="E760" s="5" t="s">
        <v>219</v>
      </c>
      <c r="F760" s="5" t="s">
        <v>3114</v>
      </c>
      <c r="G760" s="5"/>
      <c r="H760" s="5" t="s">
        <v>3237</v>
      </c>
      <c r="I760" s="5"/>
    </row>
    <row r="761" spans="1:9" x14ac:dyDescent="0.2">
      <c r="A761" s="5">
        <v>1</v>
      </c>
      <c r="B761" s="5" t="s">
        <v>3688</v>
      </c>
      <c r="C761" s="5" t="s">
        <v>2606</v>
      </c>
      <c r="D761" s="5" t="s">
        <v>2607</v>
      </c>
      <c r="E761" s="5" t="s">
        <v>219</v>
      </c>
      <c r="F761" s="5" t="s">
        <v>3127</v>
      </c>
      <c r="G761" s="5"/>
      <c r="H761" s="5" t="s">
        <v>3244</v>
      </c>
      <c r="I761" s="5"/>
    </row>
    <row r="762" spans="1:9" x14ac:dyDescent="0.2">
      <c r="A762" s="5">
        <v>1</v>
      </c>
      <c r="B762" s="5" t="s">
        <v>3687</v>
      </c>
      <c r="C762" s="5" t="s">
        <v>362</v>
      </c>
      <c r="D762" s="5" t="s">
        <v>363</v>
      </c>
      <c r="E762" s="5" t="s">
        <v>219</v>
      </c>
      <c r="F762" s="5" t="s">
        <v>3115</v>
      </c>
      <c r="G762" s="5"/>
      <c r="H762" s="5" t="s">
        <v>3238</v>
      </c>
      <c r="I762" s="5"/>
    </row>
    <row r="763" spans="1:9" x14ac:dyDescent="0.2">
      <c r="A763" s="5">
        <v>1</v>
      </c>
      <c r="B763" s="5" t="s">
        <v>3687</v>
      </c>
      <c r="C763" s="5" t="s">
        <v>2643</v>
      </c>
      <c r="D763" s="5" t="s">
        <v>2644</v>
      </c>
      <c r="E763" s="5" t="s">
        <v>219</v>
      </c>
      <c r="F763" s="5" t="s">
        <v>3115</v>
      </c>
      <c r="G763" s="5"/>
      <c r="H763" s="5" t="s">
        <v>3238</v>
      </c>
      <c r="I763" s="5"/>
    </row>
    <row r="764" spans="1:9" x14ac:dyDescent="0.2">
      <c r="A764" s="5">
        <v>1</v>
      </c>
      <c r="B764" s="5" t="s">
        <v>3687</v>
      </c>
      <c r="C764" s="5" t="s">
        <v>2643</v>
      </c>
      <c r="D764" s="5" t="s">
        <v>2644</v>
      </c>
      <c r="E764" s="5" t="s">
        <v>219</v>
      </c>
      <c r="F764" s="5" t="s">
        <v>3201</v>
      </c>
      <c r="G764" s="5"/>
      <c r="H764" s="5" t="s">
        <v>3327</v>
      </c>
      <c r="I764" s="5"/>
    </row>
    <row r="765" spans="1:9" x14ac:dyDescent="0.2">
      <c r="A765" s="5">
        <v>1</v>
      </c>
      <c r="B765" s="5" t="s">
        <v>3687</v>
      </c>
      <c r="C765" s="5" t="s">
        <v>2643</v>
      </c>
      <c r="D765" s="5" t="s">
        <v>2644</v>
      </c>
      <c r="E765" s="5" t="s">
        <v>219</v>
      </c>
      <c r="F765" s="5" t="s">
        <v>3195</v>
      </c>
      <c r="G765" s="5"/>
      <c r="H765" s="5" t="s">
        <v>3289</v>
      </c>
      <c r="I765" s="5"/>
    </row>
    <row r="766" spans="1:9" x14ac:dyDescent="0.2">
      <c r="A766" s="5">
        <v>1</v>
      </c>
      <c r="B766" s="5" t="s">
        <v>3689</v>
      </c>
      <c r="C766" s="5" t="s">
        <v>362</v>
      </c>
      <c r="D766" s="5" t="s">
        <v>363</v>
      </c>
      <c r="E766" s="5" t="s">
        <v>219</v>
      </c>
      <c r="F766" s="5" t="s">
        <v>3109</v>
      </c>
      <c r="G766" s="5"/>
      <c r="H766" s="5" t="s">
        <v>3236</v>
      </c>
      <c r="I766" s="5"/>
    </row>
    <row r="767" spans="1:9" x14ac:dyDescent="0.2">
      <c r="A767" s="5">
        <v>1</v>
      </c>
      <c r="B767" s="5" t="s">
        <v>3690</v>
      </c>
      <c r="C767" s="5" t="s">
        <v>362</v>
      </c>
      <c r="D767" s="5" t="s">
        <v>363</v>
      </c>
      <c r="E767" s="5" t="s">
        <v>219</v>
      </c>
      <c r="F767" s="5" t="s">
        <v>3120</v>
      </c>
      <c r="G767" s="5"/>
      <c r="H767" s="5" t="s">
        <v>3232</v>
      </c>
      <c r="I767" s="5"/>
    </row>
    <row r="768" spans="1:9" x14ac:dyDescent="0.2">
      <c r="A768" s="5">
        <v>1</v>
      </c>
      <c r="B768" s="5" t="s">
        <v>3691</v>
      </c>
      <c r="C768" s="5" t="s">
        <v>362</v>
      </c>
      <c r="D768" s="5" t="s">
        <v>363</v>
      </c>
      <c r="E768" s="5" t="s">
        <v>219</v>
      </c>
      <c r="F768" s="5" t="s">
        <v>3090</v>
      </c>
      <c r="G768" s="5"/>
      <c r="H768" s="5" t="s">
        <v>3225</v>
      </c>
      <c r="I768" s="5"/>
    </row>
    <row r="769" spans="1:9" x14ac:dyDescent="0.2">
      <c r="A769" s="5">
        <v>1</v>
      </c>
      <c r="B769" s="5" t="s">
        <v>3692</v>
      </c>
      <c r="C769" s="5" t="s">
        <v>2380</v>
      </c>
      <c r="D769" s="5" t="s">
        <v>2381</v>
      </c>
      <c r="E769" s="5" t="s">
        <v>219</v>
      </c>
      <c r="F769" s="5" t="s">
        <v>3090</v>
      </c>
      <c r="G769" s="5"/>
      <c r="H769" s="5" t="s">
        <v>3225</v>
      </c>
      <c r="I769" s="5"/>
    </row>
    <row r="770" spans="1:9" x14ac:dyDescent="0.2">
      <c r="A770" s="5">
        <v>1</v>
      </c>
      <c r="B770" s="5" t="s">
        <v>3692</v>
      </c>
      <c r="C770" s="5" t="s">
        <v>2433</v>
      </c>
      <c r="D770" s="5" t="s">
        <v>2434</v>
      </c>
      <c r="E770" s="5" t="s">
        <v>219</v>
      </c>
      <c r="F770" s="5" t="s">
        <v>3090</v>
      </c>
      <c r="G770" s="5"/>
      <c r="H770" s="5" t="s">
        <v>3225</v>
      </c>
      <c r="I770" s="5"/>
    </row>
    <row r="771" spans="1:9" x14ac:dyDescent="0.2">
      <c r="A771" s="5">
        <v>1</v>
      </c>
      <c r="B771" s="5" t="s">
        <v>3690</v>
      </c>
      <c r="C771" s="5" t="s">
        <v>2469</v>
      </c>
      <c r="D771" s="5" t="s">
        <v>2470</v>
      </c>
      <c r="E771" s="5" t="s">
        <v>219</v>
      </c>
      <c r="F771" s="5" t="s">
        <v>3090</v>
      </c>
      <c r="G771" s="5"/>
      <c r="H771" s="5" t="s">
        <v>3225</v>
      </c>
      <c r="I771" s="5"/>
    </row>
    <row r="772" spans="1:9" x14ac:dyDescent="0.2">
      <c r="A772" s="5">
        <v>1</v>
      </c>
      <c r="B772" s="5" t="s">
        <v>3693</v>
      </c>
      <c r="C772" s="5" t="s">
        <v>2606</v>
      </c>
      <c r="D772" s="5" t="s">
        <v>2607</v>
      </c>
      <c r="E772" s="5" t="s">
        <v>219</v>
      </c>
      <c r="F772" s="5" t="s">
        <v>3090</v>
      </c>
      <c r="G772" s="5"/>
      <c r="H772" s="5" t="s">
        <v>3225</v>
      </c>
      <c r="I772" s="5"/>
    </row>
    <row r="773" spans="1:9" x14ac:dyDescent="0.2">
      <c r="A773" s="5">
        <v>1</v>
      </c>
      <c r="B773" s="5" t="s">
        <v>3692</v>
      </c>
      <c r="C773" s="5" t="s">
        <v>2618</v>
      </c>
      <c r="D773" s="5" t="s">
        <v>2619</v>
      </c>
      <c r="E773" s="5" t="s">
        <v>219</v>
      </c>
      <c r="F773" s="5" t="s">
        <v>3090</v>
      </c>
      <c r="G773" s="5"/>
      <c r="H773" s="5" t="s">
        <v>3225</v>
      </c>
      <c r="I773" s="5"/>
    </row>
    <row r="774" spans="1:9" x14ac:dyDescent="0.2">
      <c r="A774" s="5">
        <v>1</v>
      </c>
      <c r="B774" s="5" t="s">
        <v>3692</v>
      </c>
      <c r="C774" s="5" t="s">
        <v>2630</v>
      </c>
      <c r="D774" s="5" t="s">
        <v>2631</v>
      </c>
      <c r="E774" s="5" t="s">
        <v>219</v>
      </c>
      <c r="F774" s="5" t="s">
        <v>3090</v>
      </c>
      <c r="G774" s="5"/>
      <c r="H774" s="5" t="s">
        <v>3225</v>
      </c>
      <c r="I774" s="5"/>
    </row>
    <row r="775" spans="1:9" x14ac:dyDescent="0.2">
      <c r="A775" s="5">
        <v>1</v>
      </c>
      <c r="B775" s="5" t="s">
        <v>3690</v>
      </c>
      <c r="C775" s="5" t="s">
        <v>2643</v>
      </c>
      <c r="D775" s="5" t="s">
        <v>2644</v>
      </c>
      <c r="E775" s="5" t="s">
        <v>219</v>
      </c>
      <c r="F775" s="5" t="s">
        <v>3090</v>
      </c>
      <c r="G775" s="5"/>
      <c r="H775" s="5" t="s">
        <v>3225</v>
      </c>
      <c r="I775" s="5"/>
    </row>
    <row r="776" spans="1:9" x14ac:dyDescent="0.2">
      <c r="A776" s="5">
        <v>1</v>
      </c>
      <c r="B776" s="5" t="s">
        <v>3694</v>
      </c>
      <c r="C776" s="5" t="s">
        <v>2753</v>
      </c>
      <c r="D776" s="5" t="s">
        <v>3034</v>
      </c>
      <c r="E776" s="5" t="s">
        <v>219</v>
      </c>
      <c r="F776" s="5" t="s">
        <v>3090</v>
      </c>
      <c r="G776" s="5"/>
      <c r="H776" s="5" t="s">
        <v>3225</v>
      </c>
      <c r="I776" s="5"/>
    </row>
    <row r="777" spans="1:9" x14ac:dyDescent="0.2">
      <c r="A777" s="5">
        <v>1</v>
      </c>
      <c r="B777" s="5" t="s">
        <v>3695</v>
      </c>
      <c r="C777" s="5" t="s">
        <v>2791</v>
      </c>
      <c r="D777" s="5" t="s">
        <v>2792</v>
      </c>
      <c r="E777" s="5" t="s">
        <v>219</v>
      </c>
      <c r="F777" s="5" t="s">
        <v>3090</v>
      </c>
      <c r="G777" s="5"/>
      <c r="H777" s="5" t="s">
        <v>3225</v>
      </c>
      <c r="I777" s="5"/>
    </row>
    <row r="778" spans="1:9" x14ac:dyDescent="0.2">
      <c r="A778" s="5">
        <v>1</v>
      </c>
      <c r="B778" s="5" t="s">
        <v>3690</v>
      </c>
      <c r="C778" s="5" t="s">
        <v>362</v>
      </c>
      <c r="D778" s="5" t="s">
        <v>363</v>
      </c>
      <c r="E778" s="5" t="s">
        <v>219</v>
      </c>
      <c r="F778" s="5" t="s">
        <v>3089</v>
      </c>
      <c r="G778" s="5"/>
      <c r="H778" s="5" t="s">
        <v>3224</v>
      </c>
      <c r="I778" s="5"/>
    </row>
    <row r="779" spans="1:9" x14ac:dyDescent="0.2">
      <c r="A779" s="5">
        <v>1</v>
      </c>
      <c r="B779" s="5" t="s">
        <v>3690</v>
      </c>
      <c r="C779" s="5" t="s">
        <v>2643</v>
      </c>
      <c r="D779" s="5" t="s">
        <v>2644</v>
      </c>
      <c r="E779" s="5" t="s">
        <v>219</v>
      </c>
      <c r="F779" s="5" t="s">
        <v>3089</v>
      </c>
      <c r="G779" s="5"/>
      <c r="H779" s="5" t="s">
        <v>3224</v>
      </c>
      <c r="I779" s="5"/>
    </row>
    <row r="780" spans="1:9" x14ac:dyDescent="0.2">
      <c r="A780" s="5">
        <v>1</v>
      </c>
      <c r="B780" s="5" t="s">
        <v>3694</v>
      </c>
      <c r="C780" s="5" t="s">
        <v>2753</v>
      </c>
      <c r="D780" s="5" t="s">
        <v>3034</v>
      </c>
      <c r="E780" s="5" t="s">
        <v>219</v>
      </c>
      <c r="F780" s="5" t="s">
        <v>3089</v>
      </c>
      <c r="G780" s="5"/>
      <c r="H780" s="5" t="s">
        <v>3224</v>
      </c>
      <c r="I780" s="5"/>
    </row>
    <row r="781" spans="1:9" x14ac:dyDescent="0.2">
      <c r="A781" s="5">
        <v>1</v>
      </c>
      <c r="B781" s="5" t="s">
        <v>3695</v>
      </c>
      <c r="C781" s="5" t="s">
        <v>2791</v>
      </c>
      <c r="D781" s="5" t="s">
        <v>2792</v>
      </c>
      <c r="E781" s="5" t="s">
        <v>219</v>
      </c>
      <c r="F781" s="5" t="s">
        <v>3089</v>
      </c>
      <c r="G781" s="5"/>
      <c r="H781" s="5" t="s">
        <v>3224</v>
      </c>
      <c r="I781" s="5"/>
    </row>
    <row r="782" spans="1:9" x14ac:dyDescent="0.2">
      <c r="A782" s="5">
        <v>1</v>
      </c>
      <c r="B782" s="5" t="s">
        <v>3690</v>
      </c>
      <c r="C782" s="5" t="s">
        <v>362</v>
      </c>
      <c r="D782" s="5" t="s">
        <v>363</v>
      </c>
      <c r="E782" s="5" t="s">
        <v>219</v>
      </c>
      <c r="F782" s="5" t="s">
        <v>3088</v>
      </c>
      <c r="G782" s="5"/>
      <c r="H782" s="5" t="s">
        <v>3223</v>
      </c>
      <c r="I782" s="5"/>
    </row>
    <row r="783" spans="1:9" x14ac:dyDescent="0.2">
      <c r="A783" s="5">
        <v>1</v>
      </c>
      <c r="B783" s="5" t="s">
        <v>3696</v>
      </c>
      <c r="C783" s="5" t="s">
        <v>2469</v>
      </c>
      <c r="D783" s="5" t="s">
        <v>2470</v>
      </c>
      <c r="E783" s="5" t="s">
        <v>219</v>
      </c>
      <c r="F783" s="5" t="s">
        <v>3088</v>
      </c>
      <c r="G783" s="5"/>
      <c r="H783" s="5" t="s">
        <v>3223</v>
      </c>
      <c r="I783" s="5"/>
    </row>
    <row r="784" spans="1:9" x14ac:dyDescent="0.2">
      <c r="A784" s="5">
        <v>1</v>
      </c>
      <c r="B784" s="5" t="s">
        <v>3697</v>
      </c>
      <c r="C784" s="5" t="s">
        <v>2606</v>
      </c>
      <c r="D784" s="5" t="s">
        <v>2607</v>
      </c>
      <c r="E784" s="5" t="s">
        <v>219</v>
      </c>
      <c r="F784" s="5" t="s">
        <v>3088</v>
      </c>
      <c r="G784" s="5"/>
      <c r="H784" s="5" t="s">
        <v>3223</v>
      </c>
      <c r="I784" s="5"/>
    </row>
    <row r="785" spans="1:9" x14ac:dyDescent="0.2">
      <c r="A785" s="5">
        <v>1</v>
      </c>
      <c r="B785" s="5" t="s">
        <v>3698</v>
      </c>
      <c r="C785" s="5" t="s">
        <v>2630</v>
      </c>
      <c r="D785" s="5" t="s">
        <v>2631</v>
      </c>
      <c r="E785" s="5" t="s">
        <v>219</v>
      </c>
      <c r="F785" s="5" t="s">
        <v>3088</v>
      </c>
      <c r="G785" s="5"/>
      <c r="H785" s="5" t="s">
        <v>3223</v>
      </c>
      <c r="I785" s="5"/>
    </row>
    <row r="786" spans="1:9" x14ac:dyDescent="0.2">
      <c r="A786" s="5">
        <v>1</v>
      </c>
      <c r="B786" s="5" t="s">
        <v>3690</v>
      </c>
      <c r="C786" s="5" t="s">
        <v>2643</v>
      </c>
      <c r="D786" s="5" t="s">
        <v>2644</v>
      </c>
      <c r="E786" s="5" t="s">
        <v>219</v>
      </c>
      <c r="F786" s="5" t="s">
        <v>3088</v>
      </c>
      <c r="G786" s="5"/>
      <c r="H786" s="5" t="s">
        <v>3223</v>
      </c>
      <c r="I786" s="5"/>
    </row>
    <row r="787" spans="1:9" x14ac:dyDescent="0.2">
      <c r="A787" s="5">
        <v>1</v>
      </c>
      <c r="B787" s="5" t="s">
        <v>3694</v>
      </c>
      <c r="C787" s="5" t="s">
        <v>2753</v>
      </c>
      <c r="D787" s="5" t="s">
        <v>3034</v>
      </c>
      <c r="E787" s="5" t="s">
        <v>219</v>
      </c>
      <c r="F787" s="5" t="s">
        <v>3088</v>
      </c>
      <c r="G787" s="5"/>
      <c r="H787" s="5" t="s">
        <v>3223</v>
      </c>
      <c r="I787" s="5"/>
    </row>
    <row r="788" spans="1:9" x14ac:dyDescent="0.2">
      <c r="A788" s="5">
        <v>1</v>
      </c>
      <c r="B788" s="5" t="s">
        <v>3695</v>
      </c>
      <c r="C788" s="5" t="s">
        <v>2791</v>
      </c>
      <c r="D788" s="5" t="s">
        <v>2792</v>
      </c>
      <c r="E788" s="5" t="s">
        <v>219</v>
      </c>
      <c r="F788" s="5" t="s">
        <v>3088</v>
      </c>
      <c r="G788" s="5"/>
      <c r="H788" s="5" t="s">
        <v>3223</v>
      </c>
      <c r="I788" s="5"/>
    </row>
    <row r="789" spans="1:9" x14ac:dyDescent="0.2">
      <c r="A789" s="5">
        <v>1</v>
      </c>
      <c r="B789" s="5" t="s">
        <v>3690</v>
      </c>
      <c r="C789" s="5" t="s">
        <v>362</v>
      </c>
      <c r="D789" s="5" t="s">
        <v>363</v>
      </c>
      <c r="E789" s="5" t="s">
        <v>219</v>
      </c>
      <c r="F789" s="5" t="s">
        <v>3118</v>
      </c>
      <c r="G789" s="5"/>
      <c r="H789" s="5" t="s">
        <v>3239</v>
      </c>
      <c r="I789" s="5"/>
    </row>
    <row r="790" spans="1:9" x14ac:dyDescent="0.2">
      <c r="A790" s="5">
        <v>1</v>
      </c>
      <c r="B790" s="5" t="s">
        <v>3699</v>
      </c>
      <c r="C790" s="5" t="s">
        <v>2433</v>
      </c>
      <c r="D790" s="5" t="s">
        <v>2434</v>
      </c>
      <c r="E790" s="5" t="s">
        <v>219</v>
      </c>
      <c r="F790" s="5" t="s">
        <v>3118</v>
      </c>
      <c r="G790" s="5"/>
      <c r="H790" s="5" t="s">
        <v>3239</v>
      </c>
      <c r="I790" s="5"/>
    </row>
    <row r="791" spans="1:9" x14ac:dyDescent="0.2">
      <c r="A791" s="5">
        <v>1</v>
      </c>
      <c r="B791" s="5" t="s">
        <v>3700</v>
      </c>
      <c r="C791" s="5" t="s">
        <v>2606</v>
      </c>
      <c r="D791" s="5" t="s">
        <v>2607</v>
      </c>
      <c r="E791" s="5" t="s">
        <v>219</v>
      </c>
      <c r="F791" s="5" t="s">
        <v>3118</v>
      </c>
      <c r="G791" s="5"/>
      <c r="H791" s="5" t="s">
        <v>3239</v>
      </c>
      <c r="I791" s="5"/>
    </row>
    <row r="792" spans="1:9" x14ac:dyDescent="0.2">
      <c r="A792" s="5">
        <v>1</v>
      </c>
      <c r="B792" s="5" t="s">
        <v>3690</v>
      </c>
      <c r="C792" s="5" t="s">
        <v>2643</v>
      </c>
      <c r="D792" s="5" t="s">
        <v>2644</v>
      </c>
      <c r="E792" s="5" t="s">
        <v>219</v>
      </c>
      <c r="F792" s="5" t="s">
        <v>3118</v>
      </c>
      <c r="G792" s="5"/>
      <c r="H792" s="5" t="s">
        <v>3239</v>
      </c>
      <c r="I792" s="5"/>
    </row>
    <row r="793" spans="1:9" x14ac:dyDescent="0.2">
      <c r="A793" s="5">
        <v>1</v>
      </c>
      <c r="B793" s="5" t="s">
        <v>3690</v>
      </c>
      <c r="C793" s="5" t="s">
        <v>362</v>
      </c>
      <c r="D793" s="5" t="s">
        <v>363</v>
      </c>
      <c r="E793" s="5" t="s">
        <v>219</v>
      </c>
      <c r="F793" s="5" t="s">
        <v>3121</v>
      </c>
      <c r="G793" s="5"/>
      <c r="H793" s="5" t="s">
        <v>3240</v>
      </c>
      <c r="I793" s="5"/>
    </row>
    <row r="794" spans="1:9" x14ac:dyDescent="0.2">
      <c r="A794" s="5">
        <v>1</v>
      </c>
      <c r="B794" s="5" t="s">
        <v>3701</v>
      </c>
      <c r="C794" s="5" t="s">
        <v>2433</v>
      </c>
      <c r="D794" s="5" t="s">
        <v>2434</v>
      </c>
      <c r="E794" s="5" t="s">
        <v>219</v>
      </c>
      <c r="F794" s="5" t="s">
        <v>3121</v>
      </c>
      <c r="G794" s="5"/>
      <c r="H794" s="5" t="s">
        <v>3240</v>
      </c>
      <c r="I794" s="5"/>
    </row>
    <row r="795" spans="1:9" x14ac:dyDescent="0.2">
      <c r="A795" s="5">
        <v>1</v>
      </c>
      <c r="B795" s="5" t="s">
        <v>3690</v>
      </c>
      <c r="C795" s="5" t="s">
        <v>2469</v>
      </c>
      <c r="D795" s="5" t="s">
        <v>2470</v>
      </c>
      <c r="E795" s="5" t="s">
        <v>219</v>
      </c>
      <c r="F795" s="5" t="s">
        <v>3121</v>
      </c>
      <c r="G795" s="5"/>
      <c r="H795" s="5" t="s">
        <v>3240</v>
      </c>
      <c r="I795" s="5"/>
    </row>
    <row r="796" spans="1:9" x14ac:dyDescent="0.2">
      <c r="A796" s="5">
        <v>1</v>
      </c>
      <c r="B796" s="5" t="s">
        <v>3702</v>
      </c>
      <c r="C796" s="5" t="s">
        <v>2606</v>
      </c>
      <c r="D796" s="5" t="s">
        <v>2607</v>
      </c>
      <c r="E796" s="5" t="s">
        <v>219</v>
      </c>
      <c r="F796" s="5" t="s">
        <v>3121</v>
      </c>
      <c r="G796" s="5"/>
      <c r="H796" s="5" t="s">
        <v>3240</v>
      </c>
      <c r="I796" s="5"/>
    </row>
    <row r="797" spans="1:9" x14ac:dyDescent="0.2">
      <c r="A797" s="5">
        <v>1</v>
      </c>
      <c r="B797" s="5" t="s">
        <v>3701</v>
      </c>
      <c r="C797" s="5" t="s">
        <v>2630</v>
      </c>
      <c r="D797" s="5" t="s">
        <v>2631</v>
      </c>
      <c r="E797" s="5" t="s">
        <v>219</v>
      </c>
      <c r="F797" s="5" t="s">
        <v>3121</v>
      </c>
      <c r="G797" s="5"/>
      <c r="H797" s="5" t="s">
        <v>3240</v>
      </c>
      <c r="I797" s="5"/>
    </row>
    <row r="798" spans="1:9" x14ac:dyDescent="0.2">
      <c r="A798" s="5">
        <v>1</v>
      </c>
      <c r="B798" s="5" t="s">
        <v>3690</v>
      </c>
      <c r="C798" s="5" t="s">
        <v>2643</v>
      </c>
      <c r="D798" s="5" t="s">
        <v>2644</v>
      </c>
      <c r="E798" s="5" t="s">
        <v>219</v>
      </c>
      <c r="F798" s="5" t="s">
        <v>3121</v>
      </c>
      <c r="G798" s="5"/>
      <c r="H798" s="5" t="s">
        <v>3240</v>
      </c>
      <c r="I798" s="5"/>
    </row>
    <row r="799" spans="1:9" x14ac:dyDescent="0.2">
      <c r="A799" s="5">
        <v>1</v>
      </c>
      <c r="B799" s="5" t="s">
        <v>3690</v>
      </c>
      <c r="C799" s="5" t="s">
        <v>362</v>
      </c>
      <c r="D799" s="5" t="s">
        <v>363</v>
      </c>
      <c r="E799" s="5" t="s">
        <v>219</v>
      </c>
      <c r="F799" s="5" t="s">
        <v>3228</v>
      </c>
      <c r="G799" s="5"/>
      <c r="H799" s="5" t="s">
        <v>3229</v>
      </c>
      <c r="I799" s="5"/>
    </row>
    <row r="800" spans="1:9" x14ac:dyDescent="0.2">
      <c r="A800" s="5">
        <v>1</v>
      </c>
      <c r="B800" s="5" t="s">
        <v>3690</v>
      </c>
      <c r="C800" s="5" t="s">
        <v>2469</v>
      </c>
      <c r="D800" s="5" t="s">
        <v>2470</v>
      </c>
      <c r="E800" s="5" t="s">
        <v>219</v>
      </c>
      <c r="F800" s="5" t="s">
        <v>3228</v>
      </c>
      <c r="G800" s="5"/>
      <c r="H800" s="5" t="s">
        <v>3229</v>
      </c>
      <c r="I800" s="5"/>
    </row>
    <row r="801" spans="1:9" x14ac:dyDescent="0.2">
      <c r="A801" s="5">
        <v>1</v>
      </c>
      <c r="B801" s="5" t="s">
        <v>3703</v>
      </c>
      <c r="C801" s="5" t="s">
        <v>2606</v>
      </c>
      <c r="D801" s="5" t="s">
        <v>2607</v>
      </c>
      <c r="E801" s="5" t="s">
        <v>219</v>
      </c>
      <c r="F801" s="5" t="s">
        <v>3228</v>
      </c>
      <c r="G801" s="5"/>
      <c r="H801" s="5" t="s">
        <v>3229</v>
      </c>
      <c r="I801" s="5"/>
    </row>
    <row r="802" spans="1:9" x14ac:dyDescent="0.2">
      <c r="A802" s="5">
        <v>1</v>
      </c>
      <c r="B802" s="5" t="s">
        <v>3690</v>
      </c>
      <c r="C802" s="5" t="s">
        <v>2643</v>
      </c>
      <c r="D802" s="5" t="s">
        <v>2644</v>
      </c>
      <c r="E802" s="5" t="s">
        <v>219</v>
      </c>
      <c r="F802" s="5" t="s">
        <v>3228</v>
      </c>
      <c r="G802" s="5"/>
      <c r="H802" s="5" t="s">
        <v>3229</v>
      </c>
      <c r="I802" s="5"/>
    </row>
    <row r="803" spans="1:9" x14ac:dyDescent="0.2">
      <c r="A803" s="5">
        <v>1</v>
      </c>
      <c r="B803" s="5" t="s">
        <v>3690</v>
      </c>
      <c r="C803" s="5" t="s">
        <v>2469</v>
      </c>
      <c r="D803" s="5" t="s">
        <v>2470</v>
      </c>
      <c r="E803" s="5" t="s">
        <v>219</v>
      </c>
      <c r="F803" s="5" t="s">
        <v>3128</v>
      </c>
      <c r="G803" s="5"/>
      <c r="H803" s="5" t="s">
        <v>3226</v>
      </c>
      <c r="I803" s="5"/>
    </row>
    <row r="804" spans="1:9" x14ac:dyDescent="0.2">
      <c r="A804" s="5">
        <v>1</v>
      </c>
      <c r="B804" s="5" t="s">
        <v>3703</v>
      </c>
      <c r="C804" s="5" t="s">
        <v>2606</v>
      </c>
      <c r="D804" s="5" t="s">
        <v>2607</v>
      </c>
      <c r="E804" s="5" t="s">
        <v>219</v>
      </c>
      <c r="F804" s="5" t="s">
        <v>3128</v>
      </c>
      <c r="G804" s="5"/>
      <c r="H804" s="5" t="s">
        <v>3226</v>
      </c>
      <c r="I804" s="5"/>
    </row>
    <row r="805" spans="1:9" x14ac:dyDescent="0.2">
      <c r="A805" s="5">
        <v>1</v>
      </c>
      <c r="B805" s="5" t="s">
        <v>3704</v>
      </c>
      <c r="C805" s="5" t="s">
        <v>2630</v>
      </c>
      <c r="D805" s="5" t="s">
        <v>2631</v>
      </c>
      <c r="E805" s="5" t="s">
        <v>219</v>
      </c>
      <c r="F805" s="5" t="s">
        <v>3128</v>
      </c>
      <c r="G805" s="5"/>
      <c r="H805" s="5" t="s">
        <v>3226</v>
      </c>
      <c r="I805" s="5"/>
    </row>
    <row r="806" spans="1:9" x14ac:dyDescent="0.2">
      <c r="A806" s="5">
        <v>1</v>
      </c>
      <c r="B806" s="5" t="s">
        <v>3690</v>
      </c>
      <c r="C806" s="5" t="s">
        <v>2643</v>
      </c>
      <c r="D806" s="5" t="s">
        <v>2644</v>
      </c>
      <c r="E806" s="5" t="s">
        <v>219</v>
      </c>
      <c r="F806" s="5" t="s">
        <v>3128</v>
      </c>
      <c r="G806" s="5"/>
      <c r="H806" s="5" t="s">
        <v>3226</v>
      </c>
      <c r="I806" s="5"/>
    </row>
    <row r="807" spans="1:9" x14ac:dyDescent="0.2">
      <c r="A807" s="5">
        <v>1</v>
      </c>
      <c r="B807" s="5" t="s">
        <v>3690</v>
      </c>
      <c r="C807" s="5" t="s">
        <v>362</v>
      </c>
      <c r="D807" s="5" t="s">
        <v>363</v>
      </c>
      <c r="E807" s="5" t="s">
        <v>219</v>
      </c>
      <c r="F807" s="5" t="s">
        <v>3117</v>
      </c>
      <c r="G807" s="5"/>
      <c r="H807" s="5" t="s">
        <v>3230</v>
      </c>
      <c r="I807" s="5"/>
    </row>
    <row r="808" spans="1:9" x14ac:dyDescent="0.2">
      <c r="A808" s="5">
        <v>1</v>
      </c>
      <c r="B808" s="5" t="s">
        <v>3705</v>
      </c>
      <c r="C808" s="5" t="s">
        <v>2433</v>
      </c>
      <c r="D808" s="5" t="s">
        <v>2434</v>
      </c>
      <c r="E808" s="5" t="s">
        <v>219</v>
      </c>
      <c r="F808" s="5" t="s">
        <v>3117</v>
      </c>
      <c r="G808" s="5"/>
      <c r="H808" s="5" t="s">
        <v>3230</v>
      </c>
      <c r="I808" s="5"/>
    </row>
    <row r="809" spans="1:9" x14ac:dyDescent="0.2">
      <c r="A809" s="5">
        <v>1</v>
      </c>
      <c r="B809" s="5" t="s">
        <v>3690</v>
      </c>
      <c r="C809" s="5" t="s">
        <v>2469</v>
      </c>
      <c r="D809" s="5" t="s">
        <v>2470</v>
      </c>
      <c r="E809" s="5" t="s">
        <v>219</v>
      </c>
      <c r="F809" s="5" t="s">
        <v>3117</v>
      </c>
      <c r="G809" s="5"/>
      <c r="H809" s="5" t="s">
        <v>3230</v>
      </c>
      <c r="I809" s="5"/>
    </row>
    <row r="810" spans="1:9" x14ac:dyDescent="0.2">
      <c r="A810" s="5">
        <v>1</v>
      </c>
      <c r="B810" s="5" t="s">
        <v>3706</v>
      </c>
      <c r="C810" s="5" t="s">
        <v>2606</v>
      </c>
      <c r="D810" s="5" t="s">
        <v>2607</v>
      </c>
      <c r="E810" s="5" t="s">
        <v>219</v>
      </c>
      <c r="F810" s="5" t="s">
        <v>3117</v>
      </c>
      <c r="G810" s="5"/>
      <c r="H810" s="5" t="s">
        <v>3230</v>
      </c>
      <c r="I810" s="5"/>
    </row>
    <row r="811" spans="1:9" x14ac:dyDescent="0.2">
      <c r="A811" s="5">
        <v>1</v>
      </c>
      <c r="B811" s="5" t="s">
        <v>3707</v>
      </c>
      <c r="C811" s="5" t="s">
        <v>2630</v>
      </c>
      <c r="D811" s="5" t="s">
        <v>2631</v>
      </c>
      <c r="E811" s="5" t="s">
        <v>219</v>
      </c>
      <c r="F811" s="5" t="s">
        <v>3117</v>
      </c>
      <c r="G811" s="5"/>
      <c r="H811" s="5" t="s">
        <v>3230</v>
      </c>
      <c r="I811" s="5"/>
    </row>
    <row r="812" spans="1:9" x14ac:dyDescent="0.2">
      <c r="A812" s="5">
        <v>1</v>
      </c>
      <c r="B812" s="5" t="s">
        <v>3690</v>
      </c>
      <c r="C812" s="5" t="s">
        <v>2643</v>
      </c>
      <c r="D812" s="5" t="s">
        <v>2644</v>
      </c>
      <c r="E812" s="5" t="s">
        <v>219</v>
      </c>
      <c r="F812" s="5" t="s">
        <v>3117</v>
      </c>
      <c r="G812" s="5"/>
      <c r="H812" s="5" t="s">
        <v>3230</v>
      </c>
      <c r="I812" s="5"/>
    </row>
    <row r="813" spans="1:9" x14ac:dyDescent="0.2">
      <c r="A813" s="5">
        <v>1</v>
      </c>
      <c r="B813" s="5" t="s">
        <v>3690</v>
      </c>
      <c r="C813" s="5" t="s">
        <v>362</v>
      </c>
      <c r="D813" s="5" t="s">
        <v>363</v>
      </c>
      <c r="E813" s="5" t="s">
        <v>219</v>
      </c>
      <c r="F813" s="5" t="s">
        <v>3116</v>
      </c>
      <c r="G813" s="5"/>
      <c r="H813" s="5" t="s">
        <v>3227</v>
      </c>
      <c r="I813" s="5"/>
    </row>
    <row r="814" spans="1:9" x14ac:dyDescent="0.2">
      <c r="A814" s="5">
        <v>1</v>
      </c>
      <c r="B814" s="5" t="s">
        <v>3705</v>
      </c>
      <c r="C814" s="5" t="s">
        <v>2433</v>
      </c>
      <c r="D814" s="5" t="s">
        <v>2434</v>
      </c>
      <c r="E814" s="5" t="s">
        <v>219</v>
      </c>
      <c r="F814" s="5" t="s">
        <v>3116</v>
      </c>
      <c r="G814" s="5"/>
      <c r="H814" s="5" t="s">
        <v>3227</v>
      </c>
      <c r="I814" s="5"/>
    </row>
    <row r="815" spans="1:9" x14ac:dyDescent="0.2">
      <c r="A815" s="5">
        <v>1</v>
      </c>
      <c r="B815" s="5" t="s">
        <v>3690</v>
      </c>
      <c r="C815" s="5" t="s">
        <v>2469</v>
      </c>
      <c r="D815" s="5" t="s">
        <v>2470</v>
      </c>
      <c r="E815" s="5" t="s">
        <v>219</v>
      </c>
      <c r="F815" s="5" t="s">
        <v>3116</v>
      </c>
      <c r="G815" s="5"/>
      <c r="H815" s="5" t="s">
        <v>3227</v>
      </c>
      <c r="I815" s="5"/>
    </row>
    <row r="816" spans="1:9" x14ac:dyDescent="0.2">
      <c r="A816" s="5">
        <v>1</v>
      </c>
      <c r="B816" s="5" t="s">
        <v>3708</v>
      </c>
      <c r="C816" s="5" t="s">
        <v>2606</v>
      </c>
      <c r="D816" s="5" t="s">
        <v>2607</v>
      </c>
      <c r="E816" s="5" t="s">
        <v>219</v>
      </c>
      <c r="F816" s="5" t="s">
        <v>3116</v>
      </c>
      <c r="G816" s="5"/>
      <c r="H816" s="5" t="s">
        <v>3227</v>
      </c>
      <c r="I816" s="5"/>
    </row>
    <row r="817" spans="1:9" x14ac:dyDescent="0.2">
      <c r="A817" s="5">
        <v>1</v>
      </c>
      <c r="B817" s="5" t="s">
        <v>3690</v>
      </c>
      <c r="C817" s="5" t="s">
        <v>2643</v>
      </c>
      <c r="D817" s="5" t="s">
        <v>2644</v>
      </c>
      <c r="E817" s="5" t="s">
        <v>219</v>
      </c>
      <c r="F817" s="5" t="s">
        <v>3116</v>
      </c>
      <c r="G817" s="5"/>
      <c r="H817" s="5" t="s">
        <v>3227</v>
      </c>
      <c r="I817" s="5"/>
    </row>
    <row r="818" spans="1:9" x14ac:dyDescent="0.2">
      <c r="A818" s="5">
        <v>1</v>
      </c>
      <c r="B818" s="5" t="s">
        <v>3690</v>
      </c>
      <c r="C818" s="5" t="s">
        <v>362</v>
      </c>
      <c r="D818" s="5" t="s">
        <v>363</v>
      </c>
      <c r="E818" s="5" t="s">
        <v>219</v>
      </c>
      <c r="F818" s="5" t="s">
        <v>3243</v>
      </c>
      <c r="G818" s="5"/>
      <c r="H818" s="5" t="s">
        <v>3231</v>
      </c>
      <c r="I818" s="5"/>
    </row>
    <row r="819" spans="1:9" x14ac:dyDescent="0.2">
      <c r="A819" s="5">
        <v>1</v>
      </c>
      <c r="B819" s="5" t="s">
        <v>3690</v>
      </c>
      <c r="C819" s="5" t="s">
        <v>2469</v>
      </c>
      <c r="D819" s="5" t="s">
        <v>2470</v>
      </c>
      <c r="E819" s="5" t="s">
        <v>219</v>
      </c>
      <c r="F819" s="5" t="s">
        <v>3243</v>
      </c>
      <c r="G819" s="5"/>
      <c r="H819" s="5" t="s">
        <v>3231</v>
      </c>
      <c r="I819" s="5"/>
    </row>
    <row r="820" spans="1:9" x14ac:dyDescent="0.2">
      <c r="A820" s="5">
        <v>1</v>
      </c>
      <c r="B820" s="5" t="s">
        <v>3709</v>
      </c>
      <c r="C820" s="5" t="s">
        <v>2606</v>
      </c>
      <c r="D820" s="5" t="s">
        <v>2607</v>
      </c>
      <c r="E820" s="5" t="s">
        <v>219</v>
      </c>
      <c r="F820" s="5" t="s">
        <v>3243</v>
      </c>
      <c r="G820" s="5"/>
      <c r="H820" s="5" t="s">
        <v>3231</v>
      </c>
      <c r="I820" s="5"/>
    </row>
    <row r="821" spans="1:9" x14ac:dyDescent="0.2">
      <c r="A821" s="5">
        <v>1</v>
      </c>
      <c r="B821" s="5" t="s">
        <v>3690</v>
      </c>
      <c r="C821" s="5" t="s">
        <v>2643</v>
      </c>
      <c r="D821" s="5" t="s">
        <v>2644</v>
      </c>
      <c r="E821" s="5" t="s">
        <v>219</v>
      </c>
      <c r="F821" s="5" t="s">
        <v>3243</v>
      </c>
      <c r="G821" s="5"/>
      <c r="H821" s="5" t="s">
        <v>3231</v>
      </c>
      <c r="I821" s="5"/>
    </row>
    <row r="822" spans="1:9" x14ac:dyDescent="0.2">
      <c r="A822" s="5">
        <v>1</v>
      </c>
      <c r="B822" s="5" t="s">
        <v>3690</v>
      </c>
      <c r="C822" s="5" t="s">
        <v>2469</v>
      </c>
      <c r="D822" s="5" t="s">
        <v>2470</v>
      </c>
      <c r="E822" s="5" t="s">
        <v>219</v>
      </c>
      <c r="F822" s="5" t="s">
        <v>3272</v>
      </c>
      <c r="G822" s="5"/>
      <c r="H822" s="5" t="s">
        <v>3273</v>
      </c>
      <c r="I822" s="5"/>
    </row>
    <row r="823" spans="1:9" x14ac:dyDescent="0.2">
      <c r="A823" s="5">
        <v>1</v>
      </c>
      <c r="B823" s="5" t="s">
        <v>3690</v>
      </c>
      <c r="C823" s="5" t="s">
        <v>2643</v>
      </c>
      <c r="D823" s="5" t="s">
        <v>2644</v>
      </c>
      <c r="E823" s="5" t="s">
        <v>219</v>
      </c>
      <c r="F823" s="5" t="s">
        <v>3272</v>
      </c>
      <c r="G823" s="5"/>
      <c r="H823" s="5" t="s">
        <v>3273</v>
      </c>
      <c r="I823" s="5"/>
    </row>
    <row r="824" spans="1:9" x14ac:dyDescent="0.2">
      <c r="A824" s="5">
        <v>1</v>
      </c>
      <c r="B824" s="5" t="s">
        <v>3690</v>
      </c>
      <c r="C824" s="5" t="s">
        <v>2469</v>
      </c>
      <c r="D824" s="5" t="s">
        <v>2470</v>
      </c>
      <c r="E824" s="5" t="s">
        <v>219</v>
      </c>
      <c r="F824" s="5" t="s">
        <v>3321</v>
      </c>
      <c r="G824" s="5"/>
      <c r="H824" s="5"/>
      <c r="I824" s="5"/>
    </row>
    <row r="825" spans="1:9" x14ac:dyDescent="0.2">
      <c r="A825" s="5">
        <v>1</v>
      </c>
      <c r="B825" s="5" t="s">
        <v>3690</v>
      </c>
      <c r="C825" s="5" t="s">
        <v>2643</v>
      </c>
      <c r="D825" s="5" t="s">
        <v>2644</v>
      </c>
      <c r="E825" s="5" t="s">
        <v>219</v>
      </c>
      <c r="F825" s="5" t="s">
        <v>3321</v>
      </c>
      <c r="G825" s="5"/>
      <c r="H825" s="5"/>
      <c r="I825" s="5"/>
    </row>
    <row r="826" spans="1:9" x14ac:dyDescent="0.2">
      <c r="A826" s="5">
        <v>1</v>
      </c>
      <c r="B826" s="5" t="s">
        <v>3690</v>
      </c>
      <c r="C826" s="5" t="s">
        <v>2643</v>
      </c>
      <c r="D826" s="5" t="s">
        <v>2644</v>
      </c>
      <c r="E826" s="5" t="s">
        <v>219</v>
      </c>
      <c r="F826" s="5" t="s">
        <v>3322</v>
      </c>
      <c r="G826" s="5"/>
      <c r="H826" s="5"/>
      <c r="I826" s="5"/>
    </row>
    <row r="827" spans="1:9" x14ac:dyDescent="0.2">
      <c r="A827" s="5">
        <v>1</v>
      </c>
      <c r="B827" s="5" t="s">
        <v>3690</v>
      </c>
      <c r="C827" s="5" t="s">
        <v>2643</v>
      </c>
      <c r="D827" s="5" t="s">
        <v>2644</v>
      </c>
      <c r="E827" s="5" t="s">
        <v>219</v>
      </c>
      <c r="F827" s="5" t="s">
        <v>3352</v>
      </c>
      <c r="G827" s="5"/>
      <c r="H827" s="5"/>
      <c r="I827" s="5"/>
    </row>
    <row r="828" spans="1:9" x14ac:dyDescent="0.2">
      <c r="A828" s="5">
        <v>1</v>
      </c>
      <c r="B828" s="5" t="s">
        <v>3690</v>
      </c>
      <c r="C828" s="5" t="s">
        <v>2469</v>
      </c>
      <c r="D828" s="5" t="s">
        <v>2470</v>
      </c>
      <c r="E828" s="5" t="s">
        <v>219</v>
      </c>
      <c r="F828" s="5" t="s">
        <v>3587</v>
      </c>
      <c r="G828" s="5" t="s">
        <v>3386</v>
      </c>
      <c r="H828" s="5"/>
      <c r="I828" s="5"/>
    </row>
    <row r="829" spans="1:9" x14ac:dyDescent="0.2">
      <c r="A829" s="5">
        <v>1</v>
      </c>
      <c r="B829" s="5" t="s">
        <v>3690</v>
      </c>
      <c r="C829" s="5" t="s">
        <v>2469</v>
      </c>
      <c r="D829" s="5" t="s">
        <v>2470</v>
      </c>
      <c r="E829" s="5" t="s">
        <v>219</v>
      </c>
      <c r="F829" s="5" t="s">
        <v>3587</v>
      </c>
      <c r="G829" s="5" t="s">
        <v>3387</v>
      </c>
      <c r="H829" s="5"/>
      <c r="I829" s="5"/>
    </row>
    <row r="830" spans="1:9" x14ac:dyDescent="0.2">
      <c r="A830" s="5">
        <v>1</v>
      </c>
      <c r="B830" s="5" t="s">
        <v>3710</v>
      </c>
      <c r="C830" s="5" t="s">
        <v>2606</v>
      </c>
      <c r="D830" s="5" t="s">
        <v>2607</v>
      </c>
      <c r="E830" s="5" t="s">
        <v>219</v>
      </c>
      <c r="F830" s="5" t="s">
        <v>3587</v>
      </c>
      <c r="G830" s="5" t="s">
        <v>3414</v>
      </c>
      <c r="H830" s="5"/>
      <c r="I830" s="5"/>
    </row>
    <row r="831" spans="1:9" x14ac:dyDescent="0.2">
      <c r="A831" s="5">
        <v>1</v>
      </c>
      <c r="B831" s="5" t="s">
        <v>3690</v>
      </c>
      <c r="C831" s="5" t="s">
        <v>362</v>
      </c>
      <c r="D831" s="5" t="s">
        <v>363</v>
      </c>
      <c r="E831" s="5" t="s">
        <v>219</v>
      </c>
      <c r="F831" s="5" t="s">
        <v>3570</v>
      </c>
      <c r="G831" s="5" t="s">
        <v>3562</v>
      </c>
      <c r="H831" s="5"/>
      <c r="I831" s="5"/>
    </row>
    <row r="832" spans="1:9" x14ac:dyDescent="0.2">
      <c r="A832" s="5">
        <v>1</v>
      </c>
      <c r="B832" s="5" t="s">
        <v>3690</v>
      </c>
      <c r="C832" s="5" t="s">
        <v>362</v>
      </c>
      <c r="D832" s="5" t="s">
        <v>363</v>
      </c>
      <c r="E832" s="5" t="s">
        <v>219</v>
      </c>
      <c r="F832" s="5" t="s">
        <v>3570</v>
      </c>
      <c r="G832" s="5" t="s">
        <v>3563</v>
      </c>
      <c r="H832" s="5"/>
      <c r="I832" s="5"/>
    </row>
    <row r="833" spans="1:9" x14ac:dyDescent="0.2">
      <c r="A833" s="5">
        <v>1</v>
      </c>
      <c r="B833" s="5" t="s">
        <v>3690</v>
      </c>
      <c r="C833" s="5" t="s">
        <v>362</v>
      </c>
      <c r="D833" s="5" t="s">
        <v>363</v>
      </c>
      <c r="E833" s="5" t="s">
        <v>219</v>
      </c>
      <c r="F833" s="5" t="s">
        <v>3570</v>
      </c>
      <c r="G833" s="5" t="s">
        <v>3564</v>
      </c>
      <c r="H833" s="5"/>
      <c r="I833" s="5"/>
    </row>
    <row r="834" spans="1:9" x14ac:dyDescent="0.2">
      <c r="A834" s="5">
        <v>1</v>
      </c>
      <c r="B834" s="5" t="s">
        <v>3690</v>
      </c>
      <c r="C834" s="5" t="s">
        <v>362</v>
      </c>
      <c r="D834" s="5" t="s">
        <v>363</v>
      </c>
      <c r="E834" s="5" t="s">
        <v>219</v>
      </c>
      <c r="F834" s="5" t="s">
        <v>3570</v>
      </c>
      <c r="G834" s="5" t="s">
        <v>3565</v>
      </c>
      <c r="H834" s="5"/>
      <c r="I834" s="5"/>
    </row>
    <row r="835" spans="1:9" x14ac:dyDescent="0.2">
      <c r="A835" s="5">
        <v>1</v>
      </c>
      <c r="B835" s="5" t="s">
        <v>3690</v>
      </c>
      <c r="C835" s="5" t="s">
        <v>362</v>
      </c>
      <c r="D835" s="5" t="s">
        <v>363</v>
      </c>
      <c r="E835" s="5" t="s">
        <v>219</v>
      </c>
      <c r="F835" s="5" t="s">
        <v>3570</v>
      </c>
      <c r="G835" s="5" t="s">
        <v>3566</v>
      </c>
      <c r="H835" s="5"/>
      <c r="I835" s="5"/>
    </row>
    <row r="836" spans="1:9" x14ac:dyDescent="0.2">
      <c r="A836" s="5">
        <v>1</v>
      </c>
      <c r="B836" s="5" t="s">
        <v>3690</v>
      </c>
      <c r="C836" s="5" t="s">
        <v>362</v>
      </c>
      <c r="D836" s="5" t="s">
        <v>363</v>
      </c>
      <c r="E836" s="5" t="s">
        <v>219</v>
      </c>
      <c r="F836" s="5" t="s">
        <v>3570</v>
      </c>
      <c r="G836" s="5" t="s">
        <v>3567</v>
      </c>
      <c r="H836" s="5"/>
      <c r="I836" s="5"/>
    </row>
    <row r="837" spans="1:9" x14ac:dyDescent="0.2">
      <c r="A837" s="5">
        <v>1</v>
      </c>
      <c r="B837" s="5" t="s">
        <v>3690</v>
      </c>
      <c r="C837" s="5" t="s">
        <v>362</v>
      </c>
      <c r="D837" s="5" t="s">
        <v>363</v>
      </c>
      <c r="E837" s="5" t="s">
        <v>219</v>
      </c>
      <c r="F837" s="5" t="s">
        <v>3570</v>
      </c>
      <c r="G837" s="5" t="s">
        <v>3568</v>
      </c>
      <c r="H837" s="5"/>
      <c r="I837" s="5"/>
    </row>
    <row r="838" spans="1:9" x14ac:dyDescent="0.2">
      <c r="A838" s="5">
        <v>1</v>
      </c>
      <c r="B838" s="5" t="s">
        <v>3710</v>
      </c>
      <c r="C838" s="5" t="s">
        <v>2433</v>
      </c>
      <c r="D838" s="5" t="s">
        <v>2434</v>
      </c>
      <c r="E838" s="5" t="s">
        <v>219</v>
      </c>
      <c r="F838" s="5" t="s">
        <v>3570</v>
      </c>
      <c r="G838" s="5" t="s">
        <v>3592</v>
      </c>
      <c r="H838" s="5"/>
      <c r="I838" s="5"/>
    </row>
    <row r="839" spans="1:9" x14ac:dyDescent="0.2">
      <c r="A839" s="5">
        <v>1</v>
      </c>
      <c r="B839" s="5" t="s">
        <v>3710</v>
      </c>
      <c r="C839" s="5" t="s">
        <v>2433</v>
      </c>
      <c r="D839" s="5" t="s">
        <v>2434</v>
      </c>
      <c r="E839" s="5" t="s">
        <v>219</v>
      </c>
      <c r="F839" s="5" t="s">
        <v>3570</v>
      </c>
      <c r="G839" s="5" t="s">
        <v>3384</v>
      </c>
      <c r="H839" s="5"/>
      <c r="I839" s="5"/>
    </row>
    <row r="840" spans="1:9" x14ac:dyDescent="0.2">
      <c r="A840" s="5">
        <v>1</v>
      </c>
      <c r="B840" s="5" t="s">
        <v>3690</v>
      </c>
      <c r="C840" s="5" t="s">
        <v>2469</v>
      </c>
      <c r="D840" s="5" t="s">
        <v>2470</v>
      </c>
      <c r="E840" s="5" t="s">
        <v>219</v>
      </c>
      <c r="F840" s="5" t="s">
        <v>3570</v>
      </c>
      <c r="G840" s="5" t="s">
        <v>3386</v>
      </c>
      <c r="H840" s="5"/>
      <c r="I840" s="5"/>
    </row>
    <row r="841" spans="1:9" x14ac:dyDescent="0.2">
      <c r="A841" s="5">
        <v>1</v>
      </c>
      <c r="B841" s="5" t="s">
        <v>3690</v>
      </c>
      <c r="C841" s="5" t="s">
        <v>2469</v>
      </c>
      <c r="D841" s="5" t="s">
        <v>2470</v>
      </c>
      <c r="E841" s="5" t="s">
        <v>219</v>
      </c>
      <c r="F841" s="5" t="s">
        <v>3570</v>
      </c>
      <c r="G841" s="5" t="s">
        <v>3387</v>
      </c>
      <c r="H841" s="5"/>
      <c r="I841" s="5"/>
    </row>
    <row r="842" spans="1:9" x14ac:dyDescent="0.2">
      <c r="A842" s="5">
        <v>1</v>
      </c>
      <c r="B842" s="5" t="s">
        <v>3710</v>
      </c>
      <c r="C842" s="5" t="s">
        <v>2606</v>
      </c>
      <c r="D842" s="5" t="s">
        <v>2607</v>
      </c>
      <c r="E842" s="5" t="s">
        <v>219</v>
      </c>
      <c r="F842" s="5" t="s">
        <v>3570</v>
      </c>
      <c r="G842" s="5" t="s">
        <v>3410</v>
      </c>
      <c r="H842" s="5"/>
      <c r="I842" s="5"/>
    </row>
    <row r="843" spans="1:9" x14ac:dyDescent="0.2">
      <c r="A843" s="5">
        <v>1</v>
      </c>
      <c r="B843" s="5" t="s">
        <v>3710</v>
      </c>
      <c r="C843" s="5" t="s">
        <v>2606</v>
      </c>
      <c r="D843" s="5" t="s">
        <v>2607</v>
      </c>
      <c r="E843" s="5" t="s">
        <v>219</v>
      </c>
      <c r="F843" s="5" t="s">
        <v>3570</v>
      </c>
      <c r="G843" s="5" t="s">
        <v>3412</v>
      </c>
      <c r="H843" s="5"/>
      <c r="I843" s="5"/>
    </row>
    <row r="844" spans="1:9" x14ac:dyDescent="0.2">
      <c r="A844" s="5">
        <v>1</v>
      </c>
      <c r="B844" s="5" t="s">
        <v>3710</v>
      </c>
      <c r="C844" s="5" t="s">
        <v>2606</v>
      </c>
      <c r="D844" s="5" t="s">
        <v>2607</v>
      </c>
      <c r="E844" s="5" t="s">
        <v>219</v>
      </c>
      <c r="F844" s="5" t="s">
        <v>3570</v>
      </c>
      <c r="G844" s="5" t="s">
        <v>3414</v>
      </c>
      <c r="H844" s="5"/>
      <c r="I844" s="5"/>
    </row>
    <row r="845" spans="1:9" x14ac:dyDescent="0.2">
      <c r="A845" s="5">
        <v>1</v>
      </c>
      <c r="B845" s="5" t="s">
        <v>3710</v>
      </c>
      <c r="C845" s="5" t="s">
        <v>2630</v>
      </c>
      <c r="D845" s="5" t="s">
        <v>2631</v>
      </c>
      <c r="E845" s="5" t="s">
        <v>219</v>
      </c>
      <c r="F845" s="5" t="s">
        <v>3570</v>
      </c>
      <c r="G845" s="5" t="s">
        <v>3417</v>
      </c>
      <c r="H845" s="5"/>
      <c r="I845" s="5"/>
    </row>
    <row r="846" spans="1:9" x14ac:dyDescent="0.2">
      <c r="A846" s="5">
        <v>1</v>
      </c>
      <c r="B846" s="5" t="s">
        <v>3710</v>
      </c>
      <c r="C846" s="5" t="s">
        <v>2630</v>
      </c>
      <c r="D846" s="5" t="s">
        <v>2631</v>
      </c>
      <c r="E846" s="5" t="s">
        <v>219</v>
      </c>
      <c r="F846" s="5" t="s">
        <v>3570</v>
      </c>
      <c r="G846" s="5" t="s">
        <v>3596</v>
      </c>
      <c r="H846" s="5"/>
      <c r="I846" s="5"/>
    </row>
    <row r="847" spans="1:9" x14ac:dyDescent="0.2">
      <c r="A847" s="5">
        <v>1</v>
      </c>
      <c r="B847" s="5" t="s">
        <v>3690</v>
      </c>
      <c r="C847" s="5" t="s">
        <v>2643</v>
      </c>
      <c r="D847" s="5" t="s">
        <v>2644</v>
      </c>
      <c r="E847" s="5" t="s">
        <v>219</v>
      </c>
      <c r="F847" s="5" t="s">
        <v>3570</v>
      </c>
      <c r="G847" s="5" t="s">
        <v>3597</v>
      </c>
      <c r="H847" s="5"/>
      <c r="I847" s="5"/>
    </row>
    <row r="848" spans="1:9" x14ac:dyDescent="0.2">
      <c r="A848" s="5">
        <v>1</v>
      </c>
      <c r="B848" s="5" t="s">
        <v>3690</v>
      </c>
      <c r="C848" s="5" t="s">
        <v>2643</v>
      </c>
      <c r="D848" s="5" t="s">
        <v>2644</v>
      </c>
      <c r="E848" s="5" t="s">
        <v>219</v>
      </c>
      <c r="F848" s="5" t="s">
        <v>3570</v>
      </c>
      <c r="G848" s="5" t="s">
        <v>3598</v>
      </c>
      <c r="H848" s="5"/>
      <c r="I848" s="5"/>
    </row>
    <row r="849" spans="1:9" x14ac:dyDescent="0.2">
      <c r="A849" s="5">
        <v>1</v>
      </c>
      <c r="B849" s="5" t="s">
        <v>3711</v>
      </c>
      <c r="C849" s="5" t="s">
        <v>2753</v>
      </c>
      <c r="D849" s="5" t="s">
        <v>3034</v>
      </c>
      <c r="E849" s="5" t="s">
        <v>219</v>
      </c>
      <c r="F849" s="5" t="s">
        <v>3570</v>
      </c>
      <c r="G849" s="5" t="s">
        <v>3613</v>
      </c>
      <c r="H849" s="5"/>
      <c r="I849" s="5"/>
    </row>
    <row r="850" spans="1:9" x14ac:dyDescent="0.2">
      <c r="A850" s="5">
        <v>1</v>
      </c>
      <c r="B850" s="5" t="s">
        <v>3710</v>
      </c>
      <c r="C850" s="5" t="s">
        <v>2791</v>
      </c>
      <c r="D850" s="5" t="s">
        <v>2792</v>
      </c>
      <c r="E850" s="5" t="s">
        <v>219</v>
      </c>
      <c r="F850" s="5" t="s">
        <v>3570</v>
      </c>
      <c r="G850" s="5" t="s">
        <v>3450</v>
      </c>
      <c r="H850" s="5"/>
      <c r="I850" s="5"/>
    </row>
    <row r="851" spans="1:9" x14ac:dyDescent="0.2">
      <c r="A851" s="5">
        <v>1</v>
      </c>
      <c r="B851" s="5" t="s">
        <v>3690</v>
      </c>
      <c r="C851" s="5" t="s">
        <v>362</v>
      </c>
      <c r="D851" s="5" t="s">
        <v>363</v>
      </c>
      <c r="E851" s="5" t="s">
        <v>219</v>
      </c>
      <c r="F851" s="5" t="s">
        <v>3569</v>
      </c>
      <c r="G851" s="5" t="s">
        <v>3561</v>
      </c>
      <c r="H851" s="5"/>
      <c r="I851" s="5"/>
    </row>
    <row r="852" spans="1:9" x14ac:dyDescent="0.2">
      <c r="A852" s="5">
        <v>1</v>
      </c>
      <c r="B852" s="5" t="s">
        <v>3690</v>
      </c>
      <c r="C852" s="5" t="s">
        <v>362</v>
      </c>
      <c r="D852" s="5" t="s">
        <v>363</v>
      </c>
      <c r="E852" s="5" t="s">
        <v>219</v>
      </c>
      <c r="F852" s="5" t="s">
        <v>3569</v>
      </c>
      <c r="G852" s="5" t="s">
        <v>3562</v>
      </c>
      <c r="H852" s="5"/>
      <c r="I852" s="5"/>
    </row>
    <row r="853" spans="1:9" x14ac:dyDescent="0.2">
      <c r="A853" s="5">
        <v>1</v>
      </c>
      <c r="B853" s="5" t="s">
        <v>3690</v>
      </c>
      <c r="C853" s="5" t="s">
        <v>362</v>
      </c>
      <c r="D853" s="5" t="s">
        <v>363</v>
      </c>
      <c r="E853" s="5" t="s">
        <v>219</v>
      </c>
      <c r="F853" s="5" t="s">
        <v>3569</v>
      </c>
      <c r="G853" s="5" t="s">
        <v>3563</v>
      </c>
      <c r="H853" s="5"/>
      <c r="I853" s="5"/>
    </row>
    <row r="854" spans="1:9" x14ac:dyDescent="0.2">
      <c r="A854" s="5">
        <v>1</v>
      </c>
      <c r="B854" s="5" t="s">
        <v>3690</v>
      </c>
      <c r="C854" s="5" t="s">
        <v>362</v>
      </c>
      <c r="D854" s="5" t="s">
        <v>363</v>
      </c>
      <c r="E854" s="5" t="s">
        <v>219</v>
      </c>
      <c r="F854" s="5" t="s">
        <v>3569</v>
      </c>
      <c r="G854" s="5" t="s">
        <v>3564</v>
      </c>
      <c r="H854" s="5"/>
      <c r="I854" s="5"/>
    </row>
    <row r="855" spans="1:9" x14ac:dyDescent="0.2">
      <c r="A855" s="5">
        <v>1</v>
      </c>
      <c r="B855" s="5" t="s">
        <v>3690</v>
      </c>
      <c r="C855" s="5" t="s">
        <v>362</v>
      </c>
      <c r="D855" s="5" t="s">
        <v>363</v>
      </c>
      <c r="E855" s="5" t="s">
        <v>219</v>
      </c>
      <c r="F855" s="5" t="s">
        <v>3569</v>
      </c>
      <c r="G855" s="5" t="s">
        <v>3565</v>
      </c>
      <c r="H855" s="5"/>
      <c r="I855" s="5"/>
    </row>
    <row r="856" spans="1:9" x14ac:dyDescent="0.2">
      <c r="A856" s="5">
        <v>1</v>
      </c>
      <c r="B856" s="5" t="s">
        <v>3712</v>
      </c>
      <c r="C856" s="5" t="s">
        <v>2779</v>
      </c>
      <c r="D856" s="5" t="s">
        <v>2780</v>
      </c>
      <c r="E856" s="5" t="s">
        <v>219</v>
      </c>
      <c r="F856" s="5" t="s">
        <v>2901</v>
      </c>
      <c r="G856" s="5"/>
      <c r="H856" s="5"/>
      <c r="I856" s="5"/>
    </row>
    <row r="857" spans="1:9" x14ac:dyDescent="0.2">
      <c r="A857" s="5">
        <v>1</v>
      </c>
      <c r="B857" s="5" t="s">
        <v>3690</v>
      </c>
      <c r="C857" s="5" t="s">
        <v>362</v>
      </c>
      <c r="D857" s="5" t="s">
        <v>363</v>
      </c>
      <c r="E857" s="5" t="s">
        <v>219</v>
      </c>
      <c r="F857" s="5" t="s">
        <v>2984</v>
      </c>
      <c r="G857" s="5" t="s">
        <v>3104</v>
      </c>
      <c r="H857" s="5"/>
      <c r="I857" s="5"/>
    </row>
    <row r="858" spans="1:9" x14ac:dyDescent="0.2">
      <c r="A858" s="5">
        <v>1</v>
      </c>
      <c r="B858" s="5" t="s">
        <v>3690</v>
      </c>
      <c r="C858" s="5" t="s">
        <v>362</v>
      </c>
      <c r="D858" s="5" t="s">
        <v>363</v>
      </c>
      <c r="E858" s="5" t="s">
        <v>219</v>
      </c>
      <c r="F858" s="5" t="s">
        <v>2984</v>
      </c>
      <c r="G858" s="5" t="s">
        <v>3105</v>
      </c>
      <c r="H858" s="5"/>
      <c r="I858" s="5"/>
    </row>
    <row r="859" spans="1:9" x14ac:dyDescent="0.2">
      <c r="A859" s="5">
        <v>1</v>
      </c>
      <c r="B859" s="5" t="s">
        <v>3713</v>
      </c>
      <c r="C859" s="5" t="s">
        <v>2380</v>
      </c>
      <c r="D859" s="5" t="s">
        <v>2381</v>
      </c>
      <c r="E859" s="5" t="s">
        <v>219</v>
      </c>
      <c r="F859" s="5" t="s">
        <v>2984</v>
      </c>
      <c r="G859" s="5" t="s">
        <v>3372</v>
      </c>
      <c r="H859" s="5"/>
      <c r="I859" s="5"/>
    </row>
    <row r="860" spans="1:9" x14ac:dyDescent="0.2">
      <c r="A860" s="5">
        <v>1</v>
      </c>
      <c r="B860" s="5" t="s">
        <v>3713</v>
      </c>
      <c r="C860" s="5" t="s">
        <v>2380</v>
      </c>
      <c r="D860" s="5" t="s">
        <v>2381</v>
      </c>
      <c r="E860" s="5" t="s">
        <v>219</v>
      </c>
      <c r="F860" s="5" t="s">
        <v>2984</v>
      </c>
      <c r="G860" s="5" t="s">
        <v>3373</v>
      </c>
      <c r="H860" s="5"/>
      <c r="I860" s="5"/>
    </row>
    <row r="861" spans="1:9" x14ac:dyDescent="0.2">
      <c r="A861" s="5">
        <v>1</v>
      </c>
      <c r="B861" s="5" t="s">
        <v>3713</v>
      </c>
      <c r="C861" s="5" t="s">
        <v>2380</v>
      </c>
      <c r="D861" s="5" t="s">
        <v>2381</v>
      </c>
      <c r="E861" s="5" t="s">
        <v>219</v>
      </c>
      <c r="F861" s="5" t="s">
        <v>2984</v>
      </c>
      <c r="G861" s="5" t="s">
        <v>3374</v>
      </c>
      <c r="H861" s="5"/>
      <c r="I861" s="5"/>
    </row>
    <row r="862" spans="1:9" x14ac:dyDescent="0.2">
      <c r="A862" s="5">
        <v>1</v>
      </c>
      <c r="B862" s="5" t="s">
        <v>3710</v>
      </c>
      <c r="C862" s="5" t="s">
        <v>2433</v>
      </c>
      <c r="D862" s="5" t="s">
        <v>2434</v>
      </c>
      <c r="E862" s="5" t="s">
        <v>219</v>
      </c>
      <c r="F862" s="5" t="s">
        <v>2984</v>
      </c>
      <c r="G862" s="5" t="s">
        <v>3384</v>
      </c>
      <c r="H862" s="5"/>
      <c r="I862" s="5"/>
    </row>
    <row r="863" spans="1:9" x14ac:dyDescent="0.2">
      <c r="A863" s="5">
        <v>1</v>
      </c>
      <c r="B863" s="5" t="s">
        <v>3690</v>
      </c>
      <c r="C863" s="5" t="s">
        <v>2469</v>
      </c>
      <c r="D863" s="5" t="s">
        <v>2470</v>
      </c>
      <c r="E863" s="5" t="s">
        <v>219</v>
      </c>
      <c r="F863" s="5" t="s">
        <v>2984</v>
      </c>
      <c r="G863" s="5" t="s">
        <v>3386</v>
      </c>
      <c r="H863" s="5"/>
      <c r="I863" s="5"/>
    </row>
    <row r="864" spans="1:9" x14ac:dyDescent="0.2">
      <c r="A864" s="5">
        <v>1</v>
      </c>
      <c r="B864" s="5" t="s">
        <v>3690</v>
      </c>
      <c r="C864" s="5" t="s">
        <v>2469</v>
      </c>
      <c r="D864" s="5" t="s">
        <v>2470</v>
      </c>
      <c r="E864" s="5" t="s">
        <v>219</v>
      </c>
      <c r="F864" s="5" t="s">
        <v>2984</v>
      </c>
      <c r="G864" s="5" t="s">
        <v>3387</v>
      </c>
      <c r="H864" s="5"/>
      <c r="I864" s="5"/>
    </row>
    <row r="865" spans="1:9" x14ac:dyDescent="0.2">
      <c r="A865" s="5">
        <v>1</v>
      </c>
      <c r="B865" s="5" t="s">
        <v>1152</v>
      </c>
      <c r="C865" s="5" t="s">
        <v>2606</v>
      </c>
      <c r="D865" s="5" t="s">
        <v>2607</v>
      </c>
      <c r="E865" s="5" t="s">
        <v>219</v>
      </c>
      <c r="F865" s="5" t="s">
        <v>2984</v>
      </c>
      <c r="G865" s="5" t="s">
        <v>3410</v>
      </c>
      <c r="H865" s="5"/>
      <c r="I865" s="5"/>
    </row>
    <row r="866" spans="1:9" x14ac:dyDescent="0.2">
      <c r="A866" s="5">
        <v>1</v>
      </c>
      <c r="B866" s="5" t="s">
        <v>1152</v>
      </c>
      <c r="C866" s="5" t="s">
        <v>2606</v>
      </c>
      <c r="D866" s="5" t="s">
        <v>2607</v>
      </c>
      <c r="E866" s="5" t="s">
        <v>219</v>
      </c>
      <c r="F866" s="5" t="s">
        <v>2984</v>
      </c>
      <c r="G866" s="5" t="s">
        <v>3411</v>
      </c>
      <c r="H866" s="5"/>
      <c r="I866" s="5"/>
    </row>
    <row r="867" spans="1:9" x14ac:dyDescent="0.2">
      <c r="A867" s="5">
        <v>1</v>
      </c>
      <c r="B867" s="5" t="s">
        <v>1152</v>
      </c>
      <c r="C867" s="5" t="s">
        <v>2606</v>
      </c>
      <c r="D867" s="5" t="s">
        <v>2607</v>
      </c>
      <c r="E867" s="5" t="s">
        <v>219</v>
      </c>
      <c r="F867" s="5" t="s">
        <v>2984</v>
      </c>
      <c r="G867" s="5" t="s">
        <v>3412</v>
      </c>
      <c r="H867" s="5"/>
      <c r="I867" s="5"/>
    </row>
    <row r="868" spans="1:9" x14ac:dyDescent="0.2">
      <c r="A868" s="5">
        <v>1</v>
      </c>
      <c r="B868" s="5" t="s">
        <v>1152</v>
      </c>
      <c r="C868" s="5" t="s">
        <v>2606</v>
      </c>
      <c r="D868" s="5" t="s">
        <v>2607</v>
      </c>
      <c r="E868" s="5" t="s">
        <v>219</v>
      </c>
      <c r="F868" s="5" t="s">
        <v>2984</v>
      </c>
      <c r="G868" s="5" t="s">
        <v>3414</v>
      </c>
      <c r="H868" s="5"/>
      <c r="I868" s="5"/>
    </row>
    <row r="869" spans="1:9" x14ac:dyDescent="0.2">
      <c r="A869" s="5">
        <v>1</v>
      </c>
      <c r="B869" s="5" t="s">
        <v>1152</v>
      </c>
      <c r="C869" s="5" t="s">
        <v>2606</v>
      </c>
      <c r="D869" s="5" t="s">
        <v>2607</v>
      </c>
      <c r="E869" s="5" t="s">
        <v>219</v>
      </c>
      <c r="F869" s="5" t="s">
        <v>2984</v>
      </c>
      <c r="G869" s="5" t="s">
        <v>3415</v>
      </c>
      <c r="H869" s="5"/>
      <c r="I869" s="5"/>
    </row>
    <row r="870" spans="1:9" x14ac:dyDescent="0.2">
      <c r="A870" s="5">
        <v>1</v>
      </c>
      <c r="B870" s="5" t="s">
        <v>3710</v>
      </c>
      <c r="C870" s="5" t="s">
        <v>2630</v>
      </c>
      <c r="D870" s="5" t="s">
        <v>2631</v>
      </c>
      <c r="E870" s="5" t="s">
        <v>219</v>
      </c>
      <c r="F870" s="5" t="s">
        <v>2984</v>
      </c>
      <c r="G870" s="5" t="s">
        <v>3417</v>
      </c>
      <c r="H870" s="5"/>
      <c r="I870" s="5"/>
    </row>
    <row r="871" spans="1:9" x14ac:dyDescent="0.2">
      <c r="A871" s="5">
        <v>1</v>
      </c>
      <c r="B871" s="5" t="s">
        <v>3710</v>
      </c>
      <c r="C871" s="5" t="s">
        <v>2791</v>
      </c>
      <c r="D871" s="5" t="s">
        <v>2792</v>
      </c>
      <c r="E871" s="5" t="s">
        <v>219</v>
      </c>
      <c r="F871" s="5" t="s">
        <v>2984</v>
      </c>
      <c r="G871" s="5" t="s">
        <v>3450</v>
      </c>
      <c r="H871" s="5"/>
      <c r="I871" s="5"/>
    </row>
    <row r="872" spans="1:9" x14ac:dyDescent="0.2">
      <c r="A872" s="5">
        <v>1</v>
      </c>
      <c r="B872" s="5" t="s">
        <v>1152</v>
      </c>
      <c r="C872" s="5" t="s">
        <v>2606</v>
      </c>
      <c r="D872" s="5" t="s">
        <v>2607</v>
      </c>
      <c r="E872" s="5" t="s">
        <v>219</v>
      </c>
      <c r="F872" s="5" t="s">
        <v>3194</v>
      </c>
      <c r="G872" s="5" t="s">
        <v>3413</v>
      </c>
      <c r="H872" s="5"/>
      <c r="I872" s="5"/>
    </row>
    <row r="873" spans="1:9" x14ac:dyDescent="0.2">
      <c r="A873" s="5">
        <v>1</v>
      </c>
      <c r="B873" s="5" t="s">
        <v>3690</v>
      </c>
      <c r="C873" s="5" t="s">
        <v>362</v>
      </c>
      <c r="D873" s="5" t="s">
        <v>363</v>
      </c>
      <c r="E873" s="5" t="s">
        <v>219</v>
      </c>
      <c r="F873" s="5" t="s">
        <v>3124</v>
      </c>
      <c r="G873" s="5" t="s">
        <v>3106</v>
      </c>
      <c r="H873" s="5"/>
      <c r="I873" s="5"/>
    </row>
    <row r="874" spans="1:9" x14ac:dyDescent="0.2">
      <c r="A874" s="5">
        <v>1</v>
      </c>
      <c r="B874" s="5" t="s">
        <v>3690</v>
      </c>
      <c r="C874" s="5" t="s">
        <v>362</v>
      </c>
      <c r="D874" s="5" t="s">
        <v>363</v>
      </c>
      <c r="E874" s="5" t="s">
        <v>219</v>
      </c>
      <c r="F874" s="5" t="s">
        <v>3124</v>
      </c>
      <c r="G874" s="5" t="s">
        <v>3108</v>
      </c>
      <c r="H874" s="5"/>
      <c r="I874" s="5"/>
    </row>
    <row r="875" spans="1:9" x14ac:dyDescent="0.2">
      <c r="A875" s="5">
        <v>1</v>
      </c>
      <c r="B875" s="5" t="s">
        <v>3690</v>
      </c>
      <c r="C875" s="5" t="s">
        <v>362</v>
      </c>
      <c r="D875" s="5" t="s">
        <v>363</v>
      </c>
      <c r="E875" s="5" t="s">
        <v>219</v>
      </c>
      <c r="F875" s="5" t="s">
        <v>3123</v>
      </c>
      <c r="G875" s="5" t="s">
        <v>3103</v>
      </c>
      <c r="H875" s="5"/>
      <c r="I875" s="5"/>
    </row>
    <row r="876" spans="1:9" x14ac:dyDescent="0.2">
      <c r="A876" s="5">
        <v>1</v>
      </c>
      <c r="B876" s="5" t="s">
        <v>3714</v>
      </c>
      <c r="C876" s="5" t="s">
        <v>2433</v>
      </c>
      <c r="D876" s="5" t="s">
        <v>2434</v>
      </c>
      <c r="E876" s="5" t="s">
        <v>219</v>
      </c>
      <c r="F876" s="5" t="s">
        <v>3123</v>
      </c>
      <c r="G876" s="5" t="s">
        <v>3666</v>
      </c>
      <c r="H876" s="5"/>
      <c r="I876" s="5"/>
    </row>
    <row r="877" spans="1:9" x14ac:dyDescent="0.2">
      <c r="A877" s="5">
        <v>1</v>
      </c>
      <c r="B877" s="5" t="s">
        <v>3690</v>
      </c>
      <c r="C877" s="5" t="s">
        <v>2643</v>
      </c>
      <c r="D877" s="5" t="s">
        <v>2644</v>
      </c>
      <c r="E877" s="5" t="s">
        <v>219</v>
      </c>
      <c r="F877" s="5" t="s">
        <v>3291</v>
      </c>
      <c r="G877" s="5" t="s">
        <v>3419</v>
      </c>
      <c r="H877" s="5" t="s">
        <v>3418</v>
      </c>
      <c r="I877" s="5"/>
    </row>
    <row r="878" spans="1:9" x14ac:dyDescent="0.2">
      <c r="A878" s="5">
        <v>1</v>
      </c>
      <c r="B878" s="5" t="s">
        <v>3715</v>
      </c>
      <c r="C878" s="5" t="s">
        <v>2433</v>
      </c>
      <c r="D878" s="5" t="s">
        <v>2434</v>
      </c>
      <c r="E878" s="5" t="s">
        <v>219</v>
      </c>
      <c r="F878" s="5" t="s">
        <v>3165</v>
      </c>
      <c r="G878" s="5" t="s">
        <v>3385</v>
      </c>
      <c r="H878" s="5" t="s">
        <v>3383</v>
      </c>
      <c r="I878" s="5"/>
    </row>
    <row r="879" spans="1:9" x14ac:dyDescent="0.2">
      <c r="A879" s="5">
        <v>1</v>
      </c>
      <c r="B879" s="5" t="s">
        <v>3690</v>
      </c>
      <c r="C879" s="5" t="s">
        <v>362</v>
      </c>
      <c r="D879" s="5" t="s">
        <v>363</v>
      </c>
      <c r="E879" s="5" t="s">
        <v>219</v>
      </c>
      <c r="F879" s="5" t="s">
        <v>3110</v>
      </c>
      <c r="G879" s="5" t="s">
        <v>3111</v>
      </c>
      <c r="H879" s="5" t="s">
        <v>3087</v>
      </c>
      <c r="I879" s="5"/>
    </row>
    <row r="880" spans="1:9" x14ac:dyDescent="0.2">
      <c r="A880" s="5">
        <v>1</v>
      </c>
      <c r="B880" s="5" t="s">
        <v>3690</v>
      </c>
      <c r="C880" s="5" t="s">
        <v>362</v>
      </c>
      <c r="D880" s="5" t="s">
        <v>363</v>
      </c>
      <c r="E880" s="5" t="s">
        <v>219</v>
      </c>
      <c r="F880" s="5" t="s">
        <v>3112</v>
      </c>
      <c r="G880" s="5" t="s">
        <v>3113</v>
      </c>
      <c r="H880" s="5" t="s">
        <v>3107</v>
      </c>
      <c r="I880" s="5"/>
    </row>
    <row r="881" spans="1:9" x14ac:dyDescent="0.2">
      <c r="A881" s="5">
        <v>1</v>
      </c>
      <c r="B881" s="5" t="s">
        <v>3716</v>
      </c>
      <c r="C881" s="5" t="s">
        <v>2791</v>
      </c>
      <c r="D881" s="5" t="s">
        <v>2792</v>
      </c>
      <c r="E881" s="5" t="s">
        <v>219</v>
      </c>
      <c r="F881" s="5" t="s">
        <v>3615</v>
      </c>
      <c r="G881" s="5" t="s">
        <v>3616</v>
      </c>
      <c r="H881" s="5" t="s">
        <v>3614</v>
      </c>
      <c r="I881" s="5"/>
    </row>
    <row r="882" spans="1:9" x14ac:dyDescent="0.2">
      <c r="A882" s="5">
        <v>1</v>
      </c>
      <c r="B882" s="5" t="s">
        <v>3717</v>
      </c>
      <c r="C882" s="5" t="s">
        <v>2301</v>
      </c>
      <c r="D882" s="5" t="s">
        <v>2302</v>
      </c>
      <c r="E882" s="5" t="s">
        <v>60</v>
      </c>
      <c r="F882" s="5" t="s">
        <v>3362</v>
      </c>
      <c r="G882" s="5" t="s">
        <v>3997</v>
      </c>
      <c r="H882" s="5" t="s">
        <v>4190</v>
      </c>
      <c r="I882" s="5"/>
    </row>
    <row r="883" spans="1:9" x14ac:dyDescent="0.2">
      <c r="A883" s="5">
        <v>1</v>
      </c>
      <c r="B883" s="5" t="s">
        <v>3461</v>
      </c>
      <c r="C883" s="5" t="s">
        <v>2131</v>
      </c>
      <c r="D883" s="5" t="s">
        <v>2132</v>
      </c>
      <c r="E883" s="5" t="s">
        <v>1968</v>
      </c>
      <c r="F883" s="5" t="s">
        <v>3088</v>
      </c>
      <c r="G883" s="5"/>
      <c r="H883" s="5" t="s">
        <v>3223</v>
      </c>
      <c r="I883" s="5"/>
    </row>
    <row r="884" spans="1:9" x14ac:dyDescent="0.2">
      <c r="A884" s="5">
        <v>1</v>
      </c>
      <c r="B884" s="5" t="s">
        <v>3461</v>
      </c>
      <c r="C884" s="5" t="s">
        <v>2131</v>
      </c>
      <c r="D884" s="5" t="s">
        <v>2132</v>
      </c>
      <c r="E884" s="5" t="s">
        <v>1968</v>
      </c>
      <c r="F884" s="5" t="s">
        <v>3089</v>
      </c>
      <c r="G884" s="5"/>
      <c r="H884" s="5" t="s">
        <v>3224</v>
      </c>
      <c r="I884" s="5"/>
    </row>
    <row r="885" spans="1:9" x14ac:dyDescent="0.2">
      <c r="A885" s="5">
        <v>1</v>
      </c>
      <c r="B885" s="5" t="s">
        <v>3461</v>
      </c>
      <c r="C885" s="5" t="s">
        <v>2131</v>
      </c>
      <c r="D885" s="5" t="s">
        <v>2132</v>
      </c>
      <c r="E885" s="5" t="s">
        <v>1968</v>
      </c>
      <c r="F885" s="5" t="s">
        <v>3090</v>
      </c>
      <c r="G885" s="5"/>
      <c r="H885" s="5" t="s">
        <v>3225</v>
      </c>
      <c r="I885" s="5"/>
    </row>
    <row r="886" spans="1:9" x14ac:dyDescent="0.2">
      <c r="A886" s="5">
        <v>1</v>
      </c>
      <c r="B886" s="5" t="s">
        <v>3461</v>
      </c>
      <c r="C886" s="5" t="s">
        <v>2569</v>
      </c>
      <c r="D886" s="5" t="s">
        <v>2570</v>
      </c>
      <c r="E886" s="5" t="s">
        <v>1968</v>
      </c>
      <c r="F886" s="5" t="s">
        <v>3088</v>
      </c>
      <c r="G886" s="5"/>
      <c r="H886" s="5" t="s">
        <v>3223</v>
      </c>
      <c r="I886" s="5"/>
    </row>
    <row r="887" spans="1:9" x14ac:dyDescent="0.2">
      <c r="A887" s="5">
        <v>1</v>
      </c>
      <c r="B887" s="5" t="s">
        <v>3461</v>
      </c>
      <c r="C887" s="5" t="s">
        <v>2569</v>
      </c>
      <c r="D887" s="5" t="s">
        <v>2570</v>
      </c>
      <c r="E887" s="5" t="s">
        <v>1968</v>
      </c>
      <c r="F887" s="5" t="s">
        <v>3089</v>
      </c>
      <c r="G887" s="5"/>
      <c r="H887" s="5" t="s">
        <v>3224</v>
      </c>
      <c r="I887" s="5"/>
    </row>
    <row r="888" spans="1:9" x14ac:dyDescent="0.2">
      <c r="A888" s="5">
        <v>1</v>
      </c>
      <c r="B888" s="5" t="s">
        <v>3461</v>
      </c>
      <c r="C888" s="5" t="s">
        <v>2569</v>
      </c>
      <c r="D888" s="5" t="s">
        <v>2570</v>
      </c>
      <c r="E888" s="5" t="s">
        <v>1968</v>
      </c>
      <c r="F888" s="5" t="s">
        <v>3090</v>
      </c>
      <c r="G888" s="5"/>
      <c r="H888" s="5" t="s">
        <v>3225</v>
      </c>
      <c r="I888" s="5"/>
    </row>
    <row r="889" spans="1:9" x14ac:dyDescent="0.2">
      <c r="A889" s="5">
        <v>1</v>
      </c>
      <c r="B889" s="5" t="s">
        <v>3720</v>
      </c>
      <c r="C889" s="5" t="s">
        <v>2769</v>
      </c>
      <c r="D889" s="5" t="s">
        <v>2770</v>
      </c>
      <c r="E889" s="5" t="s">
        <v>1968</v>
      </c>
      <c r="F889" s="5" t="s">
        <v>3352</v>
      </c>
      <c r="G889" s="5"/>
      <c r="H889" s="5"/>
      <c r="I889" s="5"/>
    </row>
    <row r="890" spans="1:9" x14ac:dyDescent="0.2">
      <c r="A890" s="5">
        <v>1</v>
      </c>
      <c r="B890" s="5" t="s">
        <v>3461</v>
      </c>
      <c r="C890" s="5" t="s">
        <v>2718</v>
      </c>
      <c r="D890" s="5" t="s">
        <v>2719</v>
      </c>
      <c r="E890" s="5" t="s">
        <v>1968</v>
      </c>
      <c r="F890" s="5" t="s">
        <v>3570</v>
      </c>
      <c r="G890" s="5" t="s">
        <v>3604</v>
      </c>
      <c r="H890" s="5"/>
      <c r="I890" s="5"/>
    </row>
    <row r="891" spans="1:9" x14ac:dyDescent="0.2">
      <c r="A891" s="5">
        <v>1</v>
      </c>
      <c r="B891" s="5" t="s">
        <v>3461</v>
      </c>
      <c r="C891" s="5" t="s">
        <v>2718</v>
      </c>
      <c r="D891" s="5" t="s">
        <v>2719</v>
      </c>
      <c r="E891" s="5" t="s">
        <v>1968</v>
      </c>
      <c r="F891" s="5" t="s">
        <v>3570</v>
      </c>
      <c r="G891" s="5" t="s">
        <v>3605</v>
      </c>
      <c r="H891" s="5"/>
      <c r="I891" s="5"/>
    </row>
    <row r="892" spans="1:9" x14ac:dyDescent="0.2">
      <c r="A892" s="5">
        <v>1</v>
      </c>
      <c r="B892" s="5" t="s">
        <v>3461</v>
      </c>
      <c r="C892" s="5" t="s">
        <v>2718</v>
      </c>
      <c r="D892" s="5" t="s">
        <v>2719</v>
      </c>
      <c r="E892" s="5" t="s">
        <v>1968</v>
      </c>
      <c r="F892" s="5" t="s">
        <v>3570</v>
      </c>
      <c r="G892" s="5" t="s">
        <v>3606</v>
      </c>
      <c r="H892" s="5"/>
      <c r="I892" s="5"/>
    </row>
    <row r="893" spans="1:9" x14ac:dyDescent="0.2">
      <c r="A893" s="5">
        <v>1</v>
      </c>
      <c r="B893" s="5" t="s">
        <v>3461</v>
      </c>
      <c r="C893" s="5" t="s">
        <v>2718</v>
      </c>
      <c r="D893" s="5" t="s">
        <v>2719</v>
      </c>
      <c r="E893" s="5" t="s">
        <v>1968</v>
      </c>
      <c r="F893" s="5" t="s">
        <v>3570</v>
      </c>
      <c r="G893" s="5" t="s">
        <v>3607</v>
      </c>
      <c r="H893" s="5"/>
      <c r="I893" s="5"/>
    </row>
    <row r="894" spans="1:9" x14ac:dyDescent="0.2">
      <c r="A894" s="5">
        <v>1</v>
      </c>
      <c r="B894" s="5" t="s">
        <v>3461</v>
      </c>
      <c r="C894" s="5" t="s">
        <v>2718</v>
      </c>
      <c r="D894" s="5" t="s">
        <v>2719</v>
      </c>
      <c r="E894" s="5" t="s">
        <v>1968</v>
      </c>
      <c r="F894" s="5" t="s">
        <v>3570</v>
      </c>
      <c r="G894" s="5" t="s">
        <v>3608</v>
      </c>
      <c r="H894" s="5"/>
      <c r="I894" s="5"/>
    </row>
    <row r="895" spans="1:9" x14ac:dyDescent="0.2">
      <c r="A895" s="5">
        <v>1</v>
      </c>
      <c r="B895" s="5" t="s">
        <v>3461</v>
      </c>
      <c r="C895" s="5" t="s">
        <v>2718</v>
      </c>
      <c r="D895" s="5" t="s">
        <v>2719</v>
      </c>
      <c r="E895" s="5" t="s">
        <v>1968</v>
      </c>
      <c r="F895" s="5" t="s">
        <v>3570</v>
      </c>
      <c r="G895" s="5" t="s">
        <v>3609</v>
      </c>
      <c r="H895" s="5"/>
      <c r="I895" s="5"/>
    </row>
    <row r="896" spans="1:9" x14ac:dyDescent="0.2">
      <c r="A896" s="5">
        <v>1</v>
      </c>
      <c r="B896" s="5" t="s">
        <v>3461</v>
      </c>
      <c r="C896" s="5" t="s">
        <v>2718</v>
      </c>
      <c r="D896" s="5" t="s">
        <v>2719</v>
      </c>
      <c r="E896" s="5" t="s">
        <v>1968</v>
      </c>
      <c r="F896" s="5" t="s">
        <v>3570</v>
      </c>
      <c r="G896" s="5" t="s">
        <v>3610</v>
      </c>
      <c r="H896" s="5"/>
      <c r="I896" s="5"/>
    </row>
    <row r="897" spans="1:9" x14ac:dyDescent="0.2">
      <c r="A897" s="5">
        <v>1</v>
      </c>
      <c r="B897" s="5" t="s">
        <v>3461</v>
      </c>
      <c r="C897" s="5" t="s">
        <v>2718</v>
      </c>
      <c r="D897" s="5" t="s">
        <v>2719</v>
      </c>
      <c r="E897" s="5" t="s">
        <v>1968</v>
      </c>
      <c r="F897" s="5" t="s">
        <v>3570</v>
      </c>
      <c r="G897" s="5" t="s">
        <v>3611</v>
      </c>
      <c r="H897" s="5"/>
      <c r="I897" s="5"/>
    </row>
    <row r="898" spans="1:9" x14ac:dyDescent="0.2">
      <c r="A898" s="5">
        <v>1</v>
      </c>
      <c r="B898" s="5" t="s">
        <v>3461</v>
      </c>
      <c r="C898" s="5" t="s">
        <v>2718</v>
      </c>
      <c r="D898" s="5" t="s">
        <v>2719</v>
      </c>
      <c r="E898" s="5" t="s">
        <v>1968</v>
      </c>
      <c r="F898" s="5" t="s">
        <v>3570</v>
      </c>
      <c r="G898" s="5" t="s">
        <v>3612</v>
      </c>
      <c r="H898" s="5"/>
      <c r="I898" s="5"/>
    </row>
    <row r="899" spans="1:9" x14ac:dyDescent="0.2">
      <c r="A899" s="5">
        <v>1</v>
      </c>
      <c r="B899" s="5" t="s">
        <v>3461</v>
      </c>
      <c r="C899" s="5" t="s">
        <v>2718</v>
      </c>
      <c r="D899" s="5" t="s">
        <v>2719</v>
      </c>
      <c r="E899" s="5" t="s">
        <v>1968</v>
      </c>
      <c r="F899" s="5" t="s">
        <v>3570</v>
      </c>
      <c r="G899" s="5" t="s">
        <v>3426</v>
      </c>
      <c r="H899" s="5"/>
      <c r="I899" s="5"/>
    </row>
    <row r="900" spans="1:9" x14ac:dyDescent="0.2">
      <c r="A900" s="5">
        <v>1</v>
      </c>
      <c r="B900" s="5" t="s">
        <v>3461</v>
      </c>
      <c r="C900" s="5" t="s">
        <v>2718</v>
      </c>
      <c r="D900" s="5" t="s">
        <v>2719</v>
      </c>
      <c r="E900" s="5" t="s">
        <v>1968</v>
      </c>
      <c r="F900" s="5" t="s">
        <v>3570</v>
      </c>
      <c r="G900" s="5" t="s">
        <v>3427</v>
      </c>
      <c r="H900" s="5"/>
      <c r="I900" s="5"/>
    </row>
    <row r="901" spans="1:9" x14ac:dyDescent="0.2">
      <c r="A901" s="5">
        <v>1</v>
      </c>
      <c r="B901" s="5" t="s">
        <v>3728</v>
      </c>
      <c r="C901" s="5" t="s">
        <v>1531</v>
      </c>
      <c r="D901" s="5" t="s">
        <v>1532</v>
      </c>
      <c r="E901" s="5" t="s">
        <v>88</v>
      </c>
      <c r="F901" s="5" t="s">
        <v>3292</v>
      </c>
      <c r="G901" s="5" t="s">
        <v>4191</v>
      </c>
      <c r="H901" s="5" t="s">
        <v>4192</v>
      </c>
      <c r="I901" s="5"/>
    </row>
    <row r="902" spans="1:9" x14ac:dyDescent="0.2">
      <c r="A902" s="5">
        <v>1</v>
      </c>
      <c r="B902" s="5" t="s">
        <v>3728</v>
      </c>
      <c r="C902" s="5" t="s">
        <v>1531</v>
      </c>
      <c r="D902" s="5" t="s">
        <v>1532</v>
      </c>
      <c r="E902" s="5" t="s">
        <v>88</v>
      </c>
      <c r="F902" s="5" t="s">
        <v>3293</v>
      </c>
      <c r="G902" s="5" t="s">
        <v>4191</v>
      </c>
      <c r="H902" s="5" t="s">
        <v>4192</v>
      </c>
      <c r="I902" s="5"/>
    </row>
    <row r="903" spans="1:9" x14ac:dyDescent="0.2">
      <c r="A903" s="5">
        <v>1</v>
      </c>
      <c r="B903" s="5" t="s">
        <v>3728</v>
      </c>
      <c r="C903" s="5" t="s">
        <v>1531</v>
      </c>
      <c r="D903" s="5" t="s">
        <v>1532</v>
      </c>
      <c r="E903" s="5" t="s">
        <v>88</v>
      </c>
      <c r="F903" s="5" t="s">
        <v>3294</v>
      </c>
      <c r="G903" s="5" t="s">
        <v>4191</v>
      </c>
      <c r="H903" s="5" t="s">
        <v>4192</v>
      </c>
      <c r="I903" s="5"/>
    </row>
    <row r="904" spans="1:9" x14ac:dyDescent="0.2">
      <c r="A904" s="5">
        <v>1</v>
      </c>
      <c r="B904" s="5" t="s">
        <v>3728</v>
      </c>
      <c r="C904" s="5" t="s">
        <v>1531</v>
      </c>
      <c r="D904" s="5" t="s">
        <v>1532</v>
      </c>
      <c r="E904" s="5" t="s">
        <v>88</v>
      </c>
      <c r="F904" s="5" t="s">
        <v>3295</v>
      </c>
      <c r="G904" s="5" t="s">
        <v>4191</v>
      </c>
      <c r="H904" s="5" t="s">
        <v>4192</v>
      </c>
      <c r="I904" s="5"/>
    </row>
    <row r="905" spans="1:9" x14ac:dyDescent="0.2">
      <c r="A905" s="5">
        <v>1</v>
      </c>
      <c r="B905" s="5" t="s">
        <v>3728</v>
      </c>
      <c r="C905" s="5" t="s">
        <v>1531</v>
      </c>
      <c r="D905" s="5" t="s">
        <v>1532</v>
      </c>
      <c r="E905" s="5" t="s">
        <v>88</v>
      </c>
      <c r="F905" s="5" t="s">
        <v>3296</v>
      </c>
      <c r="G905" s="5" t="s">
        <v>4191</v>
      </c>
      <c r="H905" s="5" t="s">
        <v>4192</v>
      </c>
      <c r="I905" s="5"/>
    </row>
    <row r="906" spans="1:9" x14ac:dyDescent="0.2">
      <c r="A906" s="5">
        <v>1</v>
      </c>
      <c r="B906" s="5" t="s">
        <v>3728</v>
      </c>
      <c r="C906" s="5" t="s">
        <v>1531</v>
      </c>
      <c r="D906" s="5" t="s">
        <v>1532</v>
      </c>
      <c r="E906" s="5" t="s">
        <v>88</v>
      </c>
      <c r="F906" s="5" t="s">
        <v>3297</v>
      </c>
      <c r="G906" s="5" t="s">
        <v>4191</v>
      </c>
      <c r="H906" s="5" t="s">
        <v>4192</v>
      </c>
      <c r="I906" s="5"/>
    </row>
    <row r="907" spans="1:9" x14ac:dyDescent="0.2">
      <c r="A907" s="5">
        <v>1</v>
      </c>
      <c r="B907" s="5" t="s">
        <v>3728</v>
      </c>
      <c r="C907" s="5" t="s">
        <v>1531</v>
      </c>
      <c r="D907" s="5" t="s">
        <v>1532</v>
      </c>
      <c r="E907" s="5" t="s">
        <v>88</v>
      </c>
      <c r="F907" s="5" t="s">
        <v>3298</v>
      </c>
      <c r="G907" s="5" t="s">
        <v>4191</v>
      </c>
      <c r="H907" s="5" t="s">
        <v>4192</v>
      </c>
      <c r="I907" s="5"/>
    </row>
    <row r="908" spans="1:9" x14ac:dyDescent="0.2">
      <c r="A908" s="5">
        <v>1</v>
      </c>
      <c r="B908" s="5" t="s">
        <v>3728</v>
      </c>
      <c r="C908" s="5" t="s">
        <v>1531</v>
      </c>
      <c r="D908" s="5" t="s">
        <v>1532</v>
      </c>
      <c r="E908" s="5" t="s">
        <v>88</v>
      </c>
      <c r="F908" s="5" t="s">
        <v>3299</v>
      </c>
      <c r="G908" s="5" t="s">
        <v>4191</v>
      </c>
      <c r="H908" s="5" t="s">
        <v>4192</v>
      </c>
      <c r="I908" s="5"/>
    </row>
    <row r="909" spans="1:9" x14ac:dyDescent="0.2">
      <c r="A909" s="5">
        <v>1</v>
      </c>
      <c r="B909" s="5" t="s">
        <v>3728</v>
      </c>
      <c r="C909" s="5" t="s">
        <v>1531</v>
      </c>
      <c r="D909" s="5" t="s">
        <v>1532</v>
      </c>
      <c r="E909" s="5" t="s">
        <v>88</v>
      </c>
      <c r="F909" s="5" t="s">
        <v>3300</v>
      </c>
      <c r="G909" s="5" t="s">
        <v>4191</v>
      </c>
      <c r="H909" s="5" t="s">
        <v>4192</v>
      </c>
      <c r="I909" s="5"/>
    </row>
    <row r="910" spans="1:9" x14ac:dyDescent="0.2">
      <c r="A910" s="5">
        <v>1</v>
      </c>
      <c r="B910" s="5" t="s">
        <v>3728</v>
      </c>
      <c r="C910" s="5" t="s">
        <v>1531</v>
      </c>
      <c r="D910" s="5" t="s">
        <v>1532</v>
      </c>
      <c r="E910" s="5" t="s">
        <v>88</v>
      </c>
      <c r="F910" s="5" t="s">
        <v>3301</v>
      </c>
      <c r="G910" s="5" t="s">
        <v>4191</v>
      </c>
      <c r="H910" s="5" t="s">
        <v>4192</v>
      </c>
      <c r="I910" s="5"/>
    </row>
    <row r="911" spans="1:9" x14ac:dyDescent="0.2">
      <c r="A911" s="5">
        <v>1</v>
      </c>
      <c r="B911" s="5" t="s">
        <v>3728</v>
      </c>
      <c r="C911" s="5" t="s">
        <v>1531</v>
      </c>
      <c r="D911" s="5" t="s">
        <v>1532</v>
      </c>
      <c r="E911" s="5" t="s">
        <v>88</v>
      </c>
      <c r="F911" s="5" t="s">
        <v>3302</v>
      </c>
      <c r="G911" s="5" t="s">
        <v>4191</v>
      </c>
      <c r="H911" s="5" t="s">
        <v>4192</v>
      </c>
      <c r="I911" s="5"/>
    </row>
    <row r="912" spans="1:9" x14ac:dyDescent="0.2">
      <c r="A912" s="5">
        <v>1</v>
      </c>
      <c r="B912" s="5" t="s">
        <v>3728</v>
      </c>
      <c r="C912" s="5" t="s">
        <v>1531</v>
      </c>
      <c r="D912" s="5" t="s">
        <v>1532</v>
      </c>
      <c r="E912" s="5" t="s">
        <v>88</v>
      </c>
      <c r="F912" s="5" t="s">
        <v>3303</v>
      </c>
      <c r="G912" s="5" t="s">
        <v>4191</v>
      </c>
      <c r="H912" s="5" t="s">
        <v>4192</v>
      </c>
      <c r="I912" s="5"/>
    </row>
    <row r="913" spans="1:9" x14ac:dyDescent="0.2">
      <c r="A913" s="5">
        <v>1</v>
      </c>
      <c r="B913" s="5" t="s">
        <v>3728</v>
      </c>
      <c r="C913" s="5" t="s">
        <v>1531</v>
      </c>
      <c r="D913" s="5" t="s">
        <v>1532</v>
      </c>
      <c r="E913" s="5" t="s">
        <v>88</v>
      </c>
      <c r="F913" s="5" t="s">
        <v>3304</v>
      </c>
      <c r="G913" s="5" t="s">
        <v>4193</v>
      </c>
      <c r="H913" s="5" t="s">
        <v>4194</v>
      </c>
      <c r="I913" s="5"/>
    </row>
    <row r="914" spans="1:9" x14ac:dyDescent="0.2">
      <c r="A914" s="5">
        <v>1</v>
      </c>
      <c r="B914" s="5" t="s">
        <v>3728</v>
      </c>
      <c r="C914" s="5" t="s">
        <v>1531</v>
      </c>
      <c r="D914" s="5" t="s">
        <v>1532</v>
      </c>
      <c r="E914" s="5" t="s">
        <v>88</v>
      </c>
      <c r="F914" s="5" t="s">
        <v>3305</v>
      </c>
      <c r="G914" s="5" t="s">
        <v>4193</v>
      </c>
      <c r="H914" s="5" t="s">
        <v>4194</v>
      </c>
      <c r="I914" s="5"/>
    </row>
    <row r="915" spans="1:9" x14ac:dyDescent="0.2">
      <c r="A915" s="5">
        <v>1</v>
      </c>
      <c r="B915" s="5" t="s">
        <v>3728</v>
      </c>
      <c r="C915" s="5" t="s">
        <v>1531</v>
      </c>
      <c r="D915" s="5" t="s">
        <v>1532</v>
      </c>
      <c r="E915" s="5" t="s">
        <v>88</v>
      </c>
      <c r="F915" s="5" t="s">
        <v>3306</v>
      </c>
      <c r="G915" s="5" t="s">
        <v>4193</v>
      </c>
      <c r="H915" s="5" t="s">
        <v>4194</v>
      </c>
      <c r="I915" s="5"/>
    </row>
    <row r="916" spans="1:9" x14ac:dyDescent="0.2">
      <c r="A916" s="5">
        <v>1</v>
      </c>
      <c r="B916" s="5" t="s">
        <v>3728</v>
      </c>
      <c r="C916" s="5" t="s">
        <v>1531</v>
      </c>
      <c r="D916" s="5" t="s">
        <v>1532</v>
      </c>
      <c r="E916" s="5" t="s">
        <v>88</v>
      </c>
      <c r="F916" s="5" t="s">
        <v>3307</v>
      </c>
      <c r="G916" s="5" t="s">
        <v>4193</v>
      </c>
      <c r="H916" s="5" t="s">
        <v>4194</v>
      </c>
      <c r="I916" s="5"/>
    </row>
    <row r="917" spans="1:9" x14ac:dyDescent="0.2">
      <c r="A917" s="5">
        <v>1</v>
      </c>
      <c r="B917" s="5" t="s">
        <v>3728</v>
      </c>
      <c r="C917" s="5" t="s">
        <v>1531</v>
      </c>
      <c r="D917" s="5" t="s">
        <v>1532</v>
      </c>
      <c r="E917" s="5" t="s">
        <v>88</v>
      </c>
      <c r="F917" s="5" t="s">
        <v>3308</v>
      </c>
      <c r="G917" s="5" t="s">
        <v>4195</v>
      </c>
      <c r="H917" s="5" t="s">
        <v>4196</v>
      </c>
      <c r="I917" s="5"/>
    </row>
    <row r="918" spans="1:9" x14ac:dyDescent="0.2">
      <c r="A918" s="5">
        <v>1</v>
      </c>
      <c r="B918" s="5" t="s">
        <v>3728</v>
      </c>
      <c r="C918" s="5" t="s">
        <v>1531</v>
      </c>
      <c r="D918" s="5" t="s">
        <v>1532</v>
      </c>
      <c r="E918" s="5" t="s">
        <v>88</v>
      </c>
      <c r="F918" s="5" t="s">
        <v>3309</v>
      </c>
      <c r="G918" s="5" t="s">
        <v>4195</v>
      </c>
      <c r="H918" s="5" t="s">
        <v>4196</v>
      </c>
      <c r="I918" s="5"/>
    </row>
    <row r="919" spans="1:9" x14ac:dyDescent="0.2">
      <c r="A919" s="5">
        <v>1</v>
      </c>
      <c r="B919" s="5" t="s">
        <v>3728</v>
      </c>
      <c r="C919" s="5" t="s">
        <v>1531</v>
      </c>
      <c r="D919" s="5" t="s">
        <v>1532</v>
      </c>
      <c r="E919" s="5" t="s">
        <v>88</v>
      </c>
      <c r="F919" s="5" t="s">
        <v>3310</v>
      </c>
      <c r="G919" s="5" t="s">
        <v>4195</v>
      </c>
      <c r="H919" s="5" t="s">
        <v>4196</v>
      </c>
      <c r="I919" s="5"/>
    </row>
    <row r="920" spans="1:9" x14ac:dyDescent="0.2">
      <c r="A920" s="5">
        <v>1</v>
      </c>
      <c r="B920" s="5" t="s">
        <v>3728</v>
      </c>
      <c r="C920" s="5" t="s">
        <v>1531</v>
      </c>
      <c r="D920" s="5" t="s">
        <v>1532</v>
      </c>
      <c r="E920" s="5" t="s">
        <v>88</v>
      </c>
      <c r="F920" s="5" t="s">
        <v>3311</v>
      </c>
      <c r="G920" s="5" t="s">
        <v>4195</v>
      </c>
      <c r="H920" s="5" t="s">
        <v>4196</v>
      </c>
      <c r="I920" s="5"/>
    </row>
    <row r="921" spans="1:9" x14ac:dyDescent="0.2">
      <c r="A921" s="5">
        <v>1</v>
      </c>
      <c r="B921" s="5" t="s">
        <v>3728</v>
      </c>
      <c r="C921" s="5" t="s">
        <v>1531</v>
      </c>
      <c r="D921" s="5" t="s">
        <v>1532</v>
      </c>
      <c r="E921" s="5" t="s">
        <v>88</v>
      </c>
      <c r="F921" s="5" t="s">
        <v>3312</v>
      </c>
      <c r="G921" s="5" t="s">
        <v>4195</v>
      </c>
      <c r="H921" s="5" t="s">
        <v>4196</v>
      </c>
      <c r="I921" s="5"/>
    </row>
    <row r="922" spans="1:9" x14ac:dyDescent="0.2">
      <c r="A922" s="5">
        <v>1</v>
      </c>
      <c r="B922" s="5" t="s">
        <v>3728</v>
      </c>
      <c r="C922" s="5" t="s">
        <v>1531</v>
      </c>
      <c r="D922" s="5" t="s">
        <v>1532</v>
      </c>
      <c r="E922" s="5" t="s">
        <v>88</v>
      </c>
      <c r="F922" s="5" t="s">
        <v>3313</v>
      </c>
      <c r="G922" s="5" t="s">
        <v>4195</v>
      </c>
      <c r="H922" s="5" t="s">
        <v>4196</v>
      </c>
      <c r="I922" s="5"/>
    </row>
    <row r="923" spans="1:9" x14ac:dyDescent="0.2">
      <c r="A923" s="5">
        <v>1</v>
      </c>
      <c r="B923" s="5" t="s">
        <v>3728</v>
      </c>
      <c r="C923" s="5" t="s">
        <v>1531</v>
      </c>
      <c r="D923" s="5" t="s">
        <v>1532</v>
      </c>
      <c r="E923" s="5" t="s">
        <v>88</v>
      </c>
      <c r="F923" s="5" t="s">
        <v>3314</v>
      </c>
      <c r="G923" s="5" t="s">
        <v>4195</v>
      </c>
      <c r="H923" s="5" t="s">
        <v>4196</v>
      </c>
      <c r="I923" s="5"/>
    </row>
    <row r="924" spans="1:9" x14ac:dyDescent="0.2">
      <c r="A924" s="5">
        <v>1</v>
      </c>
      <c r="B924" s="5" t="s">
        <v>3728</v>
      </c>
      <c r="C924" s="5" t="s">
        <v>1531</v>
      </c>
      <c r="D924" s="5" t="s">
        <v>1532</v>
      </c>
      <c r="E924" s="5" t="s">
        <v>88</v>
      </c>
      <c r="F924" s="5" t="s">
        <v>3315</v>
      </c>
      <c r="G924" s="5" t="s">
        <v>4195</v>
      </c>
      <c r="H924" s="5" t="s">
        <v>4196</v>
      </c>
      <c r="I924" s="5"/>
    </row>
    <row r="925" spans="1:9" x14ac:dyDescent="0.2">
      <c r="A925" s="5">
        <v>1</v>
      </c>
      <c r="B925" s="5" t="s">
        <v>3728</v>
      </c>
      <c r="C925" s="5" t="s">
        <v>1531</v>
      </c>
      <c r="D925" s="5" t="s">
        <v>1532</v>
      </c>
      <c r="E925" s="5" t="s">
        <v>88</v>
      </c>
      <c r="F925" s="5" t="s">
        <v>3316</v>
      </c>
      <c r="G925" s="5" t="s">
        <v>4195</v>
      </c>
      <c r="H925" s="5" t="s">
        <v>4196</v>
      </c>
      <c r="I925" s="5"/>
    </row>
    <row r="926" spans="1:9" x14ac:dyDescent="0.2">
      <c r="A926" s="5">
        <v>1</v>
      </c>
      <c r="B926" s="5" t="s">
        <v>3729</v>
      </c>
      <c r="C926" s="5" t="s">
        <v>2718</v>
      </c>
      <c r="D926" s="5" t="s">
        <v>2719</v>
      </c>
      <c r="E926" s="5" t="s">
        <v>1968</v>
      </c>
      <c r="F926" s="5" t="s">
        <v>3523</v>
      </c>
      <c r="G926" s="5" t="s">
        <v>4197</v>
      </c>
      <c r="H926" s="5" t="s">
        <v>4198</v>
      </c>
      <c r="I926" s="5"/>
    </row>
    <row r="927" spans="1:9" x14ac:dyDescent="0.2">
      <c r="A927" s="5">
        <v>1</v>
      </c>
      <c r="B927" s="5" t="s">
        <v>3729</v>
      </c>
      <c r="C927" s="5" t="s">
        <v>2718</v>
      </c>
      <c r="D927" s="5" t="s">
        <v>2719</v>
      </c>
      <c r="E927" s="5" t="s">
        <v>1968</v>
      </c>
      <c r="F927" s="5" t="s">
        <v>3122</v>
      </c>
      <c r="G927" s="5" t="s">
        <v>4197</v>
      </c>
      <c r="H927" s="5" t="s">
        <v>4198</v>
      </c>
      <c r="I927" s="5"/>
    </row>
    <row r="928" spans="1:9" x14ac:dyDescent="0.2">
      <c r="A928" s="5">
        <v>1</v>
      </c>
      <c r="B928" s="5" t="s">
        <v>3729</v>
      </c>
      <c r="C928" s="5" t="s">
        <v>2718</v>
      </c>
      <c r="D928" s="5" t="s">
        <v>2719</v>
      </c>
      <c r="E928" s="5" t="s">
        <v>1968</v>
      </c>
      <c r="F928" s="5" t="s">
        <v>3389</v>
      </c>
      <c r="G928" s="5" t="s">
        <v>4197</v>
      </c>
      <c r="H928" s="5" t="s">
        <v>4198</v>
      </c>
      <c r="I928" s="5"/>
    </row>
    <row r="929" spans="1:9" x14ac:dyDescent="0.2">
      <c r="A929" s="5">
        <v>1</v>
      </c>
      <c r="B929" s="5" t="s">
        <v>3729</v>
      </c>
      <c r="C929" s="5" t="s">
        <v>2718</v>
      </c>
      <c r="D929" s="5" t="s">
        <v>2719</v>
      </c>
      <c r="E929" s="5" t="s">
        <v>1968</v>
      </c>
      <c r="F929" s="5" t="s">
        <v>3430</v>
      </c>
      <c r="G929" s="5" t="s">
        <v>4199</v>
      </c>
      <c r="H929" s="5" t="s">
        <v>4198</v>
      </c>
      <c r="I929" s="5"/>
    </row>
    <row r="930" spans="1:9" x14ac:dyDescent="0.2">
      <c r="A930" s="5">
        <v>1</v>
      </c>
      <c r="B930" s="5" t="s">
        <v>3636</v>
      </c>
      <c r="C930" s="5" t="s">
        <v>2718</v>
      </c>
      <c r="D930" s="5" t="s">
        <v>2719</v>
      </c>
      <c r="E930" s="5" t="s">
        <v>1968</v>
      </c>
      <c r="F930" s="5" t="s">
        <v>3090</v>
      </c>
      <c r="G930" s="5"/>
      <c r="H930" s="5" t="s">
        <v>3225</v>
      </c>
      <c r="I930" s="5"/>
    </row>
    <row r="931" spans="1:9" x14ac:dyDescent="0.2">
      <c r="A931" s="5">
        <v>1</v>
      </c>
      <c r="B931" s="5" t="s">
        <v>3636</v>
      </c>
      <c r="C931" s="5" t="s">
        <v>2718</v>
      </c>
      <c r="D931" s="5" t="s">
        <v>2719</v>
      </c>
      <c r="E931" s="5" t="s">
        <v>1968</v>
      </c>
      <c r="F931" s="5" t="s">
        <v>3088</v>
      </c>
      <c r="G931" s="5"/>
      <c r="H931" s="5" t="s">
        <v>3223</v>
      </c>
      <c r="I931" s="5"/>
    </row>
    <row r="932" spans="1:9" x14ac:dyDescent="0.2">
      <c r="A932" s="5">
        <v>1</v>
      </c>
      <c r="B932" s="5" t="s">
        <v>3636</v>
      </c>
      <c r="C932" s="5" t="s">
        <v>2718</v>
      </c>
      <c r="D932" s="5" t="s">
        <v>2719</v>
      </c>
      <c r="E932" s="5" t="s">
        <v>1968</v>
      </c>
      <c r="F932" s="5" t="s">
        <v>3121</v>
      </c>
      <c r="G932" s="5"/>
      <c r="H932" s="5" t="s">
        <v>3240</v>
      </c>
      <c r="I932" s="5"/>
    </row>
    <row r="933" spans="1:9" x14ac:dyDescent="0.2">
      <c r="A933" s="5">
        <v>1</v>
      </c>
      <c r="B933" s="5" t="s">
        <v>3636</v>
      </c>
      <c r="C933" s="5" t="s">
        <v>2718</v>
      </c>
      <c r="D933" s="5" t="s">
        <v>2719</v>
      </c>
      <c r="E933" s="5" t="s">
        <v>1968</v>
      </c>
      <c r="F933" s="5" t="s">
        <v>3228</v>
      </c>
      <c r="G933" s="5"/>
      <c r="H933" s="5" t="s">
        <v>3229</v>
      </c>
      <c r="I933" s="5"/>
    </row>
    <row r="934" spans="1:9" x14ac:dyDescent="0.2">
      <c r="A934" s="5">
        <v>1</v>
      </c>
      <c r="B934" s="5" t="s">
        <v>3729</v>
      </c>
      <c r="C934" s="5" t="s">
        <v>2718</v>
      </c>
      <c r="D934" s="5" t="s">
        <v>2719</v>
      </c>
      <c r="E934" s="5" t="s">
        <v>1968</v>
      </c>
      <c r="F934" s="5" t="s">
        <v>3322</v>
      </c>
      <c r="G934" s="5"/>
      <c r="H934" s="5"/>
      <c r="I934" s="5"/>
    </row>
    <row r="935" spans="1:9" x14ac:dyDescent="0.2">
      <c r="A935" s="5">
        <v>1</v>
      </c>
      <c r="B935" s="5" t="s">
        <v>3729</v>
      </c>
      <c r="C935" s="5" t="s">
        <v>2718</v>
      </c>
      <c r="D935" s="5" t="s">
        <v>2719</v>
      </c>
      <c r="E935" s="5" t="s">
        <v>1968</v>
      </c>
      <c r="F935" s="5" t="s">
        <v>3125</v>
      </c>
      <c r="G935" s="5"/>
      <c r="H935" s="5"/>
      <c r="I935" s="5"/>
    </row>
    <row r="936" spans="1:9" x14ac:dyDescent="0.2">
      <c r="A936" s="5">
        <v>1</v>
      </c>
      <c r="B936" s="5" t="s">
        <v>3729</v>
      </c>
      <c r="C936" s="5" t="s">
        <v>2718</v>
      </c>
      <c r="D936" s="5" t="s">
        <v>2719</v>
      </c>
      <c r="E936" s="5" t="s">
        <v>1968</v>
      </c>
      <c r="F936" s="5" t="s">
        <v>3323</v>
      </c>
      <c r="G936" s="5"/>
      <c r="H936" s="5"/>
      <c r="I936" s="5"/>
    </row>
    <row r="937" spans="1:9" x14ac:dyDescent="0.2">
      <c r="A937" s="5">
        <v>1</v>
      </c>
      <c r="B937" s="5" t="s">
        <v>3677</v>
      </c>
      <c r="C937" s="5" t="s">
        <v>2718</v>
      </c>
      <c r="D937" s="5" t="s">
        <v>2719</v>
      </c>
      <c r="E937" s="5" t="s">
        <v>1968</v>
      </c>
      <c r="F937" s="5" t="s">
        <v>3290</v>
      </c>
      <c r="G937" s="5" t="s">
        <v>3429</v>
      </c>
      <c r="H937" s="5" t="s">
        <v>3425</v>
      </c>
      <c r="I937" s="5"/>
    </row>
    <row r="938" spans="1:9" x14ac:dyDescent="0.2">
      <c r="A938" s="5">
        <v>1</v>
      </c>
      <c r="B938" s="5" t="s">
        <v>3677</v>
      </c>
      <c r="C938" s="5" t="s">
        <v>2718</v>
      </c>
      <c r="D938" s="5" t="s">
        <v>2719</v>
      </c>
      <c r="E938" s="5" t="s">
        <v>1968</v>
      </c>
      <c r="F938" s="5" t="s">
        <v>3110</v>
      </c>
      <c r="G938" s="5" t="s">
        <v>3428</v>
      </c>
      <c r="H938" s="5" t="s">
        <v>3424</v>
      </c>
      <c r="I938" s="5"/>
    </row>
    <row r="939" spans="1:9" x14ac:dyDescent="0.2">
      <c r="A939" s="5">
        <v>1</v>
      </c>
      <c r="B939" s="5" t="s">
        <v>3730</v>
      </c>
      <c r="C939" s="5" t="s">
        <v>2769</v>
      </c>
      <c r="D939" s="5" t="s">
        <v>2770</v>
      </c>
      <c r="E939" s="5" t="s">
        <v>1968</v>
      </c>
      <c r="F939" s="5" t="s">
        <v>3228</v>
      </c>
      <c r="G939" s="5"/>
      <c r="H939" s="5" t="s">
        <v>3229</v>
      </c>
      <c r="I939" s="5"/>
    </row>
    <row r="940" spans="1:9" x14ac:dyDescent="0.2">
      <c r="A940" s="5">
        <v>1</v>
      </c>
      <c r="B940" s="5" t="s">
        <v>3730</v>
      </c>
      <c r="C940" s="5" t="s">
        <v>2769</v>
      </c>
      <c r="D940" s="5" t="s">
        <v>2770</v>
      </c>
      <c r="E940" s="5" t="s">
        <v>1968</v>
      </c>
      <c r="F940" s="5" t="s">
        <v>3243</v>
      </c>
      <c r="G940" s="5"/>
      <c r="H940" s="5" t="s">
        <v>3231</v>
      </c>
      <c r="I940" s="5"/>
    </row>
    <row r="941" spans="1:9" x14ac:dyDescent="0.2">
      <c r="A941" s="5">
        <v>1</v>
      </c>
      <c r="B941" s="5" t="s">
        <v>3730</v>
      </c>
      <c r="C941" s="5" t="s">
        <v>2769</v>
      </c>
      <c r="D941" s="5" t="s">
        <v>2770</v>
      </c>
      <c r="E941" s="5" t="s">
        <v>1968</v>
      </c>
      <c r="F941" s="5" t="s">
        <v>3272</v>
      </c>
      <c r="G941" s="5"/>
      <c r="H941" s="5" t="s">
        <v>3273</v>
      </c>
      <c r="I941" s="5"/>
    </row>
    <row r="942" spans="1:9" x14ac:dyDescent="0.2">
      <c r="A942" s="5">
        <v>1</v>
      </c>
      <c r="B942" s="5" t="s">
        <v>3729</v>
      </c>
      <c r="C942" s="5" t="s">
        <v>2860</v>
      </c>
      <c r="D942" s="5" t="s">
        <v>2861</v>
      </c>
      <c r="E942" s="5" t="s">
        <v>1968</v>
      </c>
      <c r="F942" s="5" t="s">
        <v>3452</v>
      </c>
      <c r="G942" s="5" t="s">
        <v>4200</v>
      </c>
      <c r="H942" s="5" t="s">
        <v>4201</v>
      </c>
      <c r="I942" s="5"/>
    </row>
    <row r="943" spans="1:9" x14ac:dyDescent="0.2">
      <c r="A943" s="5">
        <v>1</v>
      </c>
      <c r="B943" s="5" t="s">
        <v>3729</v>
      </c>
      <c r="C943" s="5" t="s">
        <v>2860</v>
      </c>
      <c r="D943" s="5" t="s">
        <v>2861</v>
      </c>
      <c r="E943" s="5" t="s">
        <v>1968</v>
      </c>
      <c r="F943" s="5" t="s">
        <v>3452</v>
      </c>
      <c r="G943" s="5" t="s">
        <v>4200</v>
      </c>
      <c r="H943" s="5" t="s">
        <v>4202</v>
      </c>
      <c r="I943" s="5"/>
    </row>
    <row r="944" spans="1:9" x14ac:dyDescent="0.2">
      <c r="A944" s="5">
        <v>1</v>
      </c>
      <c r="B944" s="5" t="s">
        <v>3729</v>
      </c>
      <c r="C944" s="5" t="s">
        <v>2860</v>
      </c>
      <c r="D944" s="5" t="s">
        <v>2861</v>
      </c>
      <c r="E944" s="5" t="s">
        <v>1968</v>
      </c>
      <c r="F944" s="5" t="s">
        <v>3452</v>
      </c>
      <c r="G944" s="5" t="s">
        <v>4200</v>
      </c>
      <c r="H944" s="5" t="s">
        <v>4203</v>
      </c>
      <c r="I944" s="5"/>
    </row>
    <row r="945" spans="1:9" x14ac:dyDescent="0.2">
      <c r="A945" s="5">
        <v>1</v>
      </c>
      <c r="B945" s="5" t="s">
        <v>3729</v>
      </c>
      <c r="C945" s="5" t="s">
        <v>2860</v>
      </c>
      <c r="D945" s="5" t="s">
        <v>2861</v>
      </c>
      <c r="E945" s="5" t="s">
        <v>1968</v>
      </c>
      <c r="F945" s="5" t="s">
        <v>3452</v>
      </c>
      <c r="G945" s="5" t="s">
        <v>4200</v>
      </c>
      <c r="H945" s="5" t="s">
        <v>4204</v>
      </c>
      <c r="I945" s="5"/>
    </row>
    <row r="946" spans="1:9" x14ac:dyDescent="0.2">
      <c r="A946" s="5">
        <v>1</v>
      </c>
      <c r="B946" s="5" t="s">
        <v>3729</v>
      </c>
      <c r="C946" s="5" t="s">
        <v>2860</v>
      </c>
      <c r="D946" s="5" t="s">
        <v>2861</v>
      </c>
      <c r="E946" s="5" t="s">
        <v>1968</v>
      </c>
      <c r="F946" s="5" t="s">
        <v>3452</v>
      </c>
      <c r="G946" s="5" t="s">
        <v>4200</v>
      </c>
      <c r="H946" s="5" t="s">
        <v>4205</v>
      </c>
      <c r="I946" s="5"/>
    </row>
    <row r="947" spans="1:9" x14ac:dyDescent="0.2">
      <c r="A947" s="5">
        <v>1</v>
      </c>
      <c r="B947" s="5" t="s">
        <v>3729</v>
      </c>
      <c r="C947" s="5" t="s">
        <v>2860</v>
      </c>
      <c r="D947" s="5" t="s">
        <v>2861</v>
      </c>
      <c r="E947" s="5" t="s">
        <v>1968</v>
      </c>
      <c r="F947" s="5" t="s">
        <v>3452</v>
      </c>
      <c r="G947" s="5" t="s">
        <v>4200</v>
      </c>
      <c r="H947" s="5" t="s">
        <v>4206</v>
      </c>
      <c r="I947" s="5"/>
    </row>
    <row r="948" spans="1:9" x14ac:dyDescent="0.2">
      <c r="A948" s="5">
        <v>1</v>
      </c>
      <c r="B948" s="5" t="s">
        <v>3729</v>
      </c>
      <c r="C948" s="5" t="s">
        <v>2860</v>
      </c>
      <c r="D948" s="5" t="s">
        <v>2861</v>
      </c>
      <c r="E948" s="5" t="s">
        <v>1968</v>
      </c>
      <c r="F948" s="5" t="s">
        <v>3452</v>
      </c>
      <c r="G948" s="5" t="s">
        <v>4200</v>
      </c>
      <c r="H948" s="5" t="s">
        <v>4207</v>
      </c>
      <c r="I948" s="5"/>
    </row>
    <row r="949" spans="1:9" x14ac:dyDescent="0.2">
      <c r="A949" s="5">
        <v>1</v>
      </c>
      <c r="B949" s="5" t="s">
        <v>3729</v>
      </c>
      <c r="C949" s="5" t="s">
        <v>2860</v>
      </c>
      <c r="D949" s="5" t="s">
        <v>2861</v>
      </c>
      <c r="E949" s="5" t="s">
        <v>1968</v>
      </c>
      <c r="F949" s="5" t="s">
        <v>3321</v>
      </c>
      <c r="G949" s="5"/>
      <c r="H949" s="5"/>
      <c r="I949" s="5"/>
    </row>
    <row r="950" spans="1:9" x14ac:dyDescent="0.2">
      <c r="A950" s="5">
        <v>1</v>
      </c>
      <c r="B950" s="5" t="s">
        <v>3729</v>
      </c>
      <c r="C950" s="5" t="s">
        <v>2860</v>
      </c>
      <c r="D950" s="5" t="s">
        <v>2861</v>
      </c>
      <c r="E950" s="5" t="s">
        <v>1968</v>
      </c>
      <c r="F950" s="5" t="s">
        <v>3125</v>
      </c>
      <c r="G950" s="5"/>
      <c r="H950" s="5"/>
      <c r="I950" s="5"/>
    </row>
    <row r="951" spans="1:9" x14ac:dyDescent="0.2">
      <c r="A951" s="5">
        <v>1</v>
      </c>
      <c r="B951" s="5" t="s">
        <v>3729</v>
      </c>
      <c r="C951" s="5" t="s">
        <v>2860</v>
      </c>
      <c r="D951" s="5" t="s">
        <v>2861</v>
      </c>
      <c r="E951" s="5" t="s">
        <v>1968</v>
      </c>
      <c r="F951" s="5" t="s">
        <v>3323</v>
      </c>
      <c r="G951" s="5"/>
      <c r="H951" s="5"/>
      <c r="I951" s="5"/>
    </row>
    <row r="952" spans="1:9" x14ac:dyDescent="0.2">
      <c r="A952" s="5">
        <v>1</v>
      </c>
      <c r="B952" s="5" t="s">
        <v>3636</v>
      </c>
      <c r="C952" s="5" t="s">
        <v>2860</v>
      </c>
      <c r="D952" s="5" t="s">
        <v>2861</v>
      </c>
      <c r="E952" s="5" t="s">
        <v>1968</v>
      </c>
      <c r="F952" s="5" t="s">
        <v>3325</v>
      </c>
      <c r="G952" s="5"/>
      <c r="H952" s="5"/>
      <c r="I952" s="5"/>
    </row>
    <row r="953" spans="1:9" x14ac:dyDescent="0.2">
      <c r="A953" s="5">
        <v>1</v>
      </c>
      <c r="B953" s="5" t="s">
        <v>3638</v>
      </c>
      <c r="C953" s="5" t="s">
        <v>2860</v>
      </c>
      <c r="D953" s="5" t="s">
        <v>2861</v>
      </c>
      <c r="E953" s="5" t="s">
        <v>1968</v>
      </c>
      <c r="F953" s="5" t="s">
        <v>3570</v>
      </c>
      <c r="G953" s="5" t="s">
        <v>3617</v>
      </c>
      <c r="H953" s="5"/>
      <c r="I953" s="5"/>
    </row>
    <row r="954" spans="1:9" x14ac:dyDescent="0.2">
      <c r="A954" s="5">
        <v>1</v>
      </c>
      <c r="B954" s="5" t="s">
        <v>3638</v>
      </c>
      <c r="C954" s="5" t="s">
        <v>2860</v>
      </c>
      <c r="D954" s="5" t="s">
        <v>2861</v>
      </c>
      <c r="E954" s="5" t="s">
        <v>1968</v>
      </c>
      <c r="F954" s="5" t="s">
        <v>3570</v>
      </c>
      <c r="G954" s="5" t="s">
        <v>3618</v>
      </c>
      <c r="H954" s="5"/>
      <c r="I954" s="5"/>
    </row>
    <row r="955" spans="1:9" x14ac:dyDescent="0.2">
      <c r="A955" s="5">
        <v>1</v>
      </c>
      <c r="B955" s="5" t="s">
        <v>3638</v>
      </c>
      <c r="C955" s="5" t="s">
        <v>2860</v>
      </c>
      <c r="D955" s="5" t="s">
        <v>2861</v>
      </c>
      <c r="E955" s="5" t="s">
        <v>1968</v>
      </c>
      <c r="F955" s="5" t="s">
        <v>3570</v>
      </c>
      <c r="G955" s="5" t="s">
        <v>3619</v>
      </c>
      <c r="H955" s="5"/>
      <c r="I955" s="5"/>
    </row>
    <row r="956" spans="1:9" x14ac:dyDescent="0.2">
      <c r="A956" s="5">
        <v>1</v>
      </c>
      <c r="B956" s="5" t="s">
        <v>3638</v>
      </c>
      <c r="C956" s="5" t="s">
        <v>2860</v>
      </c>
      <c r="D956" s="5" t="s">
        <v>2861</v>
      </c>
      <c r="E956" s="5" t="s">
        <v>1968</v>
      </c>
      <c r="F956" s="5" t="s">
        <v>3570</v>
      </c>
      <c r="G956" s="5" t="s">
        <v>3620</v>
      </c>
      <c r="H956" s="5"/>
      <c r="I956" s="5"/>
    </row>
    <row r="957" spans="1:9" x14ac:dyDescent="0.2">
      <c r="A957" s="5">
        <v>1</v>
      </c>
      <c r="B957" s="5" t="s">
        <v>3638</v>
      </c>
      <c r="C957" s="5" t="s">
        <v>2860</v>
      </c>
      <c r="D957" s="5" t="s">
        <v>2861</v>
      </c>
      <c r="E957" s="5" t="s">
        <v>1968</v>
      </c>
      <c r="F957" s="5" t="s">
        <v>3570</v>
      </c>
      <c r="G957" s="5" t="s">
        <v>3621</v>
      </c>
      <c r="H957" s="5"/>
      <c r="I957" s="5"/>
    </row>
    <row r="958" spans="1:9" x14ac:dyDescent="0.2">
      <c r="A958" s="5">
        <v>1</v>
      </c>
      <c r="B958" s="5" t="s">
        <v>3638</v>
      </c>
      <c r="C958" s="5" t="s">
        <v>2860</v>
      </c>
      <c r="D958" s="5" t="s">
        <v>2861</v>
      </c>
      <c r="E958" s="5" t="s">
        <v>1968</v>
      </c>
      <c r="F958" s="5" t="s">
        <v>3570</v>
      </c>
      <c r="G958" s="5" t="s">
        <v>3622</v>
      </c>
      <c r="H958" s="5"/>
      <c r="I958" s="5"/>
    </row>
    <row r="959" spans="1:9" x14ac:dyDescent="0.2">
      <c r="A959" s="5">
        <v>1</v>
      </c>
      <c r="B959" s="5" t="s">
        <v>3638</v>
      </c>
      <c r="C959" s="5" t="s">
        <v>2860</v>
      </c>
      <c r="D959" s="5" t="s">
        <v>2861</v>
      </c>
      <c r="E959" s="5" t="s">
        <v>1968</v>
      </c>
      <c r="F959" s="5" t="s">
        <v>3570</v>
      </c>
      <c r="G959" s="5" t="s">
        <v>3623</v>
      </c>
      <c r="H959" s="5"/>
      <c r="I959" s="5"/>
    </row>
    <row r="960" spans="1:9" x14ac:dyDescent="0.2">
      <c r="A960" s="5">
        <v>1</v>
      </c>
      <c r="B960" s="5" t="s">
        <v>3638</v>
      </c>
      <c r="C960" s="5" t="s">
        <v>2860</v>
      </c>
      <c r="D960" s="5" t="s">
        <v>2861</v>
      </c>
      <c r="E960" s="5" t="s">
        <v>1968</v>
      </c>
      <c r="F960" s="5" t="s">
        <v>3570</v>
      </c>
      <c r="G960" s="5" t="s">
        <v>3624</v>
      </c>
      <c r="H960" s="5"/>
      <c r="I960" s="5"/>
    </row>
    <row r="961" spans="1:9" x14ac:dyDescent="0.2">
      <c r="A961" s="5">
        <v>1</v>
      </c>
      <c r="B961" s="5" t="s">
        <v>3638</v>
      </c>
      <c r="C961" s="5" t="s">
        <v>2860</v>
      </c>
      <c r="D961" s="5" t="s">
        <v>2861</v>
      </c>
      <c r="E961" s="5" t="s">
        <v>1968</v>
      </c>
      <c r="F961" s="5" t="s">
        <v>3570</v>
      </c>
      <c r="G961" s="5" t="s">
        <v>3625</v>
      </c>
      <c r="H961" s="5"/>
      <c r="I961" s="5"/>
    </row>
    <row r="962" spans="1:9" x14ac:dyDescent="0.2">
      <c r="A962" s="5">
        <v>1</v>
      </c>
      <c r="B962" s="5" t="s">
        <v>3638</v>
      </c>
      <c r="C962" s="5" t="s">
        <v>2860</v>
      </c>
      <c r="D962" s="5" t="s">
        <v>2861</v>
      </c>
      <c r="E962" s="5" t="s">
        <v>1968</v>
      </c>
      <c r="F962" s="5" t="s">
        <v>3570</v>
      </c>
      <c r="G962" s="5" t="s">
        <v>3626</v>
      </c>
      <c r="H962" s="5"/>
      <c r="I962" s="5"/>
    </row>
    <row r="963" spans="1:9" x14ac:dyDescent="0.2">
      <c r="A963" s="5">
        <v>1</v>
      </c>
      <c r="B963" s="5" t="s">
        <v>3638</v>
      </c>
      <c r="C963" s="5" t="s">
        <v>2860</v>
      </c>
      <c r="D963" s="5" t="s">
        <v>2861</v>
      </c>
      <c r="E963" s="5" t="s">
        <v>1968</v>
      </c>
      <c r="F963" s="5" t="s">
        <v>3570</v>
      </c>
      <c r="G963" s="5" t="s">
        <v>3627</v>
      </c>
      <c r="H963" s="5"/>
      <c r="I963" s="5"/>
    </row>
    <row r="964" spans="1:9" x14ac:dyDescent="0.2">
      <c r="A964" s="5">
        <v>1</v>
      </c>
      <c r="B964" s="5" t="s">
        <v>3638</v>
      </c>
      <c r="C964" s="5" t="s">
        <v>2860</v>
      </c>
      <c r="D964" s="5" t="s">
        <v>2861</v>
      </c>
      <c r="E964" s="5" t="s">
        <v>1968</v>
      </c>
      <c r="F964" s="5" t="s">
        <v>3570</v>
      </c>
      <c r="G964" s="5" t="s">
        <v>3628</v>
      </c>
      <c r="H964" s="5"/>
      <c r="I964" s="5"/>
    </row>
    <row r="965" spans="1:9" x14ac:dyDescent="0.2">
      <c r="A965" s="5">
        <v>1</v>
      </c>
      <c r="B965" s="5" t="s">
        <v>3638</v>
      </c>
      <c r="C965" s="5" t="s">
        <v>2860</v>
      </c>
      <c r="D965" s="5" t="s">
        <v>2861</v>
      </c>
      <c r="E965" s="5" t="s">
        <v>1968</v>
      </c>
      <c r="F965" s="5" t="s">
        <v>3570</v>
      </c>
      <c r="G965" s="5" t="s">
        <v>3629</v>
      </c>
      <c r="H965" s="5"/>
      <c r="I965" s="5"/>
    </row>
    <row r="966" spans="1:9" x14ac:dyDescent="0.2">
      <c r="A966" s="5">
        <v>1</v>
      </c>
      <c r="B966" s="5" t="s">
        <v>3638</v>
      </c>
      <c r="C966" s="5" t="s">
        <v>2860</v>
      </c>
      <c r="D966" s="5" t="s">
        <v>2861</v>
      </c>
      <c r="E966" s="5" t="s">
        <v>1968</v>
      </c>
      <c r="F966" s="5" t="s">
        <v>3570</v>
      </c>
      <c r="G966" s="5" t="s">
        <v>3630</v>
      </c>
      <c r="H966" s="5"/>
      <c r="I966" s="5"/>
    </row>
    <row r="967" spans="1:9" x14ac:dyDescent="0.2">
      <c r="A967" s="5">
        <v>1</v>
      </c>
      <c r="B967" s="5" t="s">
        <v>3638</v>
      </c>
      <c r="C967" s="5" t="s">
        <v>2860</v>
      </c>
      <c r="D967" s="5" t="s">
        <v>2861</v>
      </c>
      <c r="E967" s="5" t="s">
        <v>1968</v>
      </c>
      <c r="F967" s="5" t="s">
        <v>3570</v>
      </c>
      <c r="G967" s="5" t="s">
        <v>3631</v>
      </c>
      <c r="H967" s="5"/>
      <c r="I967" s="5"/>
    </row>
    <row r="968" spans="1:9" x14ac:dyDescent="0.2">
      <c r="A968" s="5">
        <v>1</v>
      </c>
      <c r="B968" s="5" t="s">
        <v>3638</v>
      </c>
      <c r="C968" s="5" t="s">
        <v>2860</v>
      </c>
      <c r="D968" s="5" t="s">
        <v>2861</v>
      </c>
      <c r="E968" s="5" t="s">
        <v>1968</v>
      </c>
      <c r="F968" s="5" t="s">
        <v>3570</v>
      </c>
      <c r="G968" s="5" t="s">
        <v>3632</v>
      </c>
      <c r="H968" s="5"/>
      <c r="I968" s="5"/>
    </row>
    <row r="969" spans="1:9" x14ac:dyDescent="0.2">
      <c r="A969" s="5">
        <v>1</v>
      </c>
      <c r="B969" s="5" t="s">
        <v>3638</v>
      </c>
      <c r="C969" s="5" t="s">
        <v>2860</v>
      </c>
      <c r="D969" s="5" t="s">
        <v>2861</v>
      </c>
      <c r="E969" s="5" t="s">
        <v>1968</v>
      </c>
      <c r="F969" s="5" t="s">
        <v>3570</v>
      </c>
      <c r="G969" s="5" t="s">
        <v>3451</v>
      </c>
      <c r="H969" s="5"/>
      <c r="I969" s="5"/>
    </row>
    <row r="970" spans="1:9" x14ac:dyDescent="0.2">
      <c r="A970" s="5">
        <v>1</v>
      </c>
      <c r="B970" s="5" t="s">
        <v>3638</v>
      </c>
      <c r="C970" s="5" t="s">
        <v>2860</v>
      </c>
      <c r="D970" s="5" t="s">
        <v>2861</v>
      </c>
      <c r="E970" s="5" t="s">
        <v>1968</v>
      </c>
      <c r="F970" s="5" t="s">
        <v>3570</v>
      </c>
      <c r="G970" s="5" t="s">
        <v>3633</v>
      </c>
      <c r="H970" s="5"/>
      <c r="I970" s="5"/>
    </row>
    <row r="971" spans="1:9" x14ac:dyDescent="0.2">
      <c r="A971" s="5">
        <v>1</v>
      </c>
      <c r="B971" s="5" t="s">
        <v>3638</v>
      </c>
      <c r="C971" s="5" t="s">
        <v>2860</v>
      </c>
      <c r="D971" s="5" t="s">
        <v>2861</v>
      </c>
      <c r="E971" s="5" t="s">
        <v>1968</v>
      </c>
      <c r="F971" s="5" t="s">
        <v>3570</v>
      </c>
      <c r="G971" s="5" t="s">
        <v>3634</v>
      </c>
      <c r="H971" s="5"/>
      <c r="I971" s="5"/>
    </row>
    <row r="972" spans="1:9" x14ac:dyDescent="0.2">
      <c r="A972" s="5">
        <v>1</v>
      </c>
      <c r="B972" s="5" t="s">
        <v>3638</v>
      </c>
      <c r="C972" s="5" t="s">
        <v>2860</v>
      </c>
      <c r="D972" s="5" t="s">
        <v>2861</v>
      </c>
      <c r="E972" s="5" t="s">
        <v>1968</v>
      </c>
      <c r="F972" s="5" t="s">
        <v>2984</v>
      </c>
      <c r="G972" s="5" t="s">
        <v>3451</v>
      </c>
      <c r="H972" s="5"/>
      <c r="I972" s="5"/>
    </row>
    <row r="973" spans="1:9" x14ac:dyDescent="0.2">
      <c r="A973" s="5">
        <v>0</v>
      </c>
      <c r="B973" s="5" t="s">
        <v>3672</v>
      </c>
      <c r="C973" s="5" t="s">
        <v>2771</v>
      </c>
      <c r="D973" s="5" t="s">
        <v>2772</v>
      </c>
      <c r="E973" s="5" t="s">
        <v>1505</v>
      </c>
      <c r="F973" s="5" t="s">
        <v>3534</v>
      </c>
      <c r="G973" s="5" t="s">
        <v>4208</v>
      </c>
      <c r="H973" s="5" t="s">
        <v>4209</v>
      </c>
      <c r="I973" s="5"/>
    </row>
    <row r="974" spans="1:9" x14ac:dyDescent="0.2">
      <c r="A974" s="5">
        <v>0</v>
      </c>
      <c r="B974" s="5" t="s">
        <v>3672</v>
      </c>
      <c r="C974" s="5" t="s">
        <v>2771</v>
      </c>
      <c r="D974" s="5" t="s">
        <v>2772</v>
      </c>
      <c r="E974" s="5" t="s">
        <v>1505</v>
      </c>
      <c r="F974" s="5" t="s">
        <v>3109</v>
      </c>
      <c r="G974" s="5"/>
      <c r="H974" s="5" t="s">
        <v>3236</v>
      </c>
      <c r="I974" s="5"/>
    </row>
    <row r="975" spans="1:9" x14ac:dyDescent="0.2">
      <c r="A975" s="5">
        <v>0</v>
      </c>
      <c r="B975" s="5" t="s">
        <v>3672</v>
      </c>
      <c r="C975" s="5" t="s">
        <v>2862</v>
      </c>
      <c r="D975" s="5" t="s">
        <v>2863</v>
      </c>
      <c r="E975" s="5" t="s">
        <v>1505</v>
      </c>
      <c r="F975" s="5" t="s">
        <v>3321</v>
      </c>
      <c r="G975" s="5"/>
      <c r="H975" s="5"/>
      <c r="I975" s="5"/>
    </row>
    <row r="976" spans="1:9" x14ac:dyDescent="0.2">
      <c r="A976" s="5">
        <v>0</v>
      </c>
      <c r="B976" s="5" t="s">
        <v>3672</v>
      </c>
      <c r="C976" s="5" t="s">
        <v>2771</v>
      </c>
      <c r="D976" s="5" t="s">
        <v>2772</v>
      </c>
      <c r="E976" s="5" t="s">
        <v>1505</v>
      </c>
      <c r="F976" s="5" t="s">
        <v>3322</v>
      </c>
      <c r="G976" s="5"/>
      <c r="H976" s="5"/>
      <c r="I976" s="5"/>
    </row>
    <row r="977" spans="1:9" x14ac:dyDescent="0.2">
      <c r="A977" s="5">
        <v>0</v>
      </c>
      <c r="B977" s="5" t="s">
        <v>3672</v>
      </c>
      <c r="C977" s="5" t="s">
        <v>2862</v>
      </c>
      <c r="D977" s="5" t="s">
        <v>2863</v>
      </c>
      <c r="E977" s="5" t="s">
        <v>1505</v>
      </c>
      <c r="F977" s="5" t="s">
        <v>3125</v>
      </c>
      <c r="G977" s="5"/>
      <c r="H977" s="5"/>
      <c r="I977" s="5"/>
    </row>
    <row r="978" spans="1:9" x14ac:dyDescent="0.2">
      <c r="A978" s="5">
        <v>0</v>
      </c>
      <c r="B978" s="5" t="s">
        <v>3672</v>
      </c>
      <c r="C978" s="5" t="s">
        <v>2771</v>
      </c>
      <c r="D978" s="5" t="s">
        <v>2772</v>
      </c>
      <c r="E978" s="5" t="s">
        <v>1505</v>
      </c>
      <c r="F978" s="5" t="s">
        <v>3323</v>
      </c>
      <c r="G978" s="5"/>
      <c r="H978" s="5"/>
      <c r="I978" s="5"/>
    </row>
    <row r="979" spans="1:9" x14ac:dyDescent="0.2">
      <c r="A979" s="5">
        <v>0</v>
      </c>
      <c r="B979" s="5" t="s">
        <v>3672</v>
      </c>
      <c r="C979" s="5" t="s">
        <v>2771</v>
      </c>
      <c r="D979" s="5" t="s">
        <v>2772</v>
      </c>
      <c r="E979" s="5" t="s">
        <v>1505</v>
      </c>
      <c r="F979" s="5" t="s">
        <v>3324</v>
      </c>
      <c r="G979" s="5"/>
      <c r="H979" s="5"/>
      <c r="I979" s="5"/>
    </row>
    <row r="980" spans="1:9" x14ac:dyDescent="0.2">
      <c r="A980" s="5">
        <v>0</v>
      </c>
      <c r="B980" s="5" t="s">
        <v>3672</v>
      </c>
      <c r="C980" s="5" t="s">
        <v>2771</v>
      </c>
      <c r="D980" s="5" t="s">
        <v>2772</v>
      </c>
      <c r="E980" s="5" t="s">
        <v>1505</v>
      </c>
      <c r="F980" s="5" t="s">
        <v>3325</v>
      </c>
      <c r="G980" s="5"/>
      <c r="H980" s="5"/>
      <c r="I980" s="5"/>
    </row>
    <row r="981" spans="1:9" x14ac:dyDescent="0.2">
      <c r="A981" s="5">
        <v>0</v>
      </c>
      <c r="B981" s="5" t="s">
        <v>3672</v>
      </c>
      <c r="C981" s="5" t="s">
        <v>2862</v>
      </c>
      <c r="D981" s="5" t="s">
        <v>2863</v>
      </c>
      <c r="E981" s="5" t="s">
        <v>1505</v>
      </c>
      <c r="F981" s="5" t="s">
        <v>3400</v>
      </c>
      <c r="G981" s="5"/>
      <c r="H981" s="5"/>
      <c r="I981" s="5"/>
    </row>
    <row r="982" spans="1:9" x14ac:dyDescent="0.2">
      <c r="A982" s="5">
        <v>0</v>
      </c>
      <c r="B982" s="5" t="s">
        <v>3672</v>
      </c>
      <c r="C982" s="5" t="s">
        <v>2771</v>
      </c>
      <c r="D982" s="5" t="s">
        <v>2772</v>
      </c>
      <c r="E982" s="5" t="s">
        <v>1505</v>
      </c>
      <c r="F982" s="5" t="s">
        <v>3162</v>
      </c>
      <c r="G982" s="5" t="s">
        <v>3671</v>
      </c>
      <c r="H982" s="5" t="s">
        <v>2890</v>
      </c>
      <c r="I982" s="5"/>
    </row>
    <row r="983" spans="1:9" x14ac:dyDescent="0.2">
      <c r="A983" s="5">
        <v>1</v>
      </c>
      <c r="B983" s="5" t="s">
        <v>3802</v>
      </c>
      <c r="C983" s="5" t="s">
        <v>3054</v>
      </c>
      <c r="D983" s="5" t="s">
        <v>3055</v>
      </c>
      <c r="E983" s="5" t="s">
        <v>60</v>
      </c>
      <c r="F983" s="5" t="s">
        <v>3798</v>
      </c>
      <c r="G983" s="5" t="s">
        <v>4210</v>
      </c>
      <c r="H983" s="5" t="s">
        <v>4211</v>
      </c>
      <c r="I983" s="5"/>
    </row>
    <row r="984" spans="1:9" x14ac:dyDescent="0.2">
      <c r="A984" s="5">
        <v>1</v>
      </c>
      <c r="B984" s="5" t="s">
        <v>3802</v>
      </c>
      <c r="C984" s="5" t="s">
        <v>3054</v>
      </c>
      <c r="D984" s="5" t="s">
        <v>3055</v>
      </c>
      <c r="E984" s="5" t="s">
        <v>60</v>
      </c>
      <c r="F984" s="5" t="s">
        <v>3797</v>
      </c>
      <c r="G984" s="5" t="s">
        <v>4212</v>
      </c>
      <c r="H984" s="5" t="s">
        <v>4213</v>
      </c>
      <c r="I984" s="5"/>
    </row>
    <row r="985" spans="1:9" x14ac:dyDescent="0.2">
      <c r="A985" s="5">
        <v>1</v>
      </c>
      <c r="B985" s="5" t="s">
        <v>3803</v>
      </c>
      <c r="C985" s="5" t="s">
        <v>2301</v>
      </c>
      <c r="D985" s="5" t="s">
        <v>2302</v>
      </c>
      <c r="E985" s="5" t="s">
        <v>60</v>
      </c>
      <c r="F985" s="5" t="s">
        <v>3800</v>
      </c>
      <c r="G985" s="5" t="s">
        <v>3792</v>
      </c>
      <c r="H985" s="5"/>
      <c r="I985" s="5"/>
    </row>
    <row r="986" spans="1:9" x14ac:dyDescent="0.2">
      <c r="A986" s="5">
        <v>1</v>
      </c>
      <c r="B986" s="5" t="s">
        <v>3803</v>
      </c>
      <c r="C986" s="5" t="s">
        <v>2301</v>
      </c>
      <c r="D986" s="5" t="s">
        <v>2302</v>
      </c>
      <c r="E986" s="5" t="s">
        <v>60</v>
      </c>
      <c r="F986" s="5" t="s">
        <v>3800</v>
      </c>
      <c r="G986" s="5" t="s">
        <v>3793</v>
      </c>
      <c r="H986" s="5"/>
      <c r="I986" s="5"/>
    </row>
    <row r="987" spans="1:9" x14ac:dyDescent="0.2">
      <c r="A987" s="5">
        <v>1</v>
      </c>
      <c r="B987" s="5" t="s">
        <v>3803</v>
      </c>
      <c r="C987" s="5" t="s">
        <v>2487</v>
      </c>
      <c r="D987" s="5" t="s">
        <v>2488</v>
      </c>
      <c r="E987" s="5" t="s">
        <v>60</v>
      </c>
      <c r="F987" s="5" t="s">
        <v>3800</v>
      </c>
      <c r="G987" s="5" t="s">
        <v>3794</v>
      </c>
      <c r="H987" s="5"/>
      <c r="I987" s="5"/>
    </row>
    <row r="988" spans="1:9" x14ac:dyDescent="0.2">
      <c r="A988" s="5">
        <v>1</v>
      </c>
      <c r="B988" s="5" t="s">
        <v>3803</v>
      </c>
      <c r="C988" s="5" t="s">
        <v>2487</v>
      </c>
      <c r="D988" s="5" t="s">
        <v>2488</v>
      </c>
      <c r="E988" s="5" t="s">
        <v>60</v>
      </c>
      <c r="F988" s="5" t="s">
        <v>3800</v>
      </c>
      <c r="G988" s="5" t="s">
        <v>3795</v>
      </c>
      <c r="H988" s="5"/>
      <c r="I988" s="5"/>
    </row>
    <row r="989" spans="1:9" x14ac:dyDescent="0.2">
      <c r="A989" s="5">
        <v>1</v>
      </c>
      <c r="B989" s="5" t="s">
        <v>3461</v>
      </c>
      <c r="C989" s="5" t="s">
        <v>2544</v>
      </c>
      <c r="D989" s="5" t="s">
        <v>2545</v>
      </c>
      <c r="E989" s="5" t="s">
        <v>88</v>
      </c>
      <c r="F989" s="5" t="s">
        <v>3090</v>
      </c>
      <c r="G989" s="5"/>
      <c r="H989" s="5" t="s">
        <v>3225</v>
      </c>
      <c r="I989" s="5"/>
    </row>
    <row r="990" spans="1:9" x14ac:dyDescent="0.2">
      <c r="A990" s="5">
        <v>1</v>
      </c>
      <c r="B990" s="5" t="s">
        <v>3461</v>
      </c>
      <c r="C990" s="5" t="s">
        <v>1531</v>
      </c>
      <c r="D990" s="5" t="s">
        <v>1532</v>
      </c>
      <c r="E990" s="5" t="s">
        <v>88</v>
      </c>
      <c r="F990" s="5" t="s">
        <v>3089</v>
      </c>
      <c r="G990" s="5"/>
      <c r="H990" s="5" t="s">
        <v>3224</v>
      </c>
      <c r="I990" s="5"/>
    </row>
    <row r="991" spans="1:9" x14ac:dyDescent="0.2">
      <c r="A991" s="5">
        <v>1</v>
      </c>
      <c r="B991" s="5" t="s">
        <v>3804</v>
      </c>
      <c r="C991" s="5" t="s">
        <v>2797</v>
      </c>
      <c r="D991" s="5" t="s">
        <v>2798</v>
      </c>
      <c r="E991" s="5" t="s">
        <v>2276</v>
      </c>
      <c r="F991" s="5" t="s">
        <v>3800</v>
      </c>
      <c r="G991" s="5" t="s">
        <v>3796</v>
      </c>
      <c r="H991" s="5"/>
      <c r="I991" s="5"/>
    </row>
    <row r="992" spans="1:9" x14ac:dyDescent="0.2">
      <c r="A992" s="5">
        <v>1</v>
      </c>
      <c r="B992" s="5" t="s">
        <v>3855</v>
      </c>
      <c r="C992" s="5" t="s">
        <v>2771</v>
      </c>
      <c r="D992" s="5" t="s">
        <v>3765</v>
      </c>
      <c r="E992" s="5" t="s">
        <v>1505</v>
      </c>
      <c r="F992" s="5" t="s">
        <v>3570</v>
      </c>
      <c r="G992" s="5" t="s">
        <v>3669</v>
      </c>
      <c r="H992" s="5"/>
      <c r="I992" s="5"/>
    </row>
    <row r="993" spans="1:9" x14ac:dyDescent="0.2">
      <c r="A993" s="5">
        <v>1</v>
      </c>
      <c r="B993" s="5" t="s">
        <v>3855</v>
      </c>
      <c r="C993" s="5" t="s">
        <v>2771</v>
      </c>
      <c r="D993" s="5" t="s">
        <v>3765</v>
      </c>
      <c r="E993" s="5" t="s">
        <v>1505</v>
      </c>
      <c r="F993" s="5" t="s">
        <v>3570</v>
      </c>
      <c r="G993" s="5" t="s">
        <v>3670</v>
      </c>
      <c r="H993" s="5"/>
      <c r="I993" s="5"/>
    </row>
    <row r="994" spans="1:9" x14ac:dyDescent="0.2">
      <c r="A994" s="5">
        <v>1</v>
      </c>
      <c r="B994" s="5" t="s">
        <v>3855</v>
      </c>
      <c r="C994" s="5" t="s">
        <v>2156</v>
      </c>
      <c r="D994" s="5" t="s">
        <v>2157</v>
      </c>
      <c r="E994" s="5" t="s">
        <v>1505</v>
      </c>
      <c r="F994" s="5" t="s">
        <v>3801</v>
      </c>
      <c r="G994" s="5" t="s">
        <v>3831</v>
      </c>
      <c r="H994" s="5"/>
      <c r="I994" s="5"/>
    </row>
    <row r="995" spans="1:9" x14ac:dyDescent="0.2">
      <c r="A995" s="5">
        <v>1</v>
      </c>
      <c r="B995" s="5" t="s">
        <v>3857</v>
      </c>
      <c r="C995" s="5" t="s">
        <v>2723</v>
      </c>
      <c r="D995" s="5" t="s">
        <v>2724</v>
      </c>
      <c r="E995" s="5" t="s">
        <v>60</v>
      </c>
      <c r="F995" s="5" t="s">
        <v>3843</v>
      </c>
      <c r="G995" s="5"/>
      <c r="H995" s="5"/>
      <c r="I995" s="5"/>
    </row>
    <row r="996" spans="1:9" x14ac:dyDescent="0.2">
      <c r="A996" s="5">
        <v>1</v>
      </c>
      <c r="B996" s="5" t="s">
        <v>3858</v>
      </c>
      <c r="C996" s="5" t="s">
        <v>1839</v>
      </c>
      <c r="D996" s="5" t="s">
        <v>1840</v>
      </c>
      <c r="E996" s="5" t="s">
        <v>60</v>
      </c>
      <c r="F996" s="5" t="s">
        <v>3825</v>
      </c>
      <c r="G996" s="5"/>
      <c r="H996" s="5"/>
      <c r="I996" s="5"/>
    </row>
    <row r="997" spans="1:9" x14ac:dyDescent="0.2">
      <c r="A997" s="5">
        <v>1</v>
      </c>
      <c r="B997" s="5" t="s">
        <v>3893</v>
      </c>
      <c r="C997" s="5" t="s">
        <v>1502</v>
      </c>
      <c r="D997" s="5" t="s">
        <v>1503</v>
      </c>
      <c r="E997" s="5" t="s">
        <v>60</v>
      </c>
      <c r="F997" s="5" t="s">
        <v>2984</v>
      </c>
      <c r="G997" s="5" t="s">
        <v>3134</v>
      </c>
      <c r="H997" s="5"/>
      <c r="I997" s="5"/>
    </row>
    <row r="998" spans="1:9" x14ac:dyDescent="0.2">
      <c r="A998" s="5">
        <v>1</v>
      </c>
      <c r="B998" s="5" t="s">
        <v>3893</v>
      </c>
      <c r="C998" s="5" t="s">
        <v>1502</v>
      </c>
      <c r="D998" s="5" t="s">
        <v>1503</v>
      </c>
      <c r="E998" s="5" t="s">
        <v>60</v>
      </c>
      <c r="F998" s="5" t="s">
        <v>2984</v>
      </c>
      <c r="G998" s="5" t="s">
        <v>3135</v>
      </c>
      <c r="H998" s="5"/>
      <c r="I998" s="5"/>
    </row>
    <row r="999" spans="1:9" x14ac:dyDescent="0.2">
      <c r="A999" s="5">
        <v>1</v>
      </c>
      <c r="B999" s="5" t="s">
        <v>3893</v>
      </c>
      <c r="C999" s="5" t="s">
        <v>1502</v>
      </c>
      <c r="D999" s="5" t="s">
        <v>1503</v>
      </c>
      <c r="E999" s="5" t="s">
        <v>60</v>
      </c>
      <c r="F999" s="5" t="s">
        <v>2984</v>
      </c>
      <c r="G999" s="5" t="s">
        <v>3136</v>
      </c>
      <c r="H999" s="5"/>
      <c r="I999" s="5"/>
    </row>
    <row r="1000" spans="1:9" x14ac:dyDescent="0.2">
      <c r="A1000" s="5">
        <v>1</v>
      </c>
      <c r="B1000" s="5" t="s">
        <v>3893</v>
      </c>
      <c r="C1000" s="5" t="s">
        <v>1502</v>
      </c>
      <c r="D1000" s="5" t="s">
        <v>1503</v>
      </c>
      <c r="E1000" s="5" t="s">
        <v>60</v>
      </c>
      <c r="F1000" s="5" t="s">
        <v>2984</v>
      </c>
      <c r="G1000" s="5" t="s">
        <v>3875</v>
      </c>
      <c r="H1000" s="5"/>
      <c r="I1000" s="5"/>
    </row>
    <row r="1001" spans="1:9" x14ac:dyDescent="0.2">
      <c r="A1001" s="5">
        <v>1</v>
      </c>
      <c r="B1001" s="5" t="s">
        <v>3893</v>
      </c>
      <c r="C1001" s="5" t="s">
        <v>1502</v>
      </c>
      <c r="D1001" s="5" t="s">
        <v>1503</v>
      </c>
      <c r="E1001" s="5" t="s">
        <v>60</v>
      </c>
      <c r="F1001" s="5" t="s">
        <v>2984</v>
      </c>
      <c r="G1001" s="5" t="s">
        <v>3137</v>
      </c>
      <c r="H1001" s="5"/>
      <c r="I1001" s="5"/>
    </row>
    <row r="1002" spans="1:9" x14ac:dyDescent="0.2">
      <c r="A1002" s="5">
        <v>1</v>
      </c>
      <c r="B1002" s="5" t="s">
        <v>3893</v>
      </c>
      <c r="C1002" s="5" t="s">
        <v>1502</v>
      </c>
      <c r="D1002" s="5" t="s">
        <v>1503</v>
      </c>
      <c r="E1002" s="5" t="s">
        <v>60</v>
      </c>
      <c r="F1002" s="5" t="s">
        <v>2984</v>
      </c>
      <c r="G1002" s="5" t="s">
        <v>3140</v>
      </c>
      <c r="H1002" s="5"/>
      <c r="I1002" s="5"/>
    </row>
    <row r="1003" spans="1:9" x14ac:dyDescent="0.2">
      <c r="A1003" s="5">
        <v>1</v>
      </c>
      <c r="B1003" s="5" t="s">
        <v>3893</v>
      </c>
      <c r="C1003" s="5" t="s">
        <v>1502</v>
      </c>
      <c r="D1003" s="5" t="s">
        <v>1503</v>
      </c>
      <c r="E1003" s="5" t="s">
        <v>60</v>
      </c>
      <c r="F1003" s="5" t="s">
        <v>3192</v>
      </c>
      <c r="G1003" s="5" t="s">
        <v>3271</v>
      </c>
      <c r="H1003" s="5"/>
      <c r="I1003" s="5"/>
    </row>
    <row r="1004" spans="1:9" x14ac:dyDescent="0.2">
      <c r="A1004" s="5">
        <v>1</v>
      </c>
      <c r="B1004" s="5" t="s">
        <v>3894</v>
      </c>
      <c r="C1004" s="5" t="s">
        <v>2723</v>
      </c>
      <c r="D1004" s="5" t="s">
        <v>2724</v>
      </c>
      <c r="E1004" s="5" t="s">
        <v>60</v>
      </c>
      <c r="F1004" s="5" t="s">
        <v>3881</v>
      </c>
      <c r="G1004" s="5"/>
      <c r="H1004" s="5"/>
      <c r="I1004" s="5"/>
    </row>
    <row r="1005" spans="1:9" x14ac:dyDescent="0.2">
      <c r="A1005" s="5">
        <v>1</v>
      </c>
      <c r="B1005" s="5" t="s">
        <v>3895</v>
      </c>
      <c r="C1005" s="5" t="s">
        <v>1839</v>
      </c>
      <c r="D1005" s="5" t="s">
        <v>1840</v>
      </c>
      <c r="E1005" s="5" t="s">
        <v>60</v>
      </c>
      <c r="F1005" s="5" t="s">
        <v>3879</v>
      </c>
      <c r="G1005" s="5"/>
      <c r="H1005" s="5"/>
      <c r="I1005" s="5"/>
    </row>
    <row r="1006" spans="1:9" x14ac:dyDescent="0.2">
      <c r="A1006" s="5">
        <v>1</v>
      </c>
      <c r="B1006" s="5" t="s">
        <v>3901</v>
      </c>
      <c r="C1006" s="5" t="s">
        <v>3054</v>
      </c>
      <c r="D1006" s="5" t="s">
        <v>3055</v>
      </c>
      <c r="E1006" s="5" t="s">
        <v>60</v>
      </c>
      <c r="F1006" s="5" t="s">
        <v>3798</v>
      </c>
      <c r="G1006" s="5" t="s">
        <v>4214</v>
      </c>
      <c r="H1006" s="5" t="s">
        <v>4211</v>
      </c>
      <c r="I1006" s="5"/>
    </row>
    <row r="1007" spans="1:9" x14ac:dyDescent="0.2">
      <c r="A1007" s="5">
        <v>1</v>
      </c>
      <c r="B1007" s="5" t="s">
        <v>3901</v>
      </c>
      <c r="C1007" s="5" t="s">
        <v>3054</v>
      </c>
      <c r="D1007" s="5" t="s">
        <v>3055</v>
      </c>
      <c r="E1007" s="5" t="s">
        <v>60</v>
      </c>
      <c r="F1007" s="5" t="s">
        <v>3797</v>
      </c>
      <c r="G1007" s="5" t="s">
        <v>4214</v>
      </c>
      <c r="H1007" s="5" t="s">
        <v>4213</v>
      </c>
      <c r="I1007" s="5"/>
    </row>
    <row r="1008" spans="1:9" x14ac:dyDescent="0.2">
      <c r="A1008" s="5">
        <v>1</v>
      </c>
      <c r="B1008" s="5" t="s">
        <v>3902</v>
      </c>
      <c r="C1008" s="5" t="s">
        <v>2433</v>
      </c>
      <c r="D1008" s="5" t="s">
        <v>2434</v>
      </c>
      <c r="E1008" s="5" t="s">
        <v>2160</v>
      </c>
      <c r="F1008" s="5" t="s">
        <v>3800</v>
      </c>
      <c r="G1008" s="5" t="s">
        <v>3841</v>
      </c>
      <c r="H1008" s="5"/>
      <c r="I1008" s="5"/>
    </row>
    <row r="1009" spans="1:9" x14ac:dyDescent="0.2">
      <c r="A1009" s="5">
        <v>1</v>
      </c>
      <c r="B1009" s="5" t="s">
        <v>3902</v>
      </c>
      <c r="C1009" s="5" t="s">
        <v>2433</v>
      </c>
      <c r="D1009" s="5" t="s">
        <v>2434</v>
      </c>
      <c r="E1009" s="5" t="s">
        <v>2160</v>
      </c>
      <c r="F1009" s="5" t="s">
        <v>3800</v>
      </c>
      <c r="G1009" s="5" t="s">
        <v>3842</v>
      </c>
      <c r="H1009" s="5"/>
      <c r="I1009" s="5"/>
    </row>
    <row r="1010" spans="1:9" x14ac:dyDescent="0.2">
      <c r="A1010" s="5">
        <v>1</v>
      </c>
      <c r="B1010" s="5" t="s">
        <v>3903</v>
      </c>
      <c r="C1010" s="5" t="s">
        <v>1531</v>
      </c>
      <c r="D1010" s="5" t="s">
        <v>1532</v>
      </c>
      <c r="E1010" s="5" t="s">
        <v>88</v>
      </c>
      <c r="F1010" s="5" t="s">
        <v>3570</v>
      </c>
      <c r="G1010" s="5" t="s">
        <v>3876</v>
      </c>
      <c r="H1010" s="5"/>
      <c r="I1010" s="5"/>
    </row>
    <row r="1011" spans="1:9" x14ac:dyDescent="0.2">
      <c r="A1011" s="5">
        <v>1</v>
      </c>
      <c r="B1011" s="5" t="s">
        <v>3903</v>
      </c>
      <c r="C1011" s="5" t="s">
        <v>1531</v>
      </c>
      <c r="D1011" s="5" t="s">
        <v>1532</v>
      </c>
      <c r="E1011" s="5" t="s">
        <v>88</v>
      </c>
      <c r="F1011" s="5" t="s">
        <v>3570</v>
      </c>
      <c r="G1011" s="5" t="s">
        <v>3877</v>
      </c>
      <c r="H1011" s="5"/>
      <c r="I1011" s="5"/>
    </row>
    <row r="1012" spans="1:9" x14ac:dyDescent="0.2">
      <c r="A1012" s="5">
        <v>1</v>
      </c>
      <c r="B1012" s="5" t="s">
        <v>3903</v>
      </c>
      <c r="C1012" s="5" t="s">
        <v>1531</v>
      </c>
      <c r="D1012" s="5" t="s">
        <v>1532</v>
      </c>
      <c r="E1012" s="5" t="s">
        <v>88</v>
      </c>
      <c r="F1012" s="5" t="s">
        <v>3570</v>
      </c>
      <c r="G1012" s="5" t="s">
        <v>3878</v>
      </c>
      <c r="H1012" s="5"/>
      <c r="I1012" s="5"/>
    </row>
    <row r="1013" spans="1:9" x14ac:dyDescent="0.2">
      <c r="A1013" s="5">
        <v>1</v>
      </c>
      <c r="B1013" s="5" t="s">
        <v>3903</v>
      </c>
      <c r="C1013" s="5" t="s">
        <v>1531</v>
      </c>
      <c r="D1013" s="5" t="s">
        <v>1532</v>
      </c>
      <c r="E1013" s="5" t="s">
        <v>88</v>
      </c>
      <c r="F1013" s="5" t="s">
        <v>3290</v>
      </c>
      <c r="G1013" s="5" t="s">
        <v>3823</v>
      </c>
      <c r="H1013" s="5" t="s">
        <v>2950</v>
      </c>
      <c r="I1013" s="5"/>
    </row>
    <row r="1014" spans="1:9" x14ac:dyDescent="0.2">
      <c r="A1014" s="5">
        <v>1</v>
      </c>
      <c r="B1014" s="5" t="s">
        <v>3903</v>
      </c>
      <c r="C1014" s="5" t="s">
        <v>1531</v>
      </c>
      <c r="D1014" s="5" t="s">
        <v>1532</v>
      </c>
      <c r="E1014" s="5" t="s">
        <v>88</v>
      </c>
      <c r="F1014" s="5" t="s">
        <v>3291</v>
      </c>
      <c r="G1014" s="5" t="s">
        <v>3824</v>
      </c>
      <c r="H1014" s="5" t="s">
        <v>3822</v>
      </c>
      <c r="I1014" s="5"/>
    </row>
    <row r="1015" spans="1:9" x14ac:dyDescent="0.2">
      <c r="A1015" s="5">
        <v>1</v>
      </c>
      <c r="B1015" s="5" t="s">
        <v>3903</v>
      </c>
      <c r="C1015" s="5" t="s">
        <v>2380</v>
      </c>
      <c r="D1015" s="5" t="s">
        <v>2381</v>
      </c>
      <c r="E1015" s="5" t="s">
        <v>219</v>
      </c>
      <c r="F1015" s="5" t="s">
        <v>3801</v>
      </c>
      <c r="G1015" s="5" t="s">
        <v>3370</v>
      </c>
      <c r="H1015" s="5"/>
      <c r="I1015" s="5"/>
    </row>
    <row r="1016" spans="1:9" x14ac:dyDescent="0.2">
      <c r="A1016" s="5">
        <v>1</v>
      </c>
      <c r="B1016" s="5" t="s">
        <v>3903</v>
      </c>
      <c r="C1016" s="5" t="s">
        <v>2380</v>
      </c>
      <c r="D1016" s="5" t="s">
        <v>2381</v>
      </c>
      <c r="E1016" s="5" t="s">
        <v>219</v>
      </c>
      <c r="F1016" s="5" t="s">
        <v>3801</v>
      </c>
      <c r="G1016" s="5" t="s">
        <v>3838</v>
      </c>
      <c r="H1016" s="5"/>
      <c r="I1016" s="5"/>
    </row>
    <row r="1017" spans="1:9" x14ac:dyDescent="0.2">
      <c r="A1017" s="5">
        <v>1</v>
      </c>
      <c r="B1017" s="5" t="s">
        <v>3903</v>
      </c>
      <c r="C1017" s="5" t="s">
        <v>2630</v>
      </c>
      <c r="D1017" s="5" t="s">
        <v>2631</v>
      </c>
      <c r="E1017" s="5" t="s">
        <v>219</v>
      </c>
      <c r="F1017" s="5" t="s">
        <v>3801</v>
      </c>
      <c r="G1017" s="5" t="s">
        <v>3846</v>
      </c>
      <c r="H1017" s="5"/>
      <c r="I1017" s="5"/>
    </row>
    <row r="1018" spans="1:9" x14ac:dyDescent="0.2">
      <c r="A1018" s="5">
        <v>1</v>
      </c>
      <c r="B1018" s="5" t="s">
        <v>3903</v>
      </c>
      <c r="C1018" s="5" t="s">
        <v>362</v>
      </c>
      <c r="D1018" s="5" t="s">
        <v>363</v>
      </c>
      <c r="E1018" s="5" t="s">
        <v>219</v>
      </c>
      <c r="F1018" s="5" t="s">
        <v>3800</v>
      </c>
      <c r="G1018" s="5" t="s">
        <v>3561</v>
      </c>
      <c r="H1018" s="5"/>
      <c r="I1018" s="5"/>
    </row>
    <row r="1019" spans="1:9" x14ac:dyDescent="0.2">
      <c r="A1019" s="5">
        <v>1</v>
      </c>
      <c r="B1019" s="5" t="s">
        <v>3903</v>
      </c>
      <c r="C1019" s="5" t="s">
        <v>2380</v>
      </c>
      <c r="D1019" s="5" t="s">
        <v>2381</v>
      </c>
      <c r="E1019" s="5" t="s">
        <v>219</v>
      </c>
      <c r="F1019" s="5" t="s">
        <v>3800</v>
      </c>
      <c r="G1019" s="5" t="s">
        <v>3370</v>
      </c>
      <c r="H1019" s="5"/>
      <c r="I1019" s="5"/>
    </row>
    <row r="1020" spans="1:9" x14ac:dyDescent="0.2">
      <c r="A1020" s="5">
        <v>1</v>
      </c>
      <c r="B1020" s="5" t="s">
        <v>3903</v>
      </c>
      <c r="C1020" s="5" t="s">
        <v>2380</v>
      </c>
      <c r="D1020" s="5" t="s">
        <v>2381</v>
      </c>
      <c r="E1020" s="5" t="s">
        <v>219</v>
      </c>
      <c r="F1020" s="5" t="s">
        <v>3800</v>
      </c>
      <c r="G1020" s="5" t="s">
        <v>3837</v>
      </c>
      <c r="H1020" s="5"/>
      <c r="I1020" s="5"/>
    </row>
    <row r="1021" spans="1:9" x14ac:dyDescent="0.2">
      <c r="A1021" s="5">
        <v>1</v>
      </c>
      <c r="B1021" s="5" t="s">
        <v>3903</v>
      </c>
      <c r="C1021" s="5" t="s">
        <v>2380</v>
      </c>
      <c r="D1021" s="5" t="s">
        <v>2381</v>
      </c>
      <c r="E1021" s="5" t="s">
        <v>219</v>
      </c>
      <c r="F1021" s="5" t="s">
        <v>3800</v>
      </c>
      <c r="G1021" s="5" t="s">
        <v>3838</v>
      </c>
      <c r="H1021" s="5"/>
      <c r="I1021" s="5"/>
    </row>
    <row r="1022" spans="1:9" x14ac:dyDescent="0.2">
      <c r="A1022" s="5">
        <v>1</v>
      </c>
      <c r="B1022" s="5" t="s">
        <v>3903</v>
      </c>
      <c r="C1022" s="5" t="s">
        <v>2380</v>
      </c>
      <c r="D1022" s="5" t="s">
        <v>2381</v>
      </c>
      <c r="E1022" s="5" t="s">
        <v>219</v>
      </c>
      <c r="F1022" s="5" t="s">
        <v>3800</v>
      </c>
      <c r="G1022" s="5" t="s">
        <v>3371</v>
      </c>
      <c r="H1022" s="5"/>
      <c r="I1022" s="5"/>
    </row>
    <row r="1023" spans="1:9" x14ac:dyDescent="0.2">
      <c r="A1023" s="5">
        <v>1</v>
      </c>
      <c r="B1023" s="5" t="s">
        <v>3903</v>
      </c>
      <c r="C1023" s="5" t="s">
        <v>2131</v>
      </c>
      <c r="D1023" s="5" t="s">
        <v>2132</v>
      </c>
      <c r="E1023" s="5" t="s">
        <v>1968</v>
      </c>
      <c r="F1023" s="5" t="s">
        <v>3801</v>
      </c>
      <c r="G1023" s="5" t="s">
        <v>3826</v>
      </c>
      <c r="H1023" s="5"/>
      <c r="I1023" s="5"/>
    </row>
    <row r="1024" spans="1:9" x14ac:dyDescent="0.2">
      <c r="A1024" s="5">
        <v>1</v>
      </c>
      <c r="B1024" s="5" t="s">
        <v>3903</v>
      </c>
      <c r="C1024" s="5" t="s">
        <v>2131</v>
      </c>
      <c r="D1024" s="5" t="s">
        <v>2132</v>
      </c>
      <c r="E1024" s="5" t="s">
        <v>1968</v>
      </c>
      <c r="F1024" s="5" t="s">
        <v>3801</v>
      </c>
      <c r="G1024" s="5" t="s">
        <v>3827</v>
      </c>
      <c r="H1024" s="5"/>
      <c r="I1024" s="5"/>
    </row>
    <row r="1025" spans="1:9" x14ac:dyDescent="0.2">
      <c r="A1025" s="5">
        <v>1</v>
      </c>
      <c r="B1025" s="5" t="s">
        <v>3903</v>
      </c>
      <c r="C1025" s="5" t="s">
        <v>2131</v>
      </c>
      <c r="D1025" s="5" t="s">
        <v>2132</v>
      </c>
      <c r="E1025" s="5" t="s">
        <v>1968</v>
      </c>
      <c r="F1025" s="5" t="s">
        <v>3801</v>
      </c>
      <c r="G1025" s="5" t="s">
        <v>3828</v>
      </c>
      <c r="H1025" s="5"/>
      <c r="I1025" s="5"/>
    </row>
    <row r="1026" spans="1:9" x14ac:dyDescent="0.2">
      <c r="A1026" s="5">
        <v>1</v>
      </c>
      <c r="B1026" s="5" t="s">
        <v>3903</v>
      </c>
      <c r="C1026" s="5" t="s">
        <v>2131</v>
      </c>
      <c r="D1026" s="5" t="s">
        <v>2132</v>
      </c>
      <c r="E1026" s="5" t="s">
        <v>1968</v>
      </c>
      <c r="F1026" s="5" t="s">
        <v>3800</v>
      </c>
      <c r="G1026" s="5" t="s">
        <v>3829</v>
      </c>
      <c r="H1026" s="5"/>
      <c r="I1026" s="5"/>
    </row>
    <row r="1027" spans="1:9" x14ac:dyDescent="0.2">
      <c r="A1027" s="5">
        <v>1</v>
      </c>
      <c r="B1027" s="5" t="s">
        <v>3903</v>
      </c>
      <c r="C1027" s="5" t="s">
        <v>2131</v>
      </c>
      <c r="D1027" s="5" t="s">
        <v>2132</v>
      </c>
      <c r="E1027" s="5" t="s">
        <v>1968</v>
      </c>
      <c r="F1027" s="5" t="s">
        <v>3800</v>
      </c>
      <c r="G1027" s="5" t="s">
        <v>3830</v>
      </c>
      <c r="H1027" s="5"/>
      <c r="I1027" s="5"/>
    </row>
    <row r="1028" spans="1:9" x14ac:dyDescent="0.2">
      <c r="A1028" s="5">
        <v>1</v>
      </c>
      <c r="B1028" s="5" t="s">
        <v>3903</v>
      </c>
      <c r="C1028" s="5" t="s">
        <v>2131</v>
      </c>
      <c r="D1028" s="5" t="s">
        <v>2132</v>
      </c>
      <c r="E1028" s="5" t="s">
        <v>1968</v>
      </c>
      <c r="F1028" s="5" t="s">
        <v>3800</v>
      </c>
      <c r="G1028" s="5" t="s">
        <v>3882</v>
      </c>
      <c r="H1028" s="5"/>
      <c r="I1028" s="5"/>
    </row>
    <row r="1029" spans="1:9" x14ac:dyDescent="0.2">
      <c r="A1029" s="5">
        <v>1</v>
      </c>
      <c r="B1029" s="5" t="s">
        <v>3903</v>
      </c>
      <c r="C1029" s="5" t="s">
        <v>2131</v>
      </c>
      <c r="D1029" s="5" t="s">
        <v>2132</v>
      </c>
      <c r="E1029" s="5" t="s">
        <v>1968</v>
      </c>
      <c r="F1029" s="5" t="s">
        <v>2984</v>
      </c>
      <c r="G1029" s="5" t="s">
        <v>3883</v>
      </c>
      <c r="H1029" s="5"/>
      <c r="I1029" s="5"/>
    </row>
    <row r="1030" spans="1:9" x14ac:dyDescent="0.2">
      <c r="A1030" s="5">
        <v>1</v>
      </c>
      <c r="B1030" s="5" t="s">
        <v>3903</v>
      </c>
      <c r="C1030" s="5" t="s">
        <v>2273</v>
      </c>
      <c r="D1030" s="5" t="s">
        <v>2274</v>
      </c>
      <c r="E1030" s="5" t="s">
        <v>2251</v>
      </c>
      <c r="F1030" s="5" t="s">
        <v>3800</v>
      </c>
      <c r="G1030" s="5" t="s">
        <v>3833</v>
      </c>
      <c r="H1030" s="5"/>
      <c r="I1030" s="5"/>
    </row>
    <row r="1031" spans="1:9" x14ac:dyDescent="0.2">
      <c r="A1031" s="5">
        <v>1</v>
      </c>
      <c r="B1031" s="5" t="s">
        <v>3903</v>
      </c>
      <c r="C1031" s="5" t="s">
        <v>2273</v>
      </c>
      <c r="D1031" s="5" t="s">
        <v>2274</v>
      </c>
      <c r="E1031" s="5" t="s">
        <v>2251</v>
      </c>
      <c r="F1031" s="5" t="s">
        <v>3800</v>
      </c>
      <c r="G1031" s="5" t="s">
        <v>3834</v>
      </c>
      <c r="H1031" s="5"/>
      <c r="I1031" s="5"/>
    </row>
    <row r="1032" spans="1:9" x14ac:dyDescent="0.2">
      <c r="A1032" s="5">
        <v>1</v>
      </c>
      <c r="B1032" s="5" t="s">
        <v>3910</v>
      </c>
      <c r="C1032" s="5" t="s">
        <v>2312</v>
      </c>
      <c r="D1032" s="5" t="s">
        <v>2313</v>
      </c>
      <c r="E1032" s="5" t="s">
        <v>1505</v>
      </c>
      <c r="F1032" s="5" t="s">
        <v>3884</v>
      </c>
      <c r="G1032" s="5"/>
      <c r="H1032" s="5"/>
      <c r="I1032" s="5"/>
    </row>
    <row r="1033" spans="1:9" x14ac:dyDescent="0.2">
      <c r="A1033" s="5">
        <v>1</v>
      </c>
      <c r="B1033" s="5" t="s">
        <v>3911</v>
      </c>
      <c r="C1033" s="5" t="s">
        <v>2156</v>
      </c>
      <c r="D1033" s="5" t="s">
        <v>2157</v>
      </c>
      <c r="E1033" s="5" t="s">
        <v>1505</v>
      </c>
      <c r="F1033" s="5" t="s">
        <v>3832</v>
      </c>
      <c r="G1033" s="5"/>
      <c r="H1033" s="5"/>
      <c r="I1033" s="5"/>
    </row>
    <row r="1034" spans="1:9" x14ac:dyDescent="0.2">
      <c r="A1034" s="5">
        <v>1</v>
      </c>
      <c r="B1034" s="5" t="s">
        <v>3910</v>
      </c>
      <c r="C1034" s="5" t="s">
        <v>2312</v>
      </c>
      <c r="D1034" s="5" t="s">
        <v>2313</v>
      </c>
      <c r="E1034" s="5" t="s">
        <v>1505</v>
      </c>
      <c r="F1034" s="5" t="s">
        <v>3835</v>
      </c>
      <c r="G1034" s="5"/>
      <c r="H1034" s="5"/>
      <c r="I1034" s="5"/>
    </row>
    <row r="1035" spans="1:9" x14ac:dyDescent="0.2">
      <c r="A1035" s="5">
        <v>1</v>
      </c>
      <c r="B1035" s="5" t="s">
        <v>3912</v>
      </c>
      <c r="C1035" s="5" t="s">
        <v>2771</v>
      </c>
      <c r="D1035" s="5" t="s">
        <v>3765</v>
      </c>
      <c r="E1035" s="5" t="s">
        <v>1505</v>
      </c>
      <c r="F1035" s="5" t="s">
        <v>3570</v>
      </c>
      <c r="G1035" s="5" t="s">
        <v>3890</v>
      </c>
      <c r="H1035" s="5"/>
      <c r="I1035" s="5"/>
    </row>
    <row r="1036" spans="1:9" x14ac:dyDescent="0.2">
      <c r="A1036" s="5">
        <v>1</v>
      </c>
      <c r="B1036" s="5" t="s">
        <v>3912</v>
      </c>
      <c r="C1036" s="5" t="s">
        <v>2771</v>
      </c>
      <c r="D1036" s="5" t="s">
        <v>3765</v>
      </c>
      <c r="E1036" s="5" t="s">
        <v>1505</v>
      </c>
      <c r="F1036" s="5" t="s">
        <v>3570</v>
      </c>
      <c r="G1036" s="5" t="s">
        <v>3891</v>
      </c>
      <c r="H1036" s="5"/>
      <c r="I1036" s="5"/>
    </row>
    <row r="1037" spans="1:9" x14ac:dyDescent="0.2">
      <c r="A1037" s="5">
        <v>0</v>
      </c>
      <c r="B1037" s="5" t="s">
        <v>3913</v>
      </c>
      <c r="C1037" s="5" t="s">
        <v>2862</v>
      </c>
      <c r="D1037" s="5" t="s">
        <v>2863</v>
      </c>
      <c r="E1037" s="5" t="s">
        <v>1505</v>
      </c>
      <c r="F1037" s="5" t="s">
        <v>3570</v>
      </c>
      <c r="G1037" s="5" t="s">
        <v>3852</v>
      </c>
      <c r="H1037" s="5"/>
      <c r="I1037" s="5"/>
    </row>
    <row r="1038" spans="1:9" x14ac:dyDescent="0.2">
      <c r="A1038" s="5">
        <v>0</v>
      </c>
      <c r="B1038" s="5" t="s">
        <v>3913</v>
      </c>
      <c r="C1038" s="5" t="s">
        <v>2862</v>
      </c>
      <c r="D1038" s="5" t="s">
        <v>2863</v>
      </c>
      <c r="E1038" s="5" t="s">
        <v>1505</v>
      </c>
      <c r="F1038" s="5" t="s">
        <v>3570</v>
      </c>
      <c r="G1038" s="5" t="s">
        <v>3853</v>
      </c>
      <c r="H1038" s="5"/>
      <c r="I1038" s="5"/>
    </row>
    <row r="1039" spans="1:9" x14ac:dyDescent="0.2">
      <c r="A1039" s="5">
        <v>1</v>
      </c>
      <c r="B1039" s="5" t="s">
        <v>3914</v>
      </c>
      <c r="C1039" s="5" t="s">
        <v>2871</v>
      </c>
      <c r="D1039" s="5" t="s">
        <v>2872</v>
      </c>
      <c r="E1039" s="5" t="s">
        <v>219</v>
      </c>
      <c r="F1039" s="5" t="s">
        <v>3850</v>
      </c>
      <c r="G1039" s="5" t="s">
        <v>4215</v>
      </c>
      <c r="H1039" s="5" t="s">
        <v>4174</v>
      </c>
      <c r="I1039" s="5"/>
    </row>
    <row r="1040" spans="1:9" x14ac:dyDescent="0.2">
      <c r="A1040" s="5">
        <v>1</v>
      </c>
      <c r="B1040" s="5" t="s">
        <v>3914</v>
      </c>
      <c r="C1040" s="5" t="s">
        <v>2871</v>
      </c>
      <c r="D1040" s="5" t="s">
        <v>2872</v>
      </c>
      <c r="E1040" s="5" t="s">
        <v>219</v>
      </c>
      <c r="F1040" s="5" t="s">
        <v>3850</v>
      </c>
      <c r="G1040" s="5" t="s">
        <v>4215</v>
      </c>
      <c r="H1040" s="5" t="s">
        <v>4216</v>
      </c>
      <c r="I1040" s="5"/>
    </row>
    <row r="1041" spans="1:9" x14ac:dyDescent="0.2">
      <c r="A1041" s="5">
        <v>1</v>
      </c>
      <c r="B1041" s="5" t="s">
        <v>3914</v>
      </c>
      <c r="C1041" s="5" t="s">
        <v>2871</v>
      </c>
      <c r="D1041" s="5" t="s">
        <v>2872</v>
      </c>
      <c r="E1041" s="5" t="s">
        <v>219</v>
      </c>
      <c r="F1041" s="5" t="s">
        <v>3850</v>
      </c>
      <c r="G1041" s="5" t="s">
        <v>4215</v>
      </c>
      <c r="H1041" s="5" t="s">
        <v>4175</v>
      </c>
      <c r="I1041" s="5"/>
    </row>
    <row r="1042" spans="1:9" x14ac:dyDescent="0.2">
      <c r="A1042" s="5">
        <v>1</v>
      </c>
      <c r="B1042" s="5" t="s">
        <v>3915</v>
      </c>
      <c r="C1042" s="5" t="s">
        <v>2871</v>
      </c>
      <c r="D1042" s="5" t="s">
        <v>2872</v>
      </c>
      <c r="E1042" s="5" t="s">
        <v>219</v>
      </c>
      <c r="F1042" s="5" t="s">
        <v>3851</v>
      </c>
      <c r="G1042" s="5" t="s">
        <v>4217</v>
      </c>
      <c r="H1042" s="5" t="s">
        <v>4218</v>
      </c>
      <c r="I1042" s="5"/>
    </row>
    <row r="1043" spans="1:9" x14ac:dyDescent="0.2">
      <c r="A1043" s="5">
        <v>1</v>
      </c>
      <c r="B1043" s="5" t="s">
        <v>3916</v>
      </c>
      <c r="C1043" s="5" t="s">
        <v>2606</v>
      </c>
      <c r="D1043" s="5" t="s">
        <v>2607</v>
      </c>
      <c r="E1043" s="5" t="s">
        <v>219</v>
      </c>
      <c r="F1043" s="5" t="s">
        <v>3887</v>
      </c>
      <c r="G1043" s="5"/>
      <c r="H1043" s="5"/>
      <c r="I1043" s="5"/>
    </row>
    <row r="1044" spans="1:9" x14ac:dyDescent="0.2">
      <c r="A1044" s="5">
        <v>1</v>
      </c>
      <c r="B1044" s="5" t="s">
        <v>3916</v>
      </c>
      <c r="C1044" s="5" t="s">
        <v>2606</v>
      </c>
      <c r="D1044" s="5" t="s">
        <v>2607</v>
      </c>
      <c r="E1044" s="5" t="s">
        <v>219</v>
      </c>
      <c r="F1044" s="5" t="s">
        <v>3886</v>
      </c>
      <c r="G1044" s="5"/>
      <c r="H1044" s="5"/>
      <c r="I1044" s="5"/>
    </row>
    <row r="1045" spans="1:9" x14ac:dyDescent="0.2">
      <c r="A1045" s="5">
        <v>1</v>
      </c>
      <c r="B1045" s="5" t="s">
        <v>3917</v>
      </c>
      <c r="C1045" s="5" t="s">
        <v>362</v>
      </c>
      <c r="D1045" s="5" t="s">
        <v>363</v>
      </c>
      <c r="E1045" s="5" t="s">
        <v>219</v>
      </c>
      <c r="F1045" s="5" t="s">
        <v>3821</v>
      </c>
      <c r="G1045" s="5"/>
      <c r="H1045" s="5"/>
      <c r="I1045" s="5"/>
    </row>
    <row r="1046" spans="1:9" x14ac:dyDescent="0.2">
      <c r="A1046" s="5">
        <v>1</v>
      </c>
      <c r="B1046" s="5" t="s">
        <v>3917</v>
      </c>
      <c r="C1046" s="5" t="s">
        <v>2469</v>
      </c>
      <c r="D1046" s="5" t="s">
        <v>2470</v>
      </c>
      <c r="E1046" s="5" t="s">
        <v>219</v>
      </c>
      <c r="F1046" s="5" t="s">
        <v>3821</v>
      </c>
      <c r="G1046" s="5"/>
      <c r="H1046" s="5"/>
      <c r="I1046" s="5"/>
    </row>
    <row r="1047" spans="1:9" x14ac:dyDescent="0.2">
      <c r="A1047" s="5">
        <v>1</v>
      </c>
      <c r="B1047" s="5" t="s">
        <v>3917</v>
      </c>
      <c r="C1047" s="5" t="s">
        <v>2643</v>
      </c>
      <c r="D1047" s="5" t="s">
        <v>2644</v>
      </c>
      <c r="E1047" s="5" t="s">
        <v>219</v>
      </c>
      <c r="F1047" s="5" t="s">
        <v>3888</v>
      </c>
      <c r="G1047" s="5"/>
      <c r="H1047" s="5"/>
      <c r="I1047" s="5"/>
    </row>
    <row r="1048" spans="1:9" x14ac:dyDescent="0.2">
      <c r="A1048" s="5">
        <v>1</v>
      </c>
      <c r="B1048" s="5" t="s">
        <v>3917</v>
      </c>
      <c r="C1048" s="5" t="s">
        <v>2643</v>
      </c>
      <c r="D1048" s="5" t="s">
        <v>2644</v>
      </c>
      <c r="E1048" s="5" t="s">
        <v>219</v>
      </c>
      <c r="F1048" s="5" t="s">
        <v>3845</v>
      </c>
      <c r="G1048" s="5"/>
      <c r="H1048" s="5"/>
      <c r="I1048" s="5"/>
    </row>
    <row r="1049" spans="1:9" x14ac:dyDescent="0.2">
      <c r="A1049" s="5">
        <v>1</v>
      </c>
      <c r="B1049" s="5" t="s">
        <v>3917</v>
      </c>
      <c r="C1049" s="5" t="s">
        <v>2469</v>
      </c>
      <c r="D1049" s="5" t="s">
        <v>2470</v>
      </c>
      <c r="E1049" s="5" t="s">
        <v>219</v>
      </c>
      <c r="F1049" s="5" t="s">
        <v>3880</v>
      </c>
      <c r="G1049" s="5"/>
      <c r="H1049" s="5"/>
      <c r="I1049" s="5"/>
    </row>
    <row r="1050" spans="1:9" x14ac:dyDescent="0.2">
      <c r="A1050" s="5">
        <v>1</v>
      </c>
      <c r="B1050" s="5" t="s">
        <v>3918</v>
      </c>
      <c r="C1050" s="5" t="s">
        <v>2469</v>
      </c>
      <c r="D1050" s="5" t="s">
        <v>2470</v>
      </c>
      <c r="E1050" s="5" t="s">
        <v>219</v>
      </c>
      <c r="F1050" s="5" t="s">
        <v>3322</v>
      </c>
      <c r="G1050" s="5"/>
      <c r="H1050" s="5"/>
      <c r="I1050" s="5"/>
    </row>
    <row r="1051" spans="1:9" x14ac:dyDescent="0.2">
      <c r="A1051" s="5">
        <v>1</v>
      </c>
      <c r="B1051" s="5" t="s">
        <v>3919</v>
      </c>
      <c r="C1051" s="5" t="s">
        <v>2606</v>
      </c>
      <c r="D1051" s="5" t="s">
        <v>2607</v>
      </c>
      <c r="E1051" s="5" t="s">
        <v>219</v>
      </c>
      <c r="F1051" s="5" t="s">
        <v>3570</v>
      </c>
      <c r="G1051" s="5" t="s">
        <v>3885</v>
      </c>
      <c r="H1051" s="5"/>
      <c r="I1051" s="5"/>
    </row>
    <row r="1052" spans="1:9" x14ac:dyDescent="0.2">
      <c r="A1052" s="5">
        <v>1</v>
      </c>
      <c r="B1052" s="5" t="s">
        <v>3917</v>
      </c>
      <c r="C1052" s="5" t="s">
        <v>362</v>
      </c>
      <c r="D1052" s="5" t="s">
        <v>363</v>
      </c>
      <c r="E1052" s="5" t="s">
        <v>219</v>
      </c>
      <c r="F1052" s="5" t="s">
        <v>3799</v>
      </c>
      <c r="G1052" s="5" t="s">
        <v>3819</v>
      </c>
      <c r="H1052" s="5"/>
      <c r="I1052" s="5"/>
    </row>
    <row r="1053" spans="1:9" x14ac:dyDescent="0.2">
      <c r="A1053" s="5">
        <v>1</v>
      </c>
      <c r="B1053" s="5" t="s">
        <v>3917</v>
      </c>
      <c r="C1053" s="5" t="s">
        <v>362</v>
      </c>
      <c r="D1053" s="5" t="s">
        <v>363</v>
      </c>
      <c r="E1053" s="5" t="s">
        <v>219</v>
      </c>
      <c r="F1053" s="5" t="s">
        <v>3799</v>
      </c>
      <c r="G1053" s="5" t="s">
        <v>3820</v>
      </c>
      <c r="H1053" s="5"/>
      <c r="I1053" s="5"/>
    </row>
    <row r="1054" spans="1:9" x14ac:dyDescent="0.2">
      <c r="A1054" s="5">
        <v>1</v>
      </c>
      <c r="B1054" s="5" t="s">
        <v>3920</v>
      </c>
      <c r="C1054" s="5" t="s">
        <v>2618</v>
      </c>
      <c r="D1054" s="5" t="s">
        <v>2619</v>
      </c>
      <c r="E1054" s="5" t="s">
        <v>219</v>
      </c>
      <c r="F1054" s="5" t="s">
        <v>3800</v>
      </c>
      <c r="G1054" s="5" t="s">
        <v>3844</v>
      </c>
      <c r="H1054" s="5"/>
      <c r="I1054" s="5"/>
    </row>
    <row r="1055" spans="1:9" x14ac:dyDescent="0.2">
      <c r="A1055" s="5">
        <v>1</v>
      </c>
      <c r="B1055" s="5" t="s">
        <v>3920</v>
      </c>
      <c r="C1055" s="5" t="s">
        <v>2630</v>
      </c>
      <c r="D1055" s="5" t="s">
        <v>2631</v>
      </c>
      <c r="E1055" s="5" t="s">
        <v>219</v>
      </c>
      <c r="F1055" s="5" t="s">
        <v>3800</v>
      </c>
      <c r="G1055" s="5" t="s">
        <v>3846</v>
      </c>
      <c r="H1055" s="5"/>
      <c r="I1055" s="5"/>
    </row>
    <row r="1056" spans="1:9" x14ac:dyDescent="0.2">
      <c r="A1056" s="5">
        <v>1</v>
      </c>
      <c r="B1056" s="5" t="s">
        <v>3921</v>
      </c>
      <c r="C1056" s="5" t="s">
        <v>2779</v>
      </c>
      <c r="D1056" s="5" t="s">
        <v>2780</v>
      </c>
      <c r="E1056" s="5" t="s">
        <v>219</v>
      </c>
      <c r="F1056" s="5" t="s">
        <v>3800</v>
      </c>
      <c r="G1056" s="5" t="s">
        <v>3847</v>
      </c>
      <c r="H1056" s="5"/>
      <c r="I1056" s="5"/>
    </row>
    <row r="1057" spans="1:9" x14ac:dyDescent="0.2">
      <c r="A1057" s="5">
        <v>1</v>
      </c>
      <c r="B1057" s="5" t="s">
        <v>3921</v>
      </c>
      <c r="C1057" s="5" t="s">
        <v>2779</v>
      </c>
      <c r="D1057" s="5" t="s">
        <v>2780</v>
      </c>
      <c r="E1057" s="5" t="s">
        <v>219</v>
      </c>
      <c r="F1057" s="5" t="s">
        <v>3800</v>
      </c>
      <c r="G1057" s="5" t="s">
        <v>3848</v>
      </c>
      <c r="H1057" s="5"/>
      <c r="I1057" s="5"/>
    </row>
    <row r="1058" spans="1:9" x14ac:dyDescent="0.2">
      <c r="A1058" s="5">
        <v>1</v>
      </c>
      <c r="B1058" s="5" t="s">
        <v>3922</v>
      </c>
      <c r="C1058" s="5" t="s">
        <v>2606</v>
      </c>
      <c r="D1058" s="5" t="s">
        <v>2607</v>
      </c>
      <c r="E1058" s="5" t="s">
        <v>219</v>
      </c>
      <c r="F1058" s="5" t="s">
        <v>2984</v>
      </c>
      <c r="G1058" s="5" t="s">
        <v>3885</v>
      </c>
      <c r="H1058" s="5"/>
      <c r="I1058" s="5"/>
    </row>
    <row r="1059" spans="1:9" x14ac:dyDescent="0.2">
      <c r="A1059" s="5">
        <v>1</v>
      </c>
      <c r="B1059" s="5" t="s">
        <v>3923</v>
      </c>
      <c r="C1059" s="5" t="s">
        <v>2265</v>
      </c>
      <c r="D1059" s="5" t="s">
        <v>2266</v>
      </c>
      <c r="E1059" s="5" t="s">
        <v>244</v>
      </c>
      <c r="F1059" s="5" t="s">
        <v>3506</v>
      </c>
      <c r="G1059" s="5" t="s">
        <v>4008</v>
      </c>
      <c r="H1059" s="5"/>
      <c r="I1059" s="5"/>
    </row>
    <row r="1060" spans="1:9" x14ac:dyDescent="0.2">
      <c r="A1060" s="5">
        <v>1</v>
      </c>
      <c r="B1060" s="5" t="s">
        <v>3923</v>
      </c>
      <c r="C1060" s="5" t="s">
        <v>2265</v>
      </c>
      <c r="D1060" s="5" t="s">
        <v>2266</v>
      </c>
      <c r="E1060" s="5" t="s">
        <v>244</v>
      </c>
      <c r="F1060" s="5" t="s">
        <v>3506</v>
      </c>
      <c r="G1060" s="5" t="s">
        <v>4009</v>
      </c>
      <c r="H1060" s="5"/>
      <c r="I1060" s="5"/>
    </row>
    <row r="1061" spans="1:9" x14ac:dyDescent="0.2">
      <c r="A1061" s="5">
        <v>1</v>
      </c>
      <c r="B1061" s="5" t="s">
        <v>3923</v>
      </c>
      <c r="C1061" s="5" t="s">
        <v>2400</v>
      </c>
      <c r="D1061" s="5" t="s">
        <v>2401</v>
      </c>
      <c r="E1061" s="5" t="s">
        <v>244</v>
      </c>
      <c r="F1061" s="5" t="s">
        <v>3514</v>
      </c>
      <c r="G1061" s="5" t="s">
        <v>4011</v>
      </c>
      <c r="H1061" s="5"/>
      <c r="I1061" s="5"/>
    </row>
    <row r="1062" spans="1:9" x14ac:dyDescent="0.2">
      <c r="A1062" s="5">
        <v>1</v>
      </c>
      <c r="B1062" s="5" t="s">
        <v>3923</v>
      </c>
      <c r="C1062" s="5" t="s">
        <v>2400</v>
      </c>
      <c r="D1062" s="5" t="s">
        <v>2401</v>
      </c>
      <c r="E1062" s="5" t="s">
        <v>244</v>
      </c>
      <c r="F1062" s="5" t="s">
        <v>3515</v>
      </c>
      <c r="G1062" s="5" t="s">
        <v>4011</v>
      </c>
      <c r="H1062" s="5"/>
      <c r="I1062" s="5"/>
    </row>
    <row r="1063" spans="1:9" x14ac:dyDescent="0.2">
      <c r="A1063" s="5">
        <v>1</v>
      </c>
      <c r="B1063" s="5" t="s">
        <v>3923</v>
      </c>
      <c r="C1063" s="5" t="s">
        <v>2400</v>
      </c>
      <c r="D1063" s="5" t="s">
        <v>2401</v>
      </c>
      <c r="E1063" s="5" t="s">
        <v>244</v>
      </c>
      <c r="F1063" s="5" t="s">
        <v>3516</v>
      </c>
      <c r="G1063" s="5" t="s">
        <v>4011</v>
      </c>
      <c r="H1063" s="5"/>
      <c r="I1063" s="5"/>
    </row>
    <row r="1064" spans="1:9" x14ac:dyDescent="0.2">
      <c r="A1064" s="5">
        <v>1</v>
      </c>
      <c r="B1064" s="5" t="s">
        <v>3923</v>
      </c>
      <c r="C1064" s="5" t="s">
        <v>2564</v>
      </c>
      <c r="D1064" s="5" t="s">
        <v>2565</v>
      </c>
      <c r="E1064" s="5" t="s">
        <v>244</v>
      </c>
      <c r="F1064" s="5" t="s">
        <v>3519</v>
      </c>
      <c r="G1064" s="5" t="s">
        <v>4013</v>
      </c>
      <c r="H1064" s="5"/>
      <c r="I1064" s="5"/>
    </row>
    <row r="1065" spans="1:9" x14ac:dyDescent="0.2">
      <c r="A1065" s="5">
        <v>1</v>
      </c>
      <c r="B1065" s="5" t="s">
        <v>3923</v>
      </c>
      <c r="C1065" s="5" t="s">
        <v>3046</v>
      </c>
      <c r="D1065" s="5" t="s">
        <v>3047</v>
      </c>
      <c r="E1065" s="5" t="s">
        <v>244</v>
      </c>
      <c r="F1065" s="5" t="s">
        <v>3909</v>
      </c>
      <c r="G1065" s="5" t="s">
        <v>4219</v>
      </c>
      <c r="H1065" s="5"/>
      <c r="I1065" s="5"/>
    </row>
    <row r="1066" spans="1:9" x14ac:dyDescent="0.2">
      <c r="A1066" s="5">
        <v>1</v>
      </c>
      <c r="B1066" s="5" t="s">
        <v>3923</v>
      </c>
      <c r="C1066" s="5" t="s">
        <v>2804</v>
      </c>
      <c r="D1066" s="5" t="s">
        <v>2805</v>
      </c>
      <c r="E1066" s="5" t="s">
        <v>244</v>
      </c>
      <c r="F1066" s="5" t="s">
        <v>3536</v>
      </c>
      <c r="G1066" s="5" t="s">
        <v>4220</v>
      </c>
      <c r="H1066" s="5"/>
      <c r="I1066" s="5"/>
    </row>
    <row r="1067" spans="1:9" x14ac:dyDescent="0.2">
      <c r="A1067" s="5">
        <v>1</v>
      </c>
      <c r="B1067" s="5" t="s">
        <v>3923</v>
      </c>
      <c r="C1067" s="5" t="s">
        <v>2804</v>
      </c>
      <c r="D1067" s="5" t="s">
        <v>2805</v>
      </c>
      <c r="E1067" s="5" t="s">
        <v>244</v>
      </c>
      <c r="F1067" s="5" t="s">
        <v>3536</v>
      </c>
      <c r="G1067" s="5" t="s">
        <v>4015</v>
      </c>
      <c r="H1067" s="5"/>
      <c r="I1067" s="5"/>
    </row>
    <row r="1068" spans="1:9" x14ac:dyDescent="0.2">
      <c r="A1068" s="5">
        <v>1</v>
      </c>
      <c r="B1068" s="5" t="s">
        <v>3923</v>
      </c>
      <c r="C1068" s="5" t="s">
        <v>2804</v>
      </c>
      <c r="D1068" s="5" t="s">
        <v>2805</v>
      </c>
      <c r="E1068" s="5" t="s">
        <v>244</v>
      </c>
      <c r="F1068" s="5" t="s">
        <v>3537</v>
      </c>
      <c r="G1068" s="5" t="s">
        <v>4220</v>
      </c>
      <c r="H1068" s="5"/>
      <c r="I1068" s="5"/>
    </row>
    <row r="1069" spans="1:9" x14ac:dyDescent="0.2">
      <c r="A1069" s="5">
        <v>1</v>
      </c>
      <c r="B1069" s="5" t="s">
        <v>3923</v>
      </c>
      <c r="C1069" s="5" t="s">
        <v>2804</v>
      </c>
      <c r="D1069" s="5" t="s">
        <v>2805</v>
      </c>
      <c r="E1069" s="5" t="s">
        <v>244</v>
      </c>
      <c r="F1069" s="5" t="s">
        <v>3537</v>
      </c>
      <c r="G1069" s="5" t="s">
        <v>4015</v>
      </c>
      <c r="H1069" s="5"/>
      <c r="I1069" s="5"/>
    </row>
    <row r="1070" spans="1:9" x14ac:dyDescent="0.2">
      <c r="A1070" s="5">
        <v>1</v>
      </c>
      <c r="B1070" s="5" t="s">
        <v>3923</v>
      </c>
      <c r="C1070" s="5" t="s">
        <v>2804</v>
      </c>
      <c r="D1070" s="5" t="s">
        <v>2805</v>
      </c>
      <c r="E1070" s="5" t="s">
        <v>244</v>
      </c>
      <c r="F1070" s="5" t="s">
        <v>3540</v>
      </c>
      <c r="G1070" s="5" t="s">
        <v>4017</v>
      </c>
      <c r="H1070" s="5"/>
      <c r="I1070" s="5"/>
    </row>
    <row r="1071" spans="1:9" x14ac:dyDescent="0.2">
      <c r="A1071" s="5">
        <v>1</v>
      </c>
      <c r="B1071" s="5" t="s">
        <v>3923</v>
      </c>
      <c r="C1071" s="5" t="s">
        <v>2804</v>
      </c>
      <c r="D1071" s="5" t="s">
        <v>2805</v>
      </c>
      <c r="E1071" s="5" t="s">
        <v>244</v>
      </c>
      <c r="F1071" s="5" t="s">
        <v>3541</v>
      </c>
      <c r="G1071" s="5" t="s">
        <v>4017</v>
      </c>
      <c r="H1071" s="5"/>
      <c r="I1071" s="5"/>
    </row>
    <row r="1072" spans="1:9" x14ac:dyDescent="0.2">
      <c r="A1072" s="5">
        <v>1</v>
      </c>
      <c r="B1072" s="5" t="s">
        <v>3923</v>
      </c>
      <c r="C1072" s="5" t="s">
        <v>2804</v>
      </c>
      <c r="D1072" s="5" t="s">
        <v>2805</v>
      </c>
      <c r="E1072" s="5" t="s">
        <v>244</v>
      </c>
      <c r="F1072" s="5" t="s">
        <v>3542</v>
      </c>
      <c r="G1072" s="5" t="s">
        <v>4017</v>
      </c>
      <c r="H1072" s="5"/>
      <c r="I1072" s="5"/>
    </row>
    <row r="1073" spans="1:9" x14ac:dyDescent="0.2">
      <c r="A1073" s="5">
        <v>1</v>
      </c>
      <c r="B1073" s="5" t="s">
        <v>3923</v>
      </c>
      <c r="C1073" s="5" t="s">
        <v>2804</v>
      </c>
      <c r="D1073" s="5" t="s">
        <v>2805</v>
      </c>
      <c r="E1073" s="5" t="s">
        <v>244</v>
      </c>
      <c r="F1073" s="5" t="s">
        <v>3534</v>
      </c>
      <c r="G1073" s="5" t="s">
        <v>4019</v>
      </c>
      <c r="H1073" s="5"/>
      <c r="I1073" s="5"/>
    </row>
    <row r="1074" spans="1:9" x14ac:dyDescent="0.2">
      <c r="A1074" s="5">
        <v>1</v>
      </c>
      <c r="B1074" s="5" t="s">
        <v>3923</v>
      </c>
      <c r="C1074" s="5" t="s">
        <v>2804</v>
      </c>
      <c r="D1074" s="5" t="s">
        <v>2805</v>
      </c>
      <c r="E1074" s="5" t="s">
        <v>244</v>
      </c>
      <c r="F1074" s="5" t="s">
        <v>3534</v>
      </c>
      <c r="G1074" s="5" t="s">
        <v>4020</v>
      </c>
      <c r="H1074" s="5"/>
      <c r="I1074" s="5"/>
    </row>
    <row r="1075" spans="1:9" x14ac:dyDescent="0.2">
      <c r="A1075" s="5">
        <v>1</v>
      </c>
      <c r="B1075" s="5" t="s">
        <v>3923</v>
      </c>
      <c r="C1075" s="5" t="s">
        <v>2804</v>
      </c>
      <c r="D1075" s="5" t="s">
        <v>2805</v>
      </c>
      <c r="E1075" s="5" t="s">
        <v>244</v>
      </c>
      <c r="F1075" s="5" t="s">
        <v>3534</v>
      </c>
      <c r="G1075" s="5" t="s">
        <v>4021</v>
      </c>
      <c r="H1075" s="5"/>
      <c r="I1075" s="5"/>
    </row>
    <row r="1076" spans="1:9" x14ac:dyDescent="0.2">
      <c r="A1076" s="5">
        <v>1</v>
      </c>
      <c r="B1076" s="5" t="s">
        <v>3923</v>
      </c>
      <c r="C1076" s="5" t="s">
        <v>2804</v>
      </c>
      <c r="D1076" s="5" t="s">
        <v>2805</v>
      </c>
      <c r="E1076" s="5" t="s">
        <v>244</v>
      </c>
      <c r="F1076" s="5" t="s">
        <v>3534</v>
      </c>
      <c r="G1076" s="5" t="s">
        <v>4022</v>
      </c>
      <c r="H1076" s="5"/>
      <c r="I1076" s="5"/>
    </row>
    <row r="1077" spans="1:9" x14ac:dyDescent="0.2">
      <c r="A1077" s="5">
        <v>1</v>
      </c>
      <c r="B1077" s="5" t="s">
        <v>3923</v>
      </c>
      <c r="C1077" s="5" t="s">
        <v>2804</v>
      </c>
      <c r="D1077" s="5" t="s">
        <v>2805</v>
      </c>
      <c r="E1077" s="5" t="s">
        <v>244</v>
      </c>
      <c r="F1077" s="5" t="s">
        <v>3534</v>
      </c>
      <c r="G1077" s="5" t="s">
        <v>4023</v>
      </c>
      <c r="H1077" s="5"/>
      <c r="I1077" s="5"/>
    </row>
    <row r="1078" spans="1:9" x14ac:dyDescent="0.2">
      <c r="A1078" s="5">
        <v>1</v>
      </c>
      <c r="B1078" s="5" t="s">
        <v>3923</v>
      </c>
      <c r="C1078" s="5" t="s">
        <v>2804</v>
      </c>
      <c r="D1078" s="5" t="s">
        <v>2805</v>
      </c>
      <c r="E1078" s="5" t="s">
        <v>244</v>
      </c>
      <c r="F1078" s="5" t="s">
        <v>3534</v>
      </c>
      <c r="G1078" s="5" t="s">
        <v>4024</v>
      </c>
      <c r="H1078" s="5"/>
      <c r="I1078" s="5"/>
    </row>
    <row r="1079" spans="1:9" x14ac:dyDescent="0.2">
      <c r="A1079" s="5">
        <v>1</v>
      </c>
      <c r="B1079" s="5" t="s">
        <v>3923</v>
      </c>
      <c r="C1079" s="5" t="s">
        <v>2804</v>
      </c>
      <c r="D1079" s="5" t="s">
        <v>2805</v>
      </c>
      <c r="E1079" s="5" t="s">
        <v>244</v>
      </c>
      <c r="F1079" s="5" t="s">
        <v>3534</v>
      </c>
      <c r="G1079" s="5" t="s">
        <v>4025</v>
      </c>
      <c r="H1079" s="5"/>
      <c r="I1079" s="5"/>
    </row>
    <row r="1080" spans="1:9" x14ac:dyDescent="0.2">
      <c r="A1080" s="5">
        <v>1</v>
      </c>
      <c r="B1080" s="5" t="s">
        <v>3923</v>
      </c>
      <c r="C1080" s="5" t="s">
        <v>2804</v>
      </c>
      <c r="D1080" s="5" t="s">
        <v>2805</v>
      </c>
      <c r="E1080" s="5" t="s">
        <v>244</v>
      </c>
      <c r="F1080" s="5" t="s">
        <v>3534</v>
      </c>
      <c r="G1080" s="5" t="s">
        <v>4026</v>
      </c>
      <c r="H1080" s="5"/>
      <c r="I1080" s="5"/>
    </row>
    <row r="1081" spans="1:9" x14ac:dyDescent="0.2">
      <c r="A1081" s="5">
        <v>1</v>
      </c>
      <c r="B1081" s="5" t="s">
        <v>3923</v>
      </c>
      <c r="C1081" s="5" t="s">
        <v>2804</v>
      </c>
      <c r="D1081" s="5" t="s">
        <v>2805</v>
      </c>
      <c r="E1081" s="5" t="s">
        <v>244</v>
      </c>
      <c r="F1081" s="5" t="s">
        <v>3534</v>
      </c>
      <c r="G1081" s="5" t="s">
        <v>4027</v>
      </c>
      <c r="H1081" s="5"/>
      <c r="I1081" s="5"/>
    </row>
    <row r="1082" spans="1:9" x14ac:dyDescent="0.2">
      <c r="A1082" s="5">
        <v>1</v>
      </c>
      <c r="B1082" s="5" t="s">
        <v>3923</v>
      </c>
      <c r="C1082" s="5" t="s">
        <v>2804</v>
      </c>
      <c r="D1082" s="5" t="s">
        <v>2805</v>
      </c>
      <c r="E1082" s="5" t="s">
        <v>244</v>
      </c>
      <c r="F1082" s="5" t="s">
        <v>3534</v>
      </c>
      <c r="G1082" s="5" t="s">
        <v>4028</v>
      </c>
      <c r="H1082" s="5"/>
      <c r="I1082" s="5"/>
    </row>
    <row r="1083" spans="1:9" x14ac:dyDescent="0.2">
      <c r="A1083" s="5">
        <v>1</v>
      </c>
      <c r="B1083" s="5" t="s">
        <v>3923</v>
      </c>
      <c r="C1083" s="5" t="s">
        <v>2804</v>
      </c>
      <c r="D1083" s="5" t="s">
        <v>2805</v>
      </c>
      <c r="E1083" s="5" t="s">
        <v>244</v>
      </c>
      <c r="F1083" s="5" t="s">
        <v>3534</v>
      </c>
      <c r="G1083" s="5" t="s">
        <v>4029</v>
      </c>
      <c r="H1083" s="5"/>
      <c r="I1083" s="5"/>
    </row>
    <row r="1084" spans="1:9" x14ac:dyDescent="0.2">
      <c r="A1084" s="5">
        <v>1</v>
      </c>
      <c r="B1084" s="5" t="s">
        <v>3923</v>
      </c>
      <c r="C1084" s="5" t="s">
        <v>2804</v>
      </c>
      <c r="D1084" s="5" t="s">
        <v>2805</v>
      </c>
      <c r="E1084" s="5" t="s">
        <v>244</v>
      </c>
      <c r="F1084" s="5" t="s">
        <v>3534</v>
      </c>
      <c r="G1084" s="5" t="s">
        <v>4030</v>
      </c>
      <c r="H1084" s="5"/>
      <c r="I1084" s="5"/>
    </row>
    <row r="1085" spans="1:9" x14ac:dyDescent="0.2">
      <c r="A1085" s="5">
        <v>1</v>
      </c>
      <c r="B1085" s="5" t="s">
        <v>3923</v>
      </c>
      <c r="C1085" s="5" t="s">
        <v>2804</v>
      </c>
      <c r="D1085" s="5" t="s">
        <v>2805</v>
      </c>
      <c r="E1085" s="5" t="s">
        <v>244</v>
      </c>
      <c r="F1085" s="5" t="s">
        <v>3534</v>
      </c>
      <c r="G1085" s="5" t="s">
        <v>4031</v>
      </c>
      <c r="H1085" s="5"/>
      <c r="I1085" s="5"/>
    </row>
    <row r="1086" spans="1:9" x14ac:dyDescent="0.2">
      <c r="A1086" s="5">
        <v>1</v>
      </c>
      <c r="B1086" s="5" t="s">
        <v>3923</v>
      </c>
      <c r="C1086" s="5" t="s">
        <v>2804</v>
      </c>
      <c r="D1086" s="5" t="s">
        <v>2805</v>
      </c>
      <c r="E1086" s="5" t="s">
        <v>244</v>
      </c>
      <c r="F1086" s="5" t="s">
        <v>3534</v>
      </c>
      <c r="G1086" s="5" t="s">
        <v>4032</v>
      </c>
      <c r="H1086" s="5"/>
      <c r="I1086" s="5"/>
    </row>
    <row r="1087" spans="1:9" x14ac:dyDescent="0.2">
      <c r="A1087" s="5">
        <v>1</v>
      </c>
      <c r="B1087" s="5" t="s">
        <v>3923</v>
      </c>
      <c r="C1087" s="5" t="s">
        <v>2804</v>
      </c>
      <c r="D1087" s="5" t="s">
        <v>2805</v>
      </c>
      <c r="E1087" s="5" t="s">
        <v>244</v>
      </c>
      <c r="F1087" s="5" t="s">
        <v>3534</v>
      </c>
      <c r="G1087" s="5" t="s">
        <v>4033</v>
      </c>
      <c r="H1087" s="5"/>
      <c r="I1087" s="5"/>
    </row>
    <row r="1088" spans="1:9" x14ac:dyDescent="0.2">
      <c r="A1088" s="5">
        <v>1</v>
      </c>
      <c r="B1088" s="5" t="s">
        <v>3923</v>
      </c>
      <c r="C1088" s="5" t="s">
        <v>2804</v>
      </c>
      <c r="D1088" s="5" t="s">
        <v>2805</v>
      </c>
      <c r="E1088" s="5" t="s">
        <v>244</v>
      </c>
      <c r="F1088" s="5" t="s">
        <v>3534</v>
      </c>
      <c r="G1088" s="5" t="s">
        <v>4034</v>
      </c>
      <c r="H1088" s="5"/>
      <c r="I1088" s="5"/>
    </row>
    <row r="1089" spans="1:9" x14ac:dyDescent="0.2">
      <c r="A1089" s="5">
        <v>1</v>
      </c>
      <c r="B1089" s="5" t="s">
        <v>3923</v>
      </c>
      <c r="C1089" s="5" t="s">
        <v>2804</v>
      </c>
      <c r="D1089" s="5" t="s">
        <v>2805</v>
      </c>
      <c r="E1089" s="5" t="s">
        <v>244</v>
      </c>
      <c r="F1089" s="5" t="s">
        <v>3534</v>
      </c>
      <c r="G1089" s="5" t="s">
        <v>4035</v>
      </c>
      <c r="H1089" s="5"/>
      <c r="I1089" s="5"/>
    </row>
    <row r="1090" spans="1:9" x14ac:dyDescent="0.2">
      <c r="A1090" s="5">
        <v>1</v>
      </c>
      <c r="B1090" s="5" t="s">
        <v>3923</v>
      </c>
      <c r="C1090" s="5" t="s">
        <v>2804</v>
      </c>
      <c r="D1090" s="5" t="s">
        <v>2805</v>
      </c>
      <c r="E1090" s="5" t="s">
        <v>244</v>
      </c>
      <c r="F1090" s="5" t="s">
        <v>3534</v>
      </c>
      <c r="G1090" s="5" t="s">
        <v>4036</v>
      </c>
      <c r="H1090" s="5"/>
      <c r="I1090" s="5"/>
    </row>
    <row r="1091" spans="1:9" x14ac:dyDescent="0.2">
      <c r="A1091" s="5">
        <v>1</v>
      </c>
      <c r="B1091" s="5" t="s">
        <v>3923</v>
      </c>
      <c r="C1091" s="5" t="s">
        <v>2804</v>
      </c>
      <c r="D1091" s="5" t="s">
        <v>2805</v>
      </c>
      <c r="E1091" s="5" t="s">
        <v>244</v>
      </c>
      <c r="F1091" s="5" t="s">
        <v>3534</v>
      </c>
      <c r="G1091" s="5" t="s">
        <v>4037</v>
      </c>
      <c r="H1091" s="5"/>
      <c r="I1091" s="5"/>
    </row>
    <row r="1092" spans="1:9" x14ac:dyDescent="0.2">
      <c r="A1092" s="5">
        <v>1</v>
      </c>
      <c r="B1092" s="5" t="s">
        <v>3923</v>
      </c>
      <c r="C1092" s="5" t="s">
        <v>2804</v>
      </c>
      <c r="D1092" s="5" t="s">
        <v>2805</v>
      </c>
      <c r="E1092" s="5" t="s">
        <v>244</v>
      </c>
      <c r="F1092" s="5" t="s">
        <v>3534</v>
      </c>
      <c r="G1092" s="5" t="s">
        <v>4038</v>
      </c>
      <c r="H1092" s="5"/>
      <c r="I1092" s="5"/>
    </row>
    <row r="1093" spans="1:9" x14ac:dyDescent="0.2">
      <c r="A1093" s="5">
        <v>1</v>
      </c>
      <c r="B1093" s="5" t="s">
        <v>3923</v>
      </c>
      <c r="C1093" s="5" t="s">
        <v>2804</v>
      </c>
      <c r="D1093" s="5" t="s">
        <v>2805</v>
      </c>
      <c r="E1093" s="5" t="s">
        <v>244</v>
      </c>
      <c r="F1093" s="5" t="s">
        <v>3534</v>
      </c>
      <c r="G1093" s="5" t="s">
        <v>4039</v>
      </c>
      <c r="H1093" s="5"/>
      <c r="I1093" s="5"/>
    </row>
    <row r="1094" spans="1:9" x14ac:dyDescent="0.2">
      <c r="A1094" s="5">
        <v>1</v>
      </c>
      <c r="B1094" s="5" t="s">
        <v>3923</v>
      </c>
      <c r="C1094" s="5" t="s">
        <v>2804</v>
      </c>
      <c r="D1094" s="5" t="s">
        <v>2805</v>
      </c>
      <c r="E1094" s="5" t="s">
        <v>244</v>
      </c>
      <c r="F1094" s="5" t="s">
        <v>3534</v>
      </c>
      <c r="G1094" s="5" t="s">
        <v>4040</v>
      </c>
      <c r="H1094" s="5"/>
      <c r="I1094" s="5"/>
    </row>
    <row r="1095" spans="1:9" x14ac:dyDescent="0.2">
      <c r="A1095" s="5">
        <v>1</v>
      </c>
      <c r="B1095" s="5" t="s">
        <v>3923</v>
      </c>
      <c r="C1095" s="5" t="s">
        <v>2804</v>
      </c>
      <c r="D1095" s="5" t="s">
        <v>2805</v>
      </c>
      <c r="E1095" s="5" t="s">
        <v>244</v>
      </c>
      <c r="F1095" s="5" t="s">
        <v>3534</v>
      </c>
      <c r="G1095" s="5" t="s">
        <v>4041</v>
      </c>
      <c r="H1095" s="5"/>
      <c r="I1095" s="5"/>
    </row>
    <row r="1096" spans="1:9" x14ac:dyDescent="0.2">
      <c r="A1096" s="5">
        <v>1</v>
      </c>
      <c r="B1096" s="5" t="s">
        <v>3923</v>
      </c>
      <c r="C1096" s="5" t="s">
        <v>2804</v>
      </c>
      <c r="D1096" s="5" t="s">
        <v>2805</v>
      </c>
      <c r="E1096" s="5" t="s">
        <v>244</v>
      </c>
      <c r="F1096" s="5" t="s">
        <v>3534</v>
      </c>
      <c r="G1096" s="5" t="s">
        <v>4042</v>
      </c>
      <c r="H1096" s="5"/>
      <c r="I1096" s="5"/>
    </row>
    <row r="1097" spans="1:9" x14ac:dyDescent="0.2">
      <c r="A1097" s="5">
        <v>1</v>
      </c>
      <c r="B1097" s="5" t="s">
        <v>3923</v>
      </c>
      <c r="C1097" s="5" t="s">
        <v>2804</v>
      </c>
      <c r="D1097" s="5" t="s">
        <v>2805</v>
      </c>
      <c r="E1097" s="5" t="s">
        <v>244</v>
      </c>
      <c r="F1097" s="5" t="s">
        <v>3534</v>
      </c>
      <c r="G1097" s="5" t="s">
        <v>4043</v>
      </c>
      <c r="H1097" s="5"/>
      <c r="I1097" s="5"/>
    </row>
    <row r="1098" spans="1:9" x14ac:dyDescent="0.2">
      <c r="A1098" s="5">
        <v>1</v>
      </c>
      <c r="B1098" s="5" t="s">
        <v>3923</v>
      </c>
      <c r="C1098" s="5" t="s">
        <v>2804</v>
      </c>
      <c r="D1098" s="5" t="s">
        <v>2805</v>
      </c>
      <c r="E1098" s="5" t="s">
        <v>244</v>
      </c>
      <c r="F1098" s="5" t="s">
        <v>3534</v>
      </c>
      <c r="G1098" s="5" t="s">
        <v>4044</v>
      </c>
      <c r="H1098" s="5"/>
      <c r="I1098" s="5"/>
    </row>
    <row r="1099" spans="1:9" x14ac:dyDescent="0.2">
      <c r="A1099" s="5">
        <v>1</v>
      </c>
      <c r="B1099" s="5" t="s">
        <v>3923</v>
      </c>
      <c r="C1099" s="5" t="s">
        <v>2804</v>
      </c>
      <c r="D1099" s="5" t="s">
        <v>2805</v>
      </c>
      <c r="E1099" s="5" t="s">
        <v>244</v>
      </c>
      <c r="F1099" s="5" t="s">
        <v>3534</v>
      </c>
      <c r="G1099" s="5" t="s">
        <v>4045</v>
      </c>
      <c r="H1099" s="5"/>
      <c r="I1099" s="5"/>
    </row>
    <row r="1100" spans="1:9" x14ac:dyDescent="0.2">
      <c r="A1100" s="5">
        <v>1</v>
      </c>
      <c r="B1100" s="5" t="s">
        <v>3923</v>
      </c>
      <c r="C1100" s="5" t="s">
        <v>2804</v>
      </c>
      <c r="D1100" s="5" t="s">
        <v>2805</v>
      </c>
      <c r="E1100" s="5" t="s">
        <v>244</v>
      </c>
      <c r="F1100" s="5" t="s">
        <v>3534</v>
      </c>
      <c r="G1100" s="5" t="s">
        <v>4046</v>
      </c>
      <c r="H1100" s="5"/>
      <c r="I1100" s="5"/>
    </row>
    <row r="1101" spans="1:9" x14ac:dyDescent="0.2">
      <c r="A1101" s="5">
        <v>1</v>
      </c>
      <c r="B1101" s="5" t="s">
        <v>3923</v>
      </c>
      <c r="C1101" s="5" t="s">
        <v>2804</v>
      </c>
      <c r="D1101" s="5" t="s">
        <v>2805</v>
      </c>
      <c r="E1101" s="5" t="s">
        <v>244</v>
      </c>
      <c r="F1101" s="5" t="s">
        <v>3534</v>
      </c>
      <c r="G1101" s="5" t="s">
        <v>4047</v>
      </c>
      <c r="H1101" s="5"/>
      <c r="I1101" s="5"/>
    </row>
    <row r="1102" spans="1:9" x14ac:dyDescent="0.2">
      <c r="A1102" s="5">
        <v>1</v>
      </c>
      <c r="B1102" s="5" t="s">
        <v>3923</v>
      </c>
      <c r="C1102" s="5" t="s">
        <v>2804</v>
      </c>
      <c r="D1102" s="5" t="s">
        <v>2805</v>
      </c>
      <c r="E1102" s="5" t="s">
        <v>244</v>
      </c>
      <c r="F1102" s="5" t="s">
        <v>3534</v>
      </c>
      <c r="G1102" s="5" t="s">
        <v>4048</v>
      </c>
      <c r="H1102" s="5"/>
      <c r="I1102" s="5"/>
    </row>
    <row r="1103" spans="1:9" x14ac:dyDescent="0.2">
      <c r="A1103" s="5">
        <v>1</v>
      </c>
      <c r="B1103" s="5" t="s">
        <v>3923</v>
      </c>
      <c r="C1103" s="5" t="s">
        <v>2804</v>
      </c>
      <c r="D1103" s="5" t="s">
        <v>2805</v>
      </c>
      <c r="E1103" s="5" t="s">
        <v>244</v>
      </c>
      <c r="F1103" s="5" t="s">
        <v>3534</v>
      </c>
      <c r="G1103" s="5" t="s">
        <v>4049</v>
      </c>
      <c r="H1103" s="5"/>
      <c r="I1103" s="5"/>
    </row>
    <row r="1104" spans="1:9" x14ac:dyDescent="0.2">
      <c r="A1104" s="5">
        <v>1</v>
      </c>
      <c r="B1104" s="5" t="s">
        <v>3923</v>
      </c>
      <c r="C1104" s="5" t="s">
        <v>2804</v>
      </c>
      <c r="D1104" s="5" t="s">
        <v>2805</v>
      </c>
      <c r="E1104" s="5" t="s">
        <v>244</v>
      </c>
      <c r="F1104" s="5" t="s">
        <v>3534</v>
      </c>
      <c r="G1104" s="5" t="s">
        <v>4050</v>
      </c>
      <c r="H1104" s="5"/>
      <c r="I1104" s="5"/>
    </row>
    <row r="1105" spans="1:9" x14ac:dyDescent="0.2">
      <c r="A1105" s="5">
        <v>1</v>
      </c>
      <c r="B1105" s="5" t="s">
        <v>3923</v>
      </c>
      <c r="C1105" s="5" t="s">
        <v>2804</v>
      </c>
      <c r="D1105" s="5" t="s">
        <v>2805</v>
      </c>
      <c r="E1105" s="5" t="s">
        <v>244</v>
      </c>
      <c r="F1105" s="5" t="s">
        <v>3534</v>
      </c>
      <c r="G1105" s="5" t="s">
        <v>4051</v>
      </c>
      <c r="H1105" s="5"/>
      <c r="I1105" s="5"/>
    </row>
    <row r="1106" spans="1:9" x14ac:dyDescent="0.2">
      <c r="A1106" s="5">
        <v>1</v>
      </c>
      <c r="B1106" s="5" t="s">
        <v>3923</v>
      </c>
      <c r="C1106" s="5" t="s">
        <v>2804</v>
      </c>
      <c r="D1106" s="5" t="s">
        <v>2805</v>
      </c>
      <c r="E1106" s="5" t="s">
        <v>244</v>
      </c>
      <c r="F1106" s="5" t="s">
        <v>3534</v>
      </c>
      <c r="G1106" s="5" t="s">
        <v>4052</v>
      </c>
      <c r="H1106" s="5"/>
      <c r="I1106" s="5"/>
    </row>
    <row r="1107" spans="1:9" x14ac:dyDescent="0.2">
      <c r="A1107" s="5">
        <v>1</v>
      </c>
      <c r="B1107" s="5" t="s">
        <v>3923</v>
      </c>
      <c r="C1107" s="5" t="s">
        <v>2804</v>
      </c>
      <c r="D1107" s="5" t="s">
        <v>2805</v>
      </c>
      <c r="E1107" s="5" t="s">
        <v>244</v>
      </c>
      <c r="F1107" s="5" t="s">
        <v>3534</v>
      </c>
      <c r="G1107" s="5" t="s">
        <v>4053</v>
      </c>
      <c r="H1107" s="5"/>
      <c r="I1107" s="5"/>
    </row>
    <row r="1108" spans="1:9" x14ac:dyDescent="0.2">
      <c r="A1108" s="5">
        <v>1</v>
      </c>
      <c r="B1108" s="5" t="s">
        <v>3923</v>
      </c>
      <c r="C1108" s="5" t="s">
        <v>2804</v>
      </c>
      <c r="D1108" s="5" t="s">
        <v>2805</v>
      </c>
      <c r="E1108" s="5" t="s">
        <v>244</v>
      </c>
      <c r="F1108" s="5" t="s">
        <v>3534</v>
      </c>
      <c r="G1108" s="5" t="s">
        <v>4054</v>
      </c>
      <c r="H1108" s="5"/>
      <c r="I1108" s="5"/>
    </row>
    <row r="1109" spans="1:9" x14ac:dyDescent="0.2">
      <c r="A1109" s="5">
        <v>1</v>
      </c>
      <c r="B1109" s="5" t="s">
        <v>3923</v>
      </c>
      <c r="C1109" s="5" t="s">
        <v>2804</v>
      </c>
      <c r="D1109" s="5" t="s">
        <v>2805</v>
      </c>
      <c r="E1109" s="5" t="s">
        <v>244</v>
      </c>
      <c r="F1109" s="5" t="s">
        <v>3534</v>
      </c>
      <c r="G1109" s="5" t="s">
        <v>4055</v>
      </c>
      <c r="H1109" s="5"/>
      <c r="I1109" s="5"/>
    </row>
    <row r="1110" spans="1:9" x14ac:dyDescent="0.2">
      <c r="A1110" s="5">
        <v>1</v>
      </c>
      <c r="B1110" s="5" t="s">
        <v>3923</v>
      </c>
      <c r="C1110" s="5" t="s">
        <v>2804</v>
      </c>
      <c r="D1110" s="5" t="s">
        <v>2805</v>
      </c>
      <c r="E1110" s="5" t="s">
        <v>244</v>
      </c>
      <c r="F1110" s="5" t="s">
        <v>3534</v>
      </c>
      <c r="G1110" s="5" t="s">
        <v>4056</v>
      </c>
      <c r="H1110" s="5"/>
      <c r="I1110" s="5"/>
    </row>
    <row r="1111" spans="1:9" x14ac:dyDescent="0.2">
      <c r="A1111" s="5">
        <v>1</v>
      </c>
      <c r="B1111" s="5" t="s">
        <v>3923</v>
      </c>
      <c r="C1111" s="5" t="s">
        <v>2804</v>
      </c>
      <c r="D1111" s="5" t="s">
        <v>2805</v>
      </c>
      <c r="E1111" s="5" t="s">
        <v>244</v>
      </c>
      <c r="F1111" s="5" t="s">
        <v>3534</v>
      </c>
      <c r="G1111" s="5" t="s">
        <v>4057</v>
      </c>
      <c r="H1111" s="5"/>
      <c r="I1111" s="5"/>
    </row>
    <row r="1112" spans="1:9" x14ac:dyDescent="0.2">
      <c r="A1112" s="5">
        <v>1</v>
      </c>
      <c r="B1112" s="5" t="s">
        <v>3923</v>
      </c>
      <c r="C1112" s="5" t="s">
        <v>2804</v>
      </c>
      <c r="D1112" s="5" t="s">
        <v>2805</v>
      </c>
      <c r="E1112" s="5" t="s">
        <v>244</v>
      </c>
      <c r="F1112" s="5" t="s">
        <v>3534</v>
      </c>
      <c r="G1112" s="5" t="s">
        <v>4058</v>
      </c>
      <c r="H1112" s="5"/>
      <c r="I1112" s="5"/>
    </row>
    <row r="1113" spans="1:9" x14ac:dyDescent="0.2">
      <c r="A1113" s="5">
        <v>1</v>
      </c>
      <c r="B1113" s="5" t="s">
        <v>3923</v>
      </c>
      <c r="C1113" s="5" t="s">
        <v>2804</v>
      </c>
      <c r="D1113" s="5" t="s">
        <v>2805</v>
      </c>
      <c r="E1113" s="5" t="s">
        <v>244</v>
      </c>
      <c r="F1113" s="5" t="s">
        <v>3534</v>
      </c>
      <c r="G1113" s="5" t="s">
        <v>4059</v>
      </c>
      <c r="H1113" s="5"/>
      <c r="I1113" s="5"/>
    </row>
    <row r="1114" spans="1:9" x14ac:dyDescent="0.2">
      <c r="A1114" s="5">
        <v>1</v>
      </c>
      <c r="B1114" s="5" t="s">
        <v>3923</v>
      </c>
      <c r="C1114" s="5" t="s">
        <v>2804</v>
      </c>
      <c r="D1114" s="5" t="s">
        <v>2805</v>
      </c>
      <c r="E1114" s="5" t="s">
        <v>244</v>
      </c>
      <c r="F1114" s="5" t="s">
        <v>3534</v>
      </c>
      <c r="G1114" s="5" t="s">
        <v>4060</v>
      </c>
      <c r="H1114" s="5"/>
      <c r="I1114" s="5"/>
    </row>
    <row r="1115" spans="1:9" x14ac:dyDescent="0.2">
      <c r="A1115" s="5">
        <v>1</v>
      </c>
      <c r="B1115" s="5" t="s">
        <v>3923</v>
      </c>
      <c r="C1115" s="5" t="s">
        <v>2804</v>
      </c>
      <c r="D1115" s="5" t="s">
        <v>2805</v>
      </c>
      <c r="E1115" s="5" t="s">
        <v>244</v>
      </c>
      <c r="F1115" s="5" t="s">
        <v>3534</v>
      </c>
      <c r="G1115" s="5" t="s">
        <v>4061</v>
      </c>
      <c r="H1115" s="5"/>
      <c r="I1115" s="5"/>
    </row>
    <row r="1116" spans="1:9" x14ac:dyDescent="0.2">
      <c r="A1116" s="5">
        <v>1</v>
      </c>
      <c r="B1116" s="5" t="s">
        <v>3923</v>
      </c>
      <c r="C1116" s="5" t="s">
        <v>2804</v>
      </c>
      <c r="D1116" s="5" t="s">
        <v>2805</v>
      </c>
      <c r="E1116" s="5" t="s">
        <v>244</v>
      </c>
      <c r="F1116" s="5" t="s">
        <v>3534</v>
      </c>
      <c r="G1116" s="5" t="s">
        <v>4062</v>
      </c>
      <c r="H1116" s="5"/>
      <c r="I1116" s="5"/>
    </row>
    <row r="1117" spans="1:9" x14ac:dyDescent="0.2">
      <c r="A1117" s="5">
        <v>1</v>
      </c>
      <c r="B1117" s="5" t="s">
        <v>3923</v>
      </c>
      <c r="C1117" s="5" t="s">
        <v>2804</v>
      </c>
      <c r="D1117" s="5" t="s">
        <v>2805</v>
      </c>
      <c r="E1117" s="5" t="s">
        <v>244</v>
      </c>
      <c r="F1117" s="5" t="s">
        <v>3534</v>
      </c>
      <c r="G1117" s="5" t="s">
        <v>4063</v>
      </c>
      <c r="H1117" s="5"/>
      <c r="I1117" s="5"/>
    </row>
    <row r="1118" spans="1:9" x14ac:dyDescent="0.2">
      <c r="A1118" s="5">
        <v>1</v>
      </c>
      <c r="B1118" s="5" t="s">
        <v>3923</v>
      </c>
      <c r="C1118" s="5" t="s">
        <v>2564</v>
      </c>
      <c r="D1118" s="5" t="s">
        <v>2565</v>
      </c>
      <c r="E1118" s="5" t="s">
        <v>244</v>
      </c>
      <c r="F1118" s="5" t="s">
        <v>3518</v>
      </c>
      <c r="G1118" s="5" t="s">
        <v>4071</v>
      </c>
      <c r="H1118" s="5"/>
      <c r="I1118" s="5"/>
    </row>
    <row r="1119" spans="1:9" x14ac:dyDescent="0.2">
      <c r="A1119" s="5">
        <v>1</v>
      </c>
      <c r="B1119" s="5" t="s">
        <v>3923</v>
      </c>
      <c r="C1119" s="5" t="s">
        <v>2400</v>
      </c>
      <c r="D1119" s="5" t="s">
        <v>2401</v>
      </c>
      <c r="E1119" s="5" t="s">
        <v>244</v>
      </c>
      <c r="F1119" s="5" t="s">
        <v>3517</v>
      </c>
      <c r="G1119" s="5" t="s">
        <v>4073</v>
      </c>
      <c r="H1119" s="5"/>
      <c r="I1119" s="5"/>
    </row>
    <row r="1120" spans="1:9" x14ac:dyDescent="0.2">
      <c r="A1120" s="5">
        <v>1</v>
      </c>
      <c r="B1120" s="5" t="s">
        <v>3923</v>
      </c>
      <c r="C1120" s="5" t="s">
        <v>2265</v>
      </c>
      <c r="D1120" s="5" t="s">
        <v>2266</v>
      </c>
      <c r="E1120" s="5" t="s">
        <v>244</v>
      </c>
      <c r="F1120" s="5" t="s">
        <v>3508</v>
      </c>
      <c r="G1120" s="5" t="s">
        <v>4074</v>
      </c>
      <c r="H1120" s="5"/>
      <c r="I1120" s="5"/>
    </row>
    <row r="1121" spans="1:9" x14ac:dyDescent="0.2">
      <c r="A1121" s="5">
        <v>1</v>
      </c>
      <c r="B1121" s="5" t="s">
        <v>3923</v>
      </c>
      <c r="C1121" s="5" t="s">
        <v>2265</v>
      </c>
      <c r="D1121" s="5" t="s">
        <v>2266</v>
      </c>
      <c r="E1121" s="5" t="s">
        <v>244</v>
      </c>
      <c r="F1121" s="5" t="s">
        <v>3509</v>
      </c>
      <c r="G1121" s="5" t="s">
        <v>4075</v>
      </c>
      <c r="H1121" s="5"/>
      <c r="I1121" s="5"/>
    </row>
    <row r="1122" spans="1:9" x14ac:dyDescent="0.2">
      <c r="A1122" s="5">
        <v>1</v>
      </c>
      <c r="B1122" s="5" t="s">
        <v>3923</v>
      </c>
      <c r="C1122" s="5" t="s">
        <v>2804</v>
      </c>
      <c r="D1122" s="5" t="s">
        <v>2805</v>
      </c>
      <c r="E1122" s="5" t="s">
        <v>244</v>
      </c>
      <c r="F1122" s="5" t="s">
        <v>3538</v>
      </c>
      <c r="G1122" s="5" t="s">
        <v>4083</v>
      </c>
      <c r="H1122" s="5"/>
      <c r="I1122" s="5"/>
    </row>
    <row r="1123" spans="1:9" x14ac:dyDescent="0.2">
      <c r="A1123" s="5">
        <v>1</v>
      </c>
      <c r="B1123" s="5" t="s">
        <v>3923</v>
      </c>
      <c r="C1123" s="5" t="s">
        <v>2804</v>
      </c>
      <c r="D1123" s="5" t="s">
        <v>2805</v>
      </c>
      <c r="E1123" s="5" t="s">
        <v>244</v>
      </c>
      <c r="F1123" s="5" t="s">
        <v>3539</v>
      </c>
      <c r="G1123" s="5" t="s">
        <v>4083</v>
      </c>
      <c r="H1123" s="5"/>
      <c r="I1123" s="5"/>
    </row>
    <row r="1124" spans="1:9" x14ac:dyDescent="0.2">
      <c r="A1124" s="5">
        <v>1</v>
      </c>
      <c r="B1124" s="5" t="s">
        <v>3923</v>
      </c>
      <c r="C1124" s="5" t="s">
        <v>2564</v>
      </c>
      <c r="D1124" s="5" t="s">
        <v>2565</v>
      </c>
      <c r="E1124" s="5" t="s">
        <v>244</v>
      </c>
      <c r="F1124" s="5" t="s">
        <v>3520</v>
      </c>
      <c r="G1124" s="5" t="s">
        <v>4087</v>
      </c>
      <c r="H1124" s="5"/>
      <c r="I1124" s="5"/>
    </row>
    <row r="1125" spans="1:9" x14ac:dyDescent="0.2">
      <c r="A1125" s="5">
        <v>1</v>
      </c>
      <c r="B1125" s="5" t="s">
        <v>3923</v>
      </c>
      <c r="C1125" s="5" t="s">
        <v>2564</v>
      </c>
      <c r="D1125" s="5" t="s">
        <v>2565</v>
      </c>
      <c r="E1125" s="5" t="s">
        <v>244</v>
      </c>
      <c r="F1125" s="5" t="s">
        <v>3521</v>
      </c>
      <c r="G1125" s="5" t="s">
        <v>4087</v>
      </c>
      <c r="H1125" s="5"/>
      <c r="I1125" s="5"/>
    </row>
    <row r="1126" spans="1:9" x14ac:dyDescent="0.2">
      <c r="A1126" s="5">
        <v>1</v>
      </c>
      <c r="B1126" s="5" t="s">
        <v>3923</v>
      </c>
      <c r="C1126" s="5" t="s">
        <v>2265</v>
      </c>
      <c r="D1126" s="5" t="s">
        <v>2266</v>
      </c>
      <c r="E1126" s="5" t="s">
        <v>244</v>
      </c>
      <c r="F1126" s="5" t="s">
        <v>3510</v>
      </c>
      <c r="G1126" s="5" t="s">
        <v>4089</v>
      </c>
      <c r="H1126" s="5"/>
      <c r="I1126" s="5"/>
    </row>
    <row r="1127" spans="1:9" x14ac:dyDescent="0.2">
      <c r="A1127" s="5">
        <v>1</v>
      </c>
      <c r="B1127" s="5" t="s">
        <v>3923</v>
      </c>
      <c r="C1127" s="5" t="s">
        <v>2265</v>
      </c>
      <c r="D1127" s="5" t="s">
        <v>2266</v>
      </c>
      <c r="E1127" s="5" t="s">
        <v>244</v>
      </c>
      <c r="F1127" s="5" t="s">
        <v>3511</v>
      </c>
      <c r="G1127" s="5" t="s">
        <v>4089</v>
      </c>
      <c r="H1127" s="5"/>
      <c r="I1127" s="5"/>
    </row>
    <row r="1128" spans="1:9" x14ac:dyDescent="0.2">
      <c r="A1128" s="5">
        <v>1</v>
      </c>
      <c r="B1128" s="5" t="s">
        <v>3923</v>
      </c>
      <c r="C1128" s="5" t="s">
        <v>2804</v>
      </c>
      <c r="D1128" s="5" t="s">
        <v>2805</v>
      </c>
      <c r="E1128" s="5" t="s">
        <v>244</v>
      </c>
      <c r="F1128" s="5" t="s">
        <v>3445</v>
      </c>
      <c r="G1128" s="5" t="s">
        <v>4091</v>
      </c>
      <c r="H1128" s="5"/>
      <c r="I1128" s="5"/>
    </row>
    <row r="1129" spans="1:9" x14ac:dyDescent="0.2">
      <c r="A1129" s="5">
        <v>1</v>
      </c>
      <c r="B1129" s="5" t="s">
        <v>3923</v>
      </c>
      <c r="C1129" s="5" t="s">
        <v>2804</v>
      </c>
      <c r="D1129" s="5" t="s">
        <v>2805</v>
      </c>
      <c r="E1129" s="5" t="s">
        <v>244</v>
      </c>
      <c r="F1129" s="5" t="s">
        <v>3445</v>
      </c>
      <c r="G1129" s="5" t="s">
        <v>4092</v>
      </c>
      <c r="H1129" s="5"/>
      <c r="I1129" s="5"/>
    </row>
    <row r="1130" spans="1:9" x14ac:dyDescent="0.2">
      <c r="A1130" s="5">
        <v>1</v>
      </c>
      <c r="B1130" s="5" t="s">
        <v>3923</v>
      </c>
      <c r="C1130" s="5" t="s">
        <v>2804</v>
      </c>
      <c r="D1130" s="5" t="s">
        <v>2805</v>
      </c>
      <c r="E1130" s="5" t="s">
        <v>244</v>
      </c>
      <c r="F1130" s="5" t="s">
        <v>3446</v>
      </c>
      <c r="G1130" s="5" t="s">
        <v>4096</v>
      </c>
      <c r="H1130" s="5"/>
      <c r="I1130" s="5"/>
    </row>
    <row r="1131" spans="1:9" x14ac:dyDescent="0.2">
      <c r="A1131" s="5">
        <v>1</v>
      </c>
      <c r="B1131" s="5" t="s">
        <v>3923</v>
      </c>
      <c r="C1131" s="5" t="s">
        <v>2804</v>
      </c>
      <c r="D1131" s="5" t="s">
        <v>2805</v>
      </c>
      <c r="E1131" s="5" t="s">
        <v>244</v>
      </c>
      <c r="F1131" s="5" t="s">
        <v>3446</v>
      </c>
      <c r="G1131" s="5" t="s">
        <v>4097</v>
      </c>
      <c r="H1131" s="5"/>
      <c r="I1131" s="5"/>
    </row>
    <row r="1132" spans="1:9" x14ac:dyDescent="0.2">
      <c r="A1132" s="5">
        <v>1</v>
      </c>
      <c r="B1132" s="5" t="s">
        <v>3923</v>
      </c>
      <c r="C1132" s="5" t="s">
        <v>2804</v>
      </c>
      <c r="D1132" s="5" t="s">
        <v>2805</v>
      </c>
      <c r="E1132" s="5" t="s">
        <v>244</v>
      </c>
      <c r="F1132" s="5" t="s">
        <v>3446</v>
      </c>
      <c r="G1132" s="5" t="s">
        <v>4098</v>
      </c>
      <c r="H1132" s="5"/>
      <c r="I1132" s="5"/>
    </row>
    <row r="1133" spans="1:9" x14ac:dyDescent="0.2">
      <c r="A1133" s="5">
        <v>1</v>
      </c>
      <c r="B1133" s="5" t="s">
        <v>3923</v>
      </c>
      <c r="C1133" s="5" t="s">
        <v>2804</v>
      </c>
      <c r="D1133" s="5" t="s">
        <v>2805</v>
      </c>
      <c r="E1133" s="5" t="s">
        <v>244</v>
      </c>
      <c r="F1133" s="5" t="s">
        <v>3446</v>
      </c>
      <c r="G1133" s="5" t="s">
        <v>4099</v>
      </c>
      <c r="H1133" s="5"/>
      <c r="I1133" s="5"/>
    </row>
    <row r="1134" spans="1:9" x14ac:dyDescent="0.2">
      <c r="A1134" s="5">
        <v>1</v>
      </c>
      <c r="B1134" s="5" t="s">
        <v>3923</v>
      </c>
      <c r="C1134" s="5" t="s">
        <v>2564</v>
      </c>
      <c r="D1134" s="5" t="s">
        <v>2565</v>
      </c>
      <c r="E1134" s="5" t="s">
        <v>244</v>
      </c>
      <c r="F1134" s="5" t="s">
        <v>3399</v>
      </c>
      <c r="G1134" s="5" t="s">
        <v>4087</v>
      </c>
      <c r="H1134" s="5"/>
      <c r="I1134" s="5"/>
    </row>
    <row r="1135" spans="1:9" x14ac:dyDescent="0.2">
      <c r="A1135" s="5">
        <v>1</v>
      </c>
      <c r="B1135" s="5" t="s">
        <v>3923</v>
      </c>
      <c r="C1135" s="5" t="s">
        <v>2564</v>
      </c>
      <c r="D1135" s="5" t="s">
        <v>2565</v>
      </c>
      <c r="E1135" s="5" t="s">
        <v>244</v>
      </c>
      <c r="F1135" s="5" t="s">
        <v>3398</v>
      </c>
      <c r="G1135" s="5" t="s">
        <v>4103</v>
      </c>
      <c r="H1135" s="5"/>
      <c r="I1135" s="5"/>
    </row>
    <row r="1136" spans="1:9" x14ac:dyDescent="0.2">
      <c r="A1136" s="5">
        <v>1</v>
      </c>
      <c r="B1136" s="5" t="s">
        <v>3923</v>
      </c>
      <c r="C1136" s="5" t="s">
        <v>2804</v>
      </c>
      <c r="D1136" s="5" t="s">
        <v>2805</v>
      </c>
      <c r="E1136" s="5" t="s">
        <v>244</v>
      </c>
      <c r="F1136" s="5" t="s">
        <v>3447</v>
      </c>
      <c r="G1136" s="5" t="s">
        <v>4105</v>
      </c>
      <c r="H1136" s="5"/>
      <c r="I1136" s="5"/>
    </row>
    <row r="1137" spans="1:9" x14ac:dyDescent="0.2">
      <c r="A1137" s="5">
        <v>1</v>
      </c>
      <c r="B1137" s="5" t="s">
        <v>3923</v>
      </c>
      <c r="C1137" s="5" t="s">
        <v>2804</v>
      </c>
      <c r="D1137" s="5" t="s">
        <v>2805</v>
      </c>
      <c r="E1137" s="5" t="s">
        <v>244</v>
      </c>
      <c r="F1137" s="5" t="s">
        <v>3392</v>
      </c>
      <c r="G1137" s="5" t="s">
        <v>4107</v>
      </c>
      <c r="H1137" s="5"/>
      <c r="I1137" s="5"/>
    </row>
    <row r="1138" spans="1:9" x14ac:dyDescent="0.2">
      <c r="A1138" s="5">
        <v>1</v>
      </c>
      <c r="B1138" s="5" t="s">
        <v>3923</v>
      </c>
      <c r="C1138" s="5" t="s">
        <v>2804</v>
      </c>
      <c r="D1138" s="5" t="s">
        <v>2805</v>
      </c>
      <c r="E1138" s="5" t="s">
        <v>244</v>
      </c>
      <c r="F1138" s="5" t="s">
        <v>3392</v>
      </c>
      <c r="G1138" s="5" t="s">
        <v>4108</v>
      </c>
      <c r="H1138" s="5"/>
      <c r="I1138" s="5"/>
    </row>
    <row r="1139" spans="1:9" x14ac:dyDescent="0.2">
      <c r="A1139" s="5">
        <v>1</v>
      </c>
      <c r="B1139" s="5" t="s">
        <v>3923</v>
      </c>
      <c r="C1139" s="5" t="s">
        <v>2804</v>
      </c>
      <c r="D1139" s="5" t="s">
        <v>2805</v>
      </c>
      <c r="E1139" s="5" t="s">
        <v>244</v>
      </c>
      <c r="F1139" s="5" t="s">
        <v>3392</v>
      </c>
      <c r="G1139" s="5" t="s">
        <v>4109</v>
      </c>
      <c r="H1139" s="5"/>
      <c r="I1139" s="5"/>
    </row>
    <row r="1140" spans="1:9" x14ac:dyDescent="0.2">
      <c r="A1140" s="5">
        <v>1</v>
      </c>
      <c r="B1140" s="5" t="s">
        <v>3923</v>
      </c>
      <c r="C1140" s="5" t="s">
        <v>2804</v>
      </c>
      <c r="D1140" s="5" t="s">
        <v>2805</v>
      </c>
      <c r="E1140" s="5" t="s">
        <v>244</v>
      </c>
      <c r="F1140" s="5" t="s">
        <v>3392</v>
      </c>
      <c r="G1140" s="5" t="s">
        <v>4110</v>
      </c>
      <c r="H1140" s="5"/>
      <c r="I1140" s="5"/>
    </row>
    <row r="1141" spans="1:9" x14ac:dyDescent="0.2">
      <c r="A1141" s="5">
        <v>1</v>
      </c>
      <c r="B1141" s="5" t="s">
        <v>3923</v>
      </c>
      <c r="C1141" s="5" t="s">
        <v>2804</v>
      </c>
      <c r="D1141" s="5" t="s">
        <v>2805</v>
      </c>
      <c r="E1141" s="5" t="s">
        <v>244</v>
      </c>
      <c r="F1141" s="5" t="s">
        <v>3392</v>
      </c>
      <c r="G1141" s="5" t="s">
        <v>4111</v>
      </c>
      <c r="H1141" s="5"/>
      <c r="I1141" s="5"/>
    </row>
    <row r="1142" spans="1:9" x14ac:dyDescent="0.2">
      <c r="A1142" s="5">
        <v>1</v>
      </c>
      <c r="B1142" s="5" t="s">
        <v>3923</v>
      </c>
      <c r="C1142" s="5" t="s">
        <v>2804</v>
      </c>
      <c r="D1142" s="5" t="s">
        <v>2805</v>
      </c>
      <c r="E1142" s="5" t="s">
        <v>244</v>
      </c>
      <c r="F1142" s="5" t="s">
        <v>3392</v>
      </c>
      <c r="G1142" s="5" t="s">
        <v>4112</v>
      </c>
      <c r="H1142" s="5"/>
      <c r="I1142" s="5"/>
    </row>
    <row r="1143" spans="1:9" x14ac:dyDescent="0.2">
      <c r="A1143" s="5">
        <v>1</v>
      </c>
      <c r="B1143" s="5" t="s">
        <v>3923</v>
      </c>
      <c r="C1143" s="5" t="s">
        <v>2804</v>
      </c>
      <c r="D1143" s="5" t="s">
        <v>2805</v>
      </c>
      <c r="E1143" s="5" t="s">
        <v>244</v>
      </c>
      <c r="F1143" s="5" t="s">
        <v>3392</v>
      </c>
      <c r="G1143" s="5" t="s">
        <v>4113</v>
      </c>
      <c r="H1143" s="5"/>
      <c r="I1143" s="5"/>
    </row>
    <row r="1144" spans="1:9" x14ac:dyDescent="0.2">
      <c r="A1144" s="5">
        <v>1</v>
      </c>
      <c r="B1144" s="5" t="s">
        <v>3923</v>
      </c>
      <c r="C1144" s="5" t="s">
        <v>2804</v>
      </c>
      <c r="D1144" s="5" t="s">
        <v>2805</v>
      </c>
      <c r="E1144" s="5" t="s">
        <v>244</v>
      </c>
      <c r="F1144" s="5" t="s">
        <v>3392</v>
      </c>
      <c r="G1144" s="5" t="s">
        <v>4114</v>
      </c>
      <c r="H1144" s="5"/>
      <c r="I1144" s="5"/>
    </row>
    <row r="1145" spans="1:9" x14ac:dyDescent="0.2">
      <c r="A1145" s="5">
        <v>1</v>
      </c>
      <c r="B1145" s="5" t="s">
        <v>3923</v>
      </c>
      <c r="C1145" s="5" t="s">
        <v>2804</v>
      </c>
      <c r="D1145" s="5" t="s">
        <v>2805</v>
      </c>
      <c r="E1145" s="5" t="s">
        <v>244</v>
      </c>
      <c r="F1145" s="5" t="s">
        <v>3392</v>
      </c>
      <c r="G1145" s="5" t="s">
        <v>4115</v>
      </c>
      <c r="H1145" s="5"/>
      <c r="I1145" s="5"/>
    </row>
    <row r="1146" spans="1:9" x14ac:dyDescent="0.2">
      <c r="A1146" s="5">
        <v>1</v>
      </c>
      <c r="B1146" s="5" t="s">
        <v>3923</v>
      </c>
      <c r="C1146" s="5" t="s">
        <v>2804</v>
      </c>
      <c r="D1146" s="5" t="s">
        <v>2805</v>
      </c>
      <c r="E1146" s="5" t="s">
        <v>244</v>
      </c>
      <c r="F1146" s="5" t="s">
        <v>3392</v>
      </c>
      <c r="G1146" s="5" t="s">
        <v>4116</v>
      </c>
      <c r="H1146" s="5"/>
      <c r="I1146" s="5"/>
    </row>
    <row r="1147" spans="1:9" x14ac:dyDescent="0.2">
      <c r="A1147" s="5">
        <v>1</v>
      </c>
      <c r="B1147" s="5" t="s">
        <v>3923</v>
      </c>
      <c r="C1147" s="5" t="s">
        <v>2804</v>
      </c>
      <c r="D1147" s="5" t="s">
        <v>2805</v>
      </c>
      <c r="E1147" s="5" t="s">
        <v>244</v>
      </c>
      <c r="F1147" s="5" t="s">
        <v>3392</v>
      </c>
      <c r="G1147" s="5" t="s">
        <v>4117</v>
      </c>
      <c r="H1147" s="5"/>
      <c r="I1147" s="5"/>
    </row>
    <row r="1148" spans="1:9" x14ac:dyDescent="0.2">
      <c r="A1148" s="5">
        <v>1</v>
      </c>
      <c r="B1148" s="5" t="s">
        <v>3923</v>
      </c>
      <c r="C1148" s="5" t="s">
        <v>2804</v>
      </c>
      <c r="D1148" s="5" t="s">
        <v>2805</v>
      </c>
      <c r="E1148" s="5" t="s">
        <v>244</v>
      </c>
      <c r="F1148" s="5" t="s">
        <v>3392</v>
      </c>
      <c r="G1148" s="5" t="s">
        <v>4118</v>
      </c>
      <c r="H1148" s="5"/>
      <c r="I1148" s="5"/>
    </row>
    <row r="1149" spans="1:9" x14ac:dyDescent="0.2">
      <c r="A1149" s="5">
        <v>1</v>
      </c>
      <c r="B1149" s="5" t="s">
        <v>3923</v>
      </c>
      <c r="C1149" s="5" t="s">
        <v>2804</v>
      </c>
      <c r="D1149" s="5" t="s">
        <v>2805</v>
      </c>
      <c r="E1149" s="5" t="s">
        <v>244</v>
      </c>
      <c r="F1149" s="5" t="s">
        <v>3392</v>
      </c>
      <c r="G1149" s="5" t="s">
        <v>4119</v>
      </c>
      <c r="H1149" s="5"/>
      <c r="I1149" s="5"/>
    </row>
    <row r="1150" spans="1:9" x14ac:dyDescent="0.2">
      <c r="A1150" s="5">
        <v>1</v>
      </c>
      <c r="B1150" s="5" t="s">
        <v>3923</v>
      </c>
      <c r="C1150" s="5" t="s">
        <v>2804</v>
      </c>
      <c r="D1150" s="5" t="s">
        <v>2805</v>
      </c>
      <c r="E1150" s="5" t="s">
        <v>244</v>
      </c>
      <c r="F1150" s="5" t="s">
        <v>3392</v>
      </c>
      <c r="G1150" s="5" t="s">
        <v>4120</v>
      </c>
      <c r="H1150" s="5"/>
      <c r="I1150" s="5"/>
    </row>
    <row r="1151" spans="1:9" x14ac:dyDescent="0.2">
      <c r="A1151" s="5">
        <v>1</v>
      </c>
      <c r="B1151" s="5" t="s">
        <v>3923</v>
      </c>
      <c r="C1151" s="5" t="s">
        <v>2804</v>
      </c>
      <c r="D1151" s="5" t="s">
        <v>2805</v>
      </c>
      <c r="E1151" s="5" t="s">
        <v>244</v>
      </c>
      <c r="F1151" s="5" t="s">
        <v>3392</v>
      </c>
      <c r="G1151" s="5" t="s">
        <v>4121</v>
      </c>
      <c r="H1151" s="5"/>
      <c r="I1151" s="5"/>
    </row>
    <row r="1152" spans="1:9" x14ac:dyDescent="0.2">
      <c r="A1152" s="5">
        <v>1</v>
      </c>
      <c r="B1152" s="5" t="s">
        <v>3923</v>
      </c>
      <c r="C1152" s="5" t="s">
        <v>2804</v>
      </c>
      <c r="D1152" s="5" t="s">
        <v>2805</v>
      </c>
      <c r="E1152" s="5" t="s">
        <v>244</v>
      </c>
      <c r="F1152" s="5" t="s">
        <v>3392</v>
      </c>
      <c r="G1152" s="5" t="s">
        <v>4122</v>
      </c>
      <c r="H1152" s="5"/>
      <c r="I1152" s="5"/>
    </row>
    <row r="1153" spans="1:9" x14ac:dyDescent="0.2">
      <c r="A1153" s="5">
        <v>1</v>
      </c>
      <c r="B1153" s="5" t="s">
        <v>3923</v>
      </c>
      <c r="C1153" s="5" t="s">
        <v>2804</v>
      </c>
      <c r="D1153" s="5" t="s">
        <v>2805</v>
      </c>
      <c r="E1153" s="5" t="s">
        <v>244</v>
      </c>
      <c r="F1153" s="5" t="s">
        <v>3392</v>
      </c>
      <c r="G1153" s="5" t="s">
        <v>4123</v>
      </c>
      <c r="H1153" s="5"/>
      <c r="I1153" s="5"/>
    </row>
    <row r="1154" spans="1:9" x14ac:dyDescent="0.2">
      <c r="A1154" s="5">
        <v>1</v>
      </c>
      <c r="B1154" s="5" t="s">
        <v>3923</v>
      </c>
      <c r="C1154" s="5" t="s">
        <v>2804</v>
      </c>
      <c r="D1154" s="5" t="s">
        <v>2805</v>
      </c>
      <c r="E1154" s="5" t="s">
        <v>244</v>
      </c>
      <c r="F1154" s="5" t="s">
        <v>3392</v>
      </c>
      <c r="G1154" s="5" t="s">
        <v>4124</v>
      </c>
      <c r="H1154" s="5"/>
      <c r="I1154" s="5"/>
    </row>
    <row r="1155" spans="1:9" x14ac:dyDescent="0.2">
      <c r="A1155" s="5">
        <v>1</v>
      </c>
      <c r="B1155" s="5" t="s">
        <v>3923</v>
      </c>
      <c r="C1155" s="5" t="s">
        <v>2804</v>
      </c>
      <c r="D1155" s="5" t="s">
        <v>2805</v>
      </c>
      <c r="E1155" s="5" t="s">
        <v>244</v>
      </c>
      <c r="F1155" s="5" t="s">
        <v>3392</v>
      </c>
      <c r="G1155" s="5" t="s">
        <v>4125</v>
      </c>
      <c r="H1155" s="5"/>
      <c r="I1155" s="5"/>
    </row>
    <row r="1156" spans="1:9" x14ac:dyDescent="0.2">
      <c r="A1156" s="5">
        <v>1</v>
      </c>
      <c r="B1156" s="5" t="s">
        <v>3923</v>
      </c>
      <c r="C1156" s="5" t="s">
        <v>2804</v>
      </c>
      <c r="D1156" s="5" t="s">
        <v>2805</v>
      </c>
      <c r="E1156" s="5" t="s">
        <v>244</v>
      </c>
      <c r="F1156" s="5" t="s">
        <v>3392</v>
      </c>
      <c r="G1156" s="5" t="s">
        <v>4126</v>
      </c>
      <c r="H1156" s="5"/>
      <c r="I1156" s="5"/>
    </row>
    <row r="1157" spans="1:9" x14ac:dyDescent="0.2">
      <c r="A1157" s="5">
        <v>1</v>
      </c>
      <c r="B1157" s="5" t="s">
        <v>3923</v>
      </c>
      <c r="C1157" s="5" t="s">
        <v>2804</v>
      </c>
      <c r="D1157" s="5" t="s">
        <v>2805</v>
      </c>
      <c r="E1157" s="5" t="s">
        <v>244</v>
      </c>
      <c r="F1157" s="5" t="s">
        <v>3392</v>
      </c>
      <c r="G1157" s="5" t="s">
        <v>4127</v>
      </c>
      <c r="H1157" s="5"/>
      <c r="I1157" s="5"/>
    </row>
    <row r="1158" spans="1:9" x14ac:dyDescent="0.2">
      <c r="A1158" s="5">
        <v>1</v>
      </c>
      <c r="B1158" s="5" t="s">
        <v>3923</v>
      </c>
      <c r="C1158" s="5" t="s">
        <v>2804</v>
      </c>
      <c r="D1158" s="5" t="s">
        <v>2805</v>
      </c>
      <c r="E1158" s="5" t="s">
        <v>244</v>
      </c>
      <c r="F1158" s="5" t="s">
        <v>3392</v>
      </c>
      <c r="G1158" s="5" t="s">
        <v>4128</v>
      </c>
      <c r="H1158" s="5"/>
      <c r="I1158" s="5"/>
    </row>
    <row r="1159" spans="1:9" x14ac:dyDescent="0.2">
      <c r="A1159" s="5">
        <v>1</v>
      </c>
      <c r="B1159" s="5" t="s">
        <v>3923</v>
      </c>
      <c r="C1159" s="5" t="s">
        <v>2804</v>
      </c>
      <c r="D1159" s="5" t="s">
        <v>2805</v>
      </c>
      <c r="E1159" s="5" t="s">
        <v>244</v>
      </c>
      <c r="F1159" s="5" t="s">
        <v>3392</v>
      </c>
      <c r="G1159" s="5" t="s">
        <v>4129</v>
      </c>
      <c r="H1159" s="5"/>
      <c r="I1159" s="5"/>
    </row>
    <row r="1160" spans="1:9" x14ac:dyDescent="0.2">
      <c r="A1160" s="5">
        <v>1</v>
      </c>
      <c r="B1160" s="5" t="s">
        <v>3923</v>
      </c>
      <c r="C1160" s="5" t="s">
        <v>2804</v>
      </c>
      <c r="D1160" s="5" t="s">
        <v>2805</v>
      </c>
      <c r="E1160" s="5" t="s">
        <v>244</v>
      </c>
      <c r="F1160" s="5" t="s">
        <v>3392</v>
      </c>
      <c r="G1160" s="5" t="s">
        <v>4130</v>
      </c>
      <c r="H1160" s="5"/>
      <c r="I1160" s="5"/>
    </row>
    <row r="1161" spans="1:9" x14ac:dyDescent="0.2">
      <c r="A1161" s="5">
        <v>1</v>
      </c>
      <c r="B1161" s="5" t="s">
        <v>3923</v>
      </c>
      <c r="C1161" s="5" t="s">
        <v>2804</v>
      </c>
      <c r="D1161" s="5" t="s">
        <v>2805</v>
      </c>
      <c r="E1161" s="5" t="s">
        <v>244</v>
      </c>
      <c r="F1161" s="5" t="s">
        <v>3392</v>
      </c>
      <c r="G1161" s="5" t="s">
        <v>4131</v>
      </c>
      <c r="H1161" s="5"/>
      <c r="I1161" s="5"/>
    </row>
    <row r="1162" spans="1:9" x14ac:dyDescent="0.2">
      <c r="A1162" s="5">
        <v>1</v>
      </c>
      <c r="B1162" s="5" t="s">
        <v>3923</v>
      </c>
      <c r="C1162" s="5" t="s">
        <v>2804</v>
      </c>
      <c r="D1162" s="5" t="s">
        <v>2805</v>
      </c>
      <c r="E1162" s="5" t="s">
        <v>244</v>
      </c>
      <c r="F1162" s="5" t="s">
        <v>3392</v>
      </c>
      <c r="G1162" s="5" t="s">
        <v>4132</v>
      </c>
      <c r="H1162" s="5"/>
      <c r="I1162" s="5"/>
    </row>
    <row r="1163" spans="1:9" x14ac:dyDescent="0.2">
      <c r="A1163" s="5">
        <v>1</v>
      </c>
      <c r="B1163" s="5" t="s">
        <v>3923</v>
      </c>
      <c r="C1163" s="5" t="s">
        <v>2804</v>
      </c>
      <c r="D1163" s="5" t="s">
        <v>2805</v>
      </c>
      <c r="E1163" s="5" t="s">
        <v>244</v>
      </c>
      <c r="F1163" s="5" t="s">
        <v>3392</v>
      </c>
      <c r="G1163" s="5" t="s">
        <v>4133</v>
      </c>
      <c r="H1163" s="5"/>
      <c r="I1163" s="5"/>
    </row>
    <row r="1164" spans="1:9" x14ac:dyDescent="0.2">
      <c r="A1164" s="5">
        <v>1</v>
      </c>
      <c r="B1164" s="5" t="s">
        <v>3923</v>
      </c>
      <c r="C1164" s="5" t="s">
        <v>2804</v>
      </c>
      <c r="D1164" s="5" t="s">
        <v>2805</v>
      </c>
      <c r="E1164" s="5" t="s">
        <v>244</v>
      </c>
      <c r="F1164" s="5" t="s">
        <v>3392</v>
      </c>
      <c r="G1164" s="5" t="s">
        <v>4134</v>
      </c>
      <c r="H1164" s="5"/>
      <c r="I1164" s="5"/>
    </row>
    <row r="1165" spans="1:9" x14ac:dyDescent="0.2">
      <c r="A1165" s="5">
        <v>1</v>
      </c>
      <c r="B1165" s="5" t="s">
        <v>3923</v>
      </c>
      <c r="C1165" s="5" t="s">
        <v>2804</v>
      </c>
      <c r="D1165" s="5" t="s">
        <v>2805</v>
      </c>
      <c r="E1165" s="5" t="s">
        <v>244</v>
      </c>
      <c r="F1165" s="5" t="s">
        <v>3392</v>
      </c>
      <c r="G1165" s="5" t="s">
        <v>4135</v>
      </c>
      <c r="H1165" s="5"/>
      <c r="I1165" s="5"/>
    </row>
    <row r="1166" spans="1:9" x14ac:dyDescent="0.2">
      <c r="A1166" s="5">
        <v>1</v>
      </c>
      <c r="B1166" s="5" t="s">
        <v>3923</v>
      </c>
      <c r="C1166" s="5" t="s">
        <v>2804</v>
      </c>
      <c r="D1166" s="5" t="s">
        <v>2805</v>
      </c>
      <c r="E1166" s="5" t="s">
        <v>244</v>
      </c>
      <c r="F1166" s="5" t="s">
        <v>3392</v>
      </c>
      <c r="G1166" s="5" t="s">
        <v>4136</v>
      </c>
      <c r="H1166" s="5"/>
      <c r="I1166" s="5"/>
    </row>
    <row r="1167" spans="1:9" x14ac:dyDescent="0.2">
      <c r="A1167" s="5">
        <v>1</v>
      </c>
      <c r="B1167" s="5" t="s">
        <v>3923</v>
      </c>
      <c r="C1167" s="5" t="s">
        <v>2804</v>
      </c>
      <c r="D1167" s="5" t="s">
        <v>2805</v>
      </c>
      <c r="E1167" s="5" t="s">
        <v>244</v>
      </c>
      <c r="F1167" s="5" t="s">
        <v>3392</v>
      </c>
      <c r="G1167" s="5" t="s">
        <v>4137</v>
      </c>
      <c r="H1167" s="5"/>
      <c r="I1167" s="5"/>
    </row>
    <row r="1168" spans="1:9" x14ac:dyDescent="0.2">
      <c r="A1168" s="5">
        <v>1</v>
      </c>
      <c r="B1168" s="5" t="s">
        <v>3923</v>
      </c>
      <c r="C1168" s="5" t="s">
        <v>2804</v>
      </c>
      <c r="D1168" s="5" t="s">
        <v>2805</v>
      </c>
      <c r="E1168" s="5" t="s">
        <v>244</v>
      </c>
      <c r="F1168" s="5" t="s">
        <v>3392</v>
      </c>
      <c r="G1168" s="5" t="s">
        <v>4138</v>
      </c>
      <c r="H1168" s="5"/>
      <c r="I1168" s="5"/>
    </row>
    <row r="1169" spans="1:9" x14ac:dyDescent="0.2">
      <c r="A1169" s="5">
        <v>1</v>
      </c>
      <c r="B1169" s="5" t="s">
        <v>3923</v>
      </c>
      <c r="C1169" s="5" t="s">
        <v>2804</v>
      </c>
      <c r="D1169" s="5" t="s">
        <v>2805</v>
      </c>
      <c r="E1169" s="5" t="s">
        <v>244</v>
      </c>
      <c r="F1169" s="5" t="s">
        <v>3392</v>
      </c>
      <c r="G1169" s="5" t="s">
        <v>4139</v>
      </c>
      <c r="H1169" s="5"/>
      <c r="I1169" s="5"/>
    </row>
    <row r="1170" spans="1:9" x14ac:dyDescent="0.2">
      <c r="A1170" s="5">
        <v>1</v>
      </c>
      <c r="B1170" s="5" t="s">
        <v>3923</v>
      </c>
      <c r="C1170" s="5" t="s">
        <v>2804</v>
      </c>
      <c r="D1170" s="5" t="s">
        <v>2805</v>
      </c>
      <c r="E1170" s="5" t="s">
        <v>244</v>
      </c>
      <c r="F1170" s="5" t="s">
        <v>3392</v>
      </c>
      <c r="G1170" s="5" t="s">
        <v>4140</v>
      </c>
      <c r="H1170" s="5"/>
      <c r="I1170" s="5"/>
    </row>
    <row r="1171" spans="1:9" x14ac:dyDescent="0.2">
      <c r="A1171" s="5">
        <v>1</v>
      </c>
      <c r="B1171" s="5" t="s">
        <v>3923</v>
      </c>
      <c r="C1171" s="5" t="s">
        <v>2804</v>
      </c>
      <c r="D1171" s="5" t="s">
        <v>2805</v>
      </c>
      <c r="E1171" s="5" t="s">
        <v>244</v>
      </c>
      <c r="F1171" s="5" t="s">
        <v>3392</v>
      </c>
      <c r="G1171" s="5" t="s">
        <v>4141</v>
      </c>
      <c r="H1171" s="5"/>
      <c r="I1171" s="5"/>
    </row>
    <row r="1172" spans="1:9" x14ac:dyDescent="0.2">
      <c r="A1172" s="5">
        <v>1</v>
      </c>
      <c r="B1172" s="5" t="s">
        <v>3923</v>
      </c>
      <c r="C1172" s="5" t="s">
        <v>2804</v>
      </c>
      <c r="D1172" s="5" t="s">
        <v>2805</v>
      </c>
      <c r="E1172" s="5" t="s">
        <v>244</v>
      </c>
      <c r="F1172" s="5" t="s">
        <v>3392</v>
      </c>
      <c r="G1172" s="5" t="s">
        <v>4142</v>
      </c>
      <c r="H1172" s="5"/>
      <c r="I1172" s="5"/>
    </row>
    <row r="1173" spans="1:9" x14ac:dyDescent="0.2">
      <c r="A1173" s="5">
        <v>1</v>
      </c>
      <c r="B1173" s="5" t="s">
        <v>3923</v>
      </c>
      <c r="C1173" s="5" t="s">
        <v>2804</v>
      </c>
      <c r="D1173" s="5" t="s">
        <v>2805</v>
      </c>
      <c r="E1173" s="5" t="s">
        <v>244</v>
      </c>
      <c r="F1173" s="5" t="s">
        <v>3392</v>
      </c>
      <c r="G1173" s="5" t="s">
        <v>4143</v>
      </c>
      <c r="H1173" s="5"/>
      <c r="I1173" s="5"/>
    </row>
    <row r="1174" spans="1:9" x14ac:dyDescent="0.2">
      <c r="A1174" s="5">
        <v>1</v>
      </c>
      <c r="B1174" s="5" t="s">
        <v>3923</v>
      </c>
      <c r="C1174" s="5" t="s">
        <v>2804</v>
      </c>
      <c r="D1174" s="5" t="s">
        <v>2805</v>
      </c>
      <c r="E1174" s="5" t="s">
        <v>244</v>
      </c>
      <c r="F1174" s="5" t="s">
        <v>3392</v>
      </c>
      <c r="G1174" s="5" t="s">
        <v>4144</v>
      </c>
      <c r="H1174" s="5"/>
      <c r="I1174" s="5"/>
    </row>
    <row r="1175" spans="1:9" x14ac:dyDescent="0.2">
      <c r="A1175" s="5">
        <v>1</v>
      </c>
      <c r="B1175" s="5" t="s">
        <v>3923</v>
      </c>
      <c r="C1175" s="5" t="s">
        <v>2577</v>
      </c>
      <c r="D1175" s="5" t="s">
        <v>2578</v>
      </c>
      <c r="E1175" s="5" t="s">
        <v>244</v>
      </c>
      <c r="F1175" s="5" t="s">
        <v>3401</v>
      </c>
      <c r="G1175" s="5" t="s">
        <v>4146</v>
      </c>
      <c r="H1175" s="5"/>
      <c r="I1175" s="5"/>
    </row>
    <row r="1176" spans="1:9" x14ac:dyDescent="0.2">
      <c r="A1176" s="5">
        <v>1</v>
      </c>
      <c r="B1176" s="5" t="s">
        <v>3924</v>
      </c>
      <c r="C1176" s="5" t="s">
        <v>2871</v>
      </c>
      <c r="D1176" s="5" t="s">
        <v>2872</v>
      </c>
      <c r="E1176" s="5" t="s">
        <v>219</v>
      </c>
      <c r="F1176" s="5" t="s">
        <v>3544</v>
      </c>
      <c r="G1176" s="5" t="s">
        <v>4152</v>
      </c>
      <c r="H1176" s="5"/>
      <c r="I1176" s="5"/>
    </row>
    <row r="1177" spans="1:9" x14ac:dyDescent="0.2">
      <c r="A1177" s="5">
        <v>1</v>
      </c>
      <c r="B1177" s="5" t="s">
        <v>3924</v>
      </c>
      <c r="C1177" s="5" t="s">
        <v>2871</v>
      </c>
      <c r="D1177" s="5" t="s">
        <v>2872</v>
      </c>
      <c r="E1177" s="5" t="s">
        <v>219</v>
      </c>
      <c r="F1177" s="5" t="s">
        <v>3544</v>
      </c>
      <c r="G1177" s="5" t="s">
        <v>4153</v>
      </c>
      <c r="H1177" s="5"/>
      <c r="I1177" s="5"/>
    </row>
    <row r="1178" spans="1:9" x14ac:dyDescent="0.2">
      <c r="A1178" s="5">
        <v>1</v>
      </c>
      <c r="B1178" s="5" t="s">
        <v>3924</v>
      </c>
      <c r="C1178" s="5" t="s">
        <v>2871</v>
      </c>
      <c r="D1178" s="5" t="s">
        <v>2872</v>
      </c>
      <c r="E1178" s="5" t="s">
        <v>219</v>
      </c>
      <c r="F1178" s="5" t="s">
        <v>3544</v>
      </c>
      <c r="G1178" s="5" t="s">
        <v>4154</v>
      </c>
      <c r="H1178" s="5"/>
      <c r="I1178" s="5"/>
    </row>
    <row r="1179" spans="1:9" x14ac:dyDescent="0.2">
      <c r="A1179" s="5">
        <v>1</v>
      </c>
      <c r="B1179" s="5" t="s">
        <v>3924</v>
      </c>
      <c r="C1179" s="5" t="s">
        <v>2871</v>
      </c>
      <c r="D1179" s="5" t="s">
        <v>2872</v>
      </c>
      <c r="E1179" s="5" t="s">
        <v>219</v>
      </c>
      <c r="F1179" s="5" t="s">
        <v>3544</v>
      </c>
      <c r="G1179" s="5" t="s">
        <v>4155</v>
      </c>
      <c r="H1179" s="5"/>
      <c r="I1179" s="5"/>
    </row>
    <row r="1180" spans="1:9" x14ac:dyDescent="0.2">
      <c r="A1180" s="5">
        <v>1</v>
      </c>
      <c r="B1180" s="5" t="s">
        <v>3924</v>
      </c>
      <c r="C1180" s="5" t="s">
        <v>2871</v>
      </c>
      <c r="D1180" s="5" t="s">
        <v>2872</v>
      </c>
      <c r="E1180" s="5" t="s">
        <v>219</v>
      </c>
      <c r="F1180" s="5" t="s">
        <v>3544</v>
      </c>
      <c r="G1180" s="5" t="s">
        <v>4156</v>
      </c>
      <c r="H1180" s="5"/>
      <c r="I1180" s="5"/>
    </row>
    <row r="1181" spans="1:9" x14ac:dyDescent="0.2">
      <c r="A1181" s="5">
        <v>1</v>
      </c>
      <c r="B1181" s="5" t="s">
        <v>3924</v>
      </c>
      <c r="C1181" s="5" t="s">
        <v>2871</v>
      </c>
      <c r="D1181" s="5" t="s">
        <v>2872</v>
      </c>
      <c r="E1181" s="5" t="s">
        <v>219</v>
      </c>
      <c r="F1181" s="5" t="s">
        <v>3544</v>
      </c>
      <c r="G1181" s="5" t="s">
        <v>4157</v>
      </c>
      <c r="H1181" s="5"/>
      <c r="I1181" s="5"/>
    </row>
    <row r="1182" spans="1:9" x14ac:dyDescent="0.2">
      <c r="A1182" s="5">
        <v>1</v>
      </c>
      <c r="B1182" s="5" t="s">
        <v>3924</v>
      </c>
      <c r="C1182" s="5" t="s">
        <v>2871</v>
      </c>
      <c r="D1182" s="5" t="s">
        <v>2872</v>
      </c>
      <c r="E1182" s="5" t="s">
        <v>219</v>
      </c>
      <c r="F1182" s="5" t="s">
        <v>3907</v>
      </c>
      <c r="G1182" s="5" t="s">
        <v>4221</v>
      </c>
      <c r="H1182" s="5"/>
      <c r="I1182" s="5"/>
    </row>
    <row r="1183" spans="1:9" x14ac:dyDescent="0.2">
      <c r="A1183" s="5">
        <v>1</v>
      </c>
      <c r="B1183" s="5" t="s">
        <v>3643</v>
      </c>
      <c r="C1183" s="5" t="s">
        <v>362</v>
      </c>
      <c r="D1183" s="5" t="s">
        <v>363</v>
      </c>
      <c r="E1183" s="5" t="s">
        <v>219</v>
      </c>
      <c r="F1183" s="5" t="s">
        <v>3479</v>
      </c>
      <c r="G1183" s="5" t="s">
        <v>4167</v>
      </c>
      <c r="H1183" s="5"/>
      <c r="I1183" s="5"/>
    </row>
    <row r="1184" spans="1:9" x14ac:dyDescent="0.2">
      <c r="A1184" s="5">
        <v>1</v>
      </c>
      <c r="B1184" s="5" t="s">
        <v>3643</v>
      </c>
      <c r="C1184" s="5" t="s">
        <v>362</v>
      </c>
      <c r="D1184" s="5" t="s">
        <v>363</v>
      </c>
      <c r="E1184" s="5" t="s">
        <v>219</v>
      </c>
      <c r="F1184" s="5" t="s">
        <v>3478</v>
      </c>
      <c r="G1184" s="5" t="s">
        <v>4169</v>
      </c>
      <c r="H1184" s="5"/>
      <c r="I1184" s="5"/>
    </row>
    <row r="1185" spans="1:9" x14ac:dyDescent="0.2">
      <c r="A1185" s="5">
        <v>1</v>
      </c>
      <c r="B1185" s="5" t="s">
        <v>3643</v>
      </c>
      <c r="C1185" s="5" t="s">
        <v>362</v>
      </c>
      <c r="D1185" s="5" t="s">
        <v>363</v>
      </c>
      <c r="E1185" s="5" t="s">
        <v>219</v>
      </c>
      <c r="F1185" s="5" t="s">
        <v>3480</v>
      </c>
      <c r="G1185" s="5" t="s">
        <v>4171</v>
      </c>
      <c r="H1185" s="5"/>
      <c r="I1185" s="5"/>
    </row>
    <row r="1186" spans="1:9" x14ac:dyDescent="0.2">
      <c r="A1186" s="5">
        <v>1</v>
      </c>
      <c r="B1186" s="5" t="s">
        <v>3643</v>
      </c>
      <c r="C1186" s="5" t="s">
        <v>362</v>
      </c>
      <c r="D1186" s="5" t="s">
        <v>363</v>
      </c>
      <c r="E1186" s="5" t="s">
        <v>219</v>
      </c>
      <c r="F1186" s="5" t="s">
        <v>3481</v>
      </c>
      <c r="G1186" s="5" t="s">
        <v>4171</v>
      </c>
      <c r="H1186" s="5"/>
      <c r="I1186" s="5"/>
    </row>
    <row r="1187" spans="1:9" x14ac:dyDescent="0.2">
      <c r="A1187" s="5">
        <v>1</v>
      </c>
      <c r="B1187" s="5" t="s">
        <v>3643</v>
      </c>
      <c r="C1187" s="5" t="s">
        <v>362</v>
      </c>
      <c r="D1187" s="5" t="s">
        <v>363</v>
      </c>
      <c r="E1187" s="5" t="s">
        <v>219</v>
      </c>
      <c r="F1187" s="5" t="s">
        <v>3482</v>
      </c>
      <c r="G1187" s="5" t="s">
        <v>4173</v>
      </c>
      <c r="H1187" s="5"/>
      <c r="I1187" s="5"/>
    </row>
    <row r="1188" spans="1:9" x14ac:dyDescent="0.2">
      <c r="A1188" s="5">
        <v>1</v>
      </c>
      <c r="B1188" s="5" t="s">
        <v>3924</v>
      </c>
      <c r="C1188" s="5" t="s">
        <v>2871</v>
      </c>
      <c r="D1188" s="5" t="s">
        <v>2872</v>
      </c>
      <c r="E1188" s="5" t="s">
        <v>219</v>
      </c>
      <c r="F1188" s="5" t="s">
        <v>3543</v>
      </c>
      <c r="G1188" s="5" t="s">
        <v>4175</v>
      </c>
      <c r="H1188" s="5"/>
      <c r="I1188" s="5"/>
    </row>
    <row r="1189" spans="1:9" x14ac:dyDescent="0.2">
      <c r="A1189" s="5">
        <v>1</v>
      </c>
      <c r="B1189" s="5" t="s">
        <v>3643</v>
      </c>
      <c r="C1189" s="5" t="s">
        <v>362</v>
      </c>
      <c r="D1189" s="5" t="s">
        <v>363</v>
      </c>
      <c r="E1189" s="5" t="s">
        <v>219</v>
      </c>
      <c r="F1189" s="5" t="s">
        <v>3483</v>
      </c>
      <c r="G1189" s="5" t="s">
        <v>4173</v>
      </c>
      <c r="H1189" s="5"/>
      <c r="I1189" s="5"/>
    </row>
    <row r="1190" spans="1:9" x14ac:dyDescent="0.2">
      <c r="A1190" s="5">
        <v>1</v>
      </c>
      <c r="B1190" s="5" t="s">
        <v>3643</v>
      </c>
      <c r="C1190" s="5" t="s">
        <v>362</v>
      </c>
      <c r="D1190" s="5" t="s">
        <v>363</v>
      </c>
      <c r="E1190" s="5" t="s">
        <v>219</v>
      </c>
      <c r="F1190" s="5" t="s">
        <v>3485</v>
      </c>
      <c r="G1190" s="5" t="s">
        <v>4177</v>
      </c>
      <c r="H1190" s="5"/>
      <c r="I1190" s="5"/>
    </row>
    <row r="1191" spans="1:9" x14ac:dyDescent="0.2">
      <c r="A1191" s="5">
        <v>1</v>
      </c>
      <c r="B1191" s="5" t="s">
        <v>3924</v>
      </c>
      <c r="C1191" s="5" t="s">
        <v>2871</v>
      </c>
      <c r="D1191" s="5" t="s">
        <v>2872</v>
      </c>
      <c r="E1191" s="5" t="s">
        <v>219</v>
      </c>
      <c r="F1191" s="5" t="s">
        <v>3850</v>
      </c>
      <c r="G1191" s="5" t="s">
        <v>4174</v>
      </c>
      <c r="H1191" s="5"/>
      <c r="I1191" s="5"/>
    </row>
    <row r="1192" spans="1:9" x14ac:dyDescent="0.2">
      <c r="A1192" s="5">
        <v>1</v>
      </c>
      <c r="B1192" s="5" t="s">
        <v>3924</v>
      </c>
      <c r="C1192" s="5" t="s">
        <v>2871</v>
      </c>
      <c r="D1192" s="5" t="s">
        <v>2872</v>
      </c>
      <c r="E1192" s="5" t="s">
        <v>219</v>
      </c>
      <c r="F1192" s="5" t="s">
        <v>3850</v>
      </c>
      <c r="G1192" s="5" t="s">
        <v>4175</v>
      </c>
      <c r="H1192" s="5"/>
      <c r="I1192" s="5"/>
    </row>
    <row r="1193" spans="1:9" x14ac:dyDescent="0.2">
      <c r="A1193" s="5">
        <v>1</v>
      </c>
      <c r="B1193" s="5" t="s">
        <v>3924</v>
      </c>
      <c r="C1193" s="5" t="s">
        <v>2871</v>
      </c>
      <c r="D1193" s="5" t="s">
        <v>2872</v>
      </c>
      <c r="E1193" s="5" t="s">
        <v>219</v>
      </c>
      <c r="F1193" s="5" t="s">
        <v>3851</v>
      </c>
      <c r="G1193" s="5" t="s">
        <v>4218</v>
      </c>
      <c r="H1193" s="5"/>
      <c r="I1193" s="5"/>
    </row>
    <row r="1194" spans="1:9" x14ac:dyDescent="0.2">
      <c r="A1194" s="5">
        <v>1</v>
      </c>
      <c r="B1194" s="5" t="s">
        <v>3924</v>
      </c>
      <c r="C1194" s="5" t="s">
        <v>2871</v>
      </c>
      <c r="D1194" s="5" t="s">
        <v>2872</v>
      </c>
      <c r="E1194" s="5" t="s">
        <v>219</v>
      </c>
      <c r="F1194" s="5" t="s">
        <v>3908</v>
      </c>
      <c r="G1194" s="5" t="s">
        <v>4222</v>
      </c>
      <c r="H1194" s="5"/>
      <c r="I1194" s="5"/>
    </row>
    <row r="1195" spans="1:9" x14ac:dyDescent="0.2">
      <c r="A1195" s="5">
        <v>1</v>
      </c>
      <c r="B1195" s="5" t="s">
        <v>3924</v>
      </c>
      <c r="C1195" s="5" t="s">
        <v>2871</v>
      </c>
      <c r="D1195" s="5" t="s">
        <v>2872</v>
      </c>
      <c r="E1195" s="5" t="s">
        <v>219</v>
      </c>
      <c r="F1195" s="5" t="s">
        <v>3908</v>
      </c>
      <c r="G1195" s="5" t="s">
        <v>4223</v>
      </c>
      <c r="H1195" s="5"/>
      <c r="I1195" s="5"/>
    </row>
    <row r="1196" spans="1:9" x14ac:dyDescent="0.2">
      <c r="A1196" s="5">
        <v>1</v>
      </c>
      <c r="B1196" s="5" t="s">
        <v>3643</v>
      </c>
      <c r="C1196" s="5" t="s">
        <v>362</v>
      </c>
      <c r="D1196" s="5" t="s">
        <v>363</v>
      </c>
      <c r="E1196" s="5" t="s">
        <v>219</v>
      </c>
      <c r="F1196" s="5" t="s">
        <v>3122</v>
      </c>
      <c r="G1196" s="5" t="s">
        <v>4182</v>
      </c>
      <c r="H1196" s="5"/>
      <c r="I1196" s="5"/>
    </row>
    <row r="1197" spans="1:9" x14ac:dyDescent="0.2">
      <c r="A1197" s="5">
        <v>1</v>
      </c>
      <c r="B1197" s="5" t="s">
        <v>3643</v>
      </c>
      <c r="C1197" s="5" t="s">
        <v>362</v>
      </c>
      <c r="D1197" s="5" t="s">
        <v>363</v>
      </c>
      <c r="E1197" s="5" t="s">
        <v>219</v>
      </c>
      <c r="F1197" s="5" t="s">
        <v>3122</v>
      </c>
      <c r="G1197" s="5" t="s">
        <v>4183</v>
      </c>
      <c r="H1197" s="5"/>
      <c r="I1197" s="5"/>
    </row>
    <row r="1198" spans="1:9" x14ac:dyDescent="0.2">
      <c r="A1198" s="5">
        <v>1</v>
      </c>
      <c r="B1198" s="5" t="s">
        <v>3643</v>
      </c>
      <c r="C1198" s="5" t="s">
        <v>362</v>
      </c>
      <c r="D1198" s="5" t="s">
        <v>363</v>
      </c>
      <c r="E1198" s="5" t="s">
        <v>219</v>
      </c>
      <c r="F1198" s="5" t="s">
        <v>3267</v>
      </c>
      <c r="G1198" s="5" t="s">
        <v>4160</v>
      </c>
      <c r="H1198" s="5"/>
      <c r="I1198" s="5"/>
    </row>
    <row r="1199" spans="1:9" x14ac:dyDescent="0.2">
      <c r="A1199" s="5">
        <v>1</v>
      </c>
      <c r="B1199" s="5" t="s">
        <v>3643</v>
      </c>
      <c r="C1199" s="5" t="s">
        <v>2081</v>
      </c>
      <c r="D1199" s="5" t="s">
        <v>2082</v>
      </c>
      <c r="E1199" s="5" t="s">
        <v>244</v>
      </c>
      <c r="F1199" s="5" t="s">
        <v>3835</v>
      </c>
      <c r="G1199" s="5"/>
      <c r="H1199" s="5"/>
      <c r="I1199" s="5"/>
    </row>
    <row r="1200" spans="1:9" x14ac:dyDescent="0.2">
      <c r="A1200" s="5">
        <v>1</v>
      </c>
      <c r="B1200" s="5" t="s">
        <v>3903</v>
      </c>
      <c r="C1200" s="5" t="s">
        <v>2367</v>
      </c>
      <c r="D1200" s="5" t="s">
        <v>2368</v>
      </c>
      <c r="E1200" s="5" t="s">
        <v>244</v>
      </c>
      <c r="F1200" s="5" t="s">
        <v>3801</v>
      </c>
      <c r="G1200" s="5" t="s">
        <v>3836</v>
      </c>
      <c r="H1200" s="5"/>
      <c r="I1200" s="5"/>
    </row>
    <row r="1201" spans="1:9" x14ac:dyDescent="0.2">
      <c r="A1201" s="5">
        <v>1</v>
      </c>
      <c r="B1201" s="5" t="s">
        <v>3903</v>
      </c>
      <c r="C1201" s="5" t="s">
        <v>2400</v>
      </c>
      <c r="D1201" s="5" t="s">
        <v>2401</v>
      </c>
      <c r="E1201" s="5" t="s">
        <v>244</v>
      </c>
      <c r="F1201" s="5" t="s">
        <v>3801</v>
      </c>
      <c r="G1201" s="5" t="s">
        <v>3839</v>
      </c>
      <c r="H1201" s="5"/>
      <c r="I1201" s="5"/>
    </row>
    <row r="1202" spans="1:9" x14ac:dyDescent="0.2">
      <c r="A1202" s="5">
        <v>1</v>
      </c>
      <c r="B1202" s="5" t="s">
        <v>3903</v>
      </c>
      <c r="C1202" s="5" t="s">
        <v>2400</v>
      </c>
      <c r="D1202" s="5" t="s">
        <v>2401</v>
      </c>
      <c r="E1202" s="5" t="s">
        <v>244</v>
      </c>
      <c r="F1202" s="5" t="s">
        <v>3801</v>
      </c>
      <c r="G1202" s="5" t="s">
        <v>3840</v>
      </c>
      <c r="H1202" s="5"/>
      <c r="I1202" s="5"/>
    </row>
    <row r="1203" spans="1:9" x14ac:dyDescent="0.2">
      <c r="A1203" s="5">
        <v>1</v>
      </c>
      <c r="B1203" s="5" t="s">
        <v>3903</v>
      </c>
      <c r="C1203" s="5" t="s">
        <v>2804</v>
      </c>
      <c r="D1203" s="5" t="s">
        <v>2805</v>
      </c>
      <c r="E1203" s="5" t="s">
        <v>244</v>
      </c>
      <c r="F1203" s="5" t="s">
        <v>3801</v>
      </c>
      <c r="G1203" s="5" t="s">
        <v>3849</v>
      </c>
      <c r="H1203" s="5"/>
      <c r="I1203" s="5"/>
    </row>
    <row r="1204" spans="1:9" x14ac:dyDescent="0.2">
      <c r="A1204" s="5">
        <v>1</v>
      </c>
      <c r="B1204" s="5" t="s">
        <v>3903</v>
      </c>
      <c r="C1204" s="5" t="s">
        <v>2706</v>
      </c>
      <c r="D1204" s="5" t="s">
        <v>2707</v>
      </c>
      <c r="E1204" s="5" t="s">
        <v>244</v>
      </c>
      <c r="F1204" s="5" t="s">
        <v>3194</v>
      </c>
      <c r="G1204" s="5" t="s">
        <v>3889</v>
      </c>
      <c r="H1204" s="5"/>
      <c r="I1204" s="5"/>
    </row>
    <row r="1205" spans="1:9" x14ac:dyDescent="0.2">
      <c r="A1205" s="5">
        <v>1</v>
      </c>
      <c r="B1205" s="5" t="s">
        <v>4224</v>
      </c>
      <c r="C1205" s="5" t="s">
        <v>2312</v>
      </c>
      <c r="D1205" s="5" t="s">
        <v>2313</v>
      </c>
      <c r="E1205" s="5" t="s">
        <v>1505</v>
      </c>
      <c r="F1205" s="5" t="s">
        <v>3906</v>
      </c>
      <c r="G1205" s="5"/>
      <c r="H1205" s="5"/>
      <c r="I1205" s="5"/>
    </row>
    <row r="1206" spans="1:9" x14ac:dyDescent="0.2">
      <c r="A1206" s="5">
        <v>1</v>
      </c>
      <c r="B1206" s="5" t="s">
        <v>4225</v>
      </c>
      <c r="C1206" s="5" t="s">
        <v>2312</v>
      </c>
      <c r="D1206" s="5" t="s">
        <v>2313</v>
      </c>
      <c r="E1206" s="5" t="s">
        <v>1505</v>
      </c>
      <c r="F1206" s="5" t="s">
        <v>3513</v>
      </c>
      <c r="G1206" s="5" t="s">
        <v>3512</v>
      </c>
      <c r="H1206" s="5"/>
      <c r="I1206" s="5"/>
    </row>
    <row r="1207" spans="1:9" x14ac:dyDescent="0.2">
      <c r="A1207" s="5">
        <v>1</v>
      </c>
      <c r="B1207" s="5" t="s">
        <v>4226</v>
      </c>
      <c r="C1207" s="5" t="s">
        <v>2860</v>
      </c>
      <c r="D1207" s="5" t="s">
        <v>2861</v>
      </c>
      <c r="E1207" s="5" t="s">
        <v>1968</v>
      </c>
      <c r="F1207" s="5" t="s">
        <v>3854</v>
      </c>
      <c r="G1207" s="5"/>
      <c r="H1207" s="5"/>
      <c r="I1207" s="5"/>
    </row>
    <row r="1208" spans="1:9" x14ac:dyDescent="0.2">
      <c r="A1208" s="5">
        <v>1</v>
      </c>
      <c r="B1208" s="5" t="s">
        <v>4226</v>
      </c>
      <c r="C1208" s="5" t="s">
        <v>2860</v>
      </c>
      <c r="D1208" s="5" t="s">
        <v>2861</v>
      </c>
      <c r="E1208" s="5" t="s">
        <v>1968</v>
      </c>
      <c r="F1208" s="5" t="s">
        <v>3322</v>
      </c>
      <c r="G1208" s="5"/>
      <c r="H1208" s="5"/>
      <c r="I1208" s="5"/>
    </row>
    <row r="1209" spans="1:9" x14ac:dyDescent="0.2">
      <c r="A1209" s="5">
        <v>1</v>
      </c>
      <c r="B1209" s="5" t="s">
        <v>4259</v>
      </c>
      <c r="C1209" s="5" t="s">
        <v>2265</v>
      </c>
      <c r="D1209" s="5" t="s">
        <v>2266</v>
      </c>
      <c r="E1209" s="5" t="s">
        <v>244</v>
      </c>
      <c r="F1209" s="5" t="s">
        <v>3507</v>
      </c>
      <c r="G1209" s="5" t="s">
        <v>4260</v>
      </c>
      <c r="H1209" s="5"/>
      <c r="I1209" s="5"/>
    </row>
    <row r="1210" spans="1:9" x14ac:dyDescent="0.2">
      <c r="A1210" s="5">
        <v>1</v>
      </c>
      <c r="B1210" s="5" t="s">
        <v>4259</v>
      </c>
      <c r="C1210" s="5" t="s">
        <v>3081</v>
      </c>
      <c r="D1210" s="5" t="s">
        <v>3082</v>
      </c>
      <c r="E1210" s="5" t="s">
        <v>244</v>
      </c>
      <c r="F1210" s="5" t="s">
        <v>3114</v>
      </c>
      <c r="G1210" s="5"/>
      <c r="H1210" s="5" t="s">
        <v>3237</v>
      </c>
      <c r="I1210" s="5"/>
    </row>
    <row r="1211" spans="1:9" x14ac:dyDescent="0.2">
      <c r="A1211" s="5">
        <v>1</v>
      </c>
      <c r="B1211" s="5" t="s">
        <v>4259</v>
      </c>
      <c r="C1211" s="5" t="s">
        <v>3081</v>
      </c>
      <c r="D1211" s="5" t="s">
        <v>3082</v>
      </c>
      <c r="E1211" s="5" t="s">
        <v>244</v>
      </c>
      <c r="F1211" s="5" t="s">
        <v>3127</v>
      </c>
      <c r="G1211" s="5"/>
      <c r="H1211" s="5" t="s">
        <v>3244</v>
      </c>
      <c r="I1211" s="5"/>
    </row>
    <row r="1212" spans="1:9" x14ac:dyDescent="0.2">
      <c r="A1212" s="5">
        <v>1</v>
      </c>
      <c r="B1212" s="5" t="s">
        <v>4259</v>
      </c>
      <c r="C1212" s="5" t="s">
        <v>3081</v>
      </c>
      <c r="D1212" s="5" t="s">
        <v>3082</v>
      </c>
      <c r="E1212" s="5" t="s">
        <v>244</v>
      </c>
      <c r="F1212" s="5" t="s">
        <v>3115</v>
      </c>
      <c r="G1212" s="5"/>
      <c r="H1212" s="5" t="s">
        <v>3238</v>
      </c>
      <c r="I1212" s="5"/>
    </row>
    <row r="1213" spans="1:9" x14ac:dyDescent="0.2">
      <c r="A1213" s="5">
        <v>1</v>
      </c>
      <c r="B1213" s="5" t="s">
        <v>4259</v>
      </c>
      <c r="C1213" s="5" t="s">
        <v>3081</v>
      </c>
      <c r="D1213" s="5" t="s">
        <v>3082</v>
      </c>
      <c r="E1213" s="5" t="s">
        <v>244</v>
      </c>
      <c r="F1213" s="5" t="s">
        <v>3201</v>
      </c>
      <c r="G1213" s="5"/>
      <c r="H1213" s="5" t="s">
        <v>3327</v>
      </c>
      <c r="I1213" s="5"/>
    </row>
    <row r="1214" spans="1:9" x14ac:dyDescent="0.2">
      <c r="A1214" s="5">
        <v>1</v>
      </c>
      <c r="B1214" s="5" t="s">
        <v>4259</v>
      </c>
      <c r="C1214" s="5" t="s">
        <v>3081</v>
      </c>
      <c r="D1214" s="5" t="s">
        <v>3082</v>
      </c>
      <c r="E1214" s="5" t="s">
        <v>244</v>
      </c>
      <c r="F1214" s="5" t="s">
        <v>3195</v>
      </c>
      <c r="G1214" s="5"/>
      <c r="H1214" s="5" t="s">
        <v>3289</v>
      </c>
      <c r="I1214" s="5"/>
    </row>
    <row r="1215" spans="1:9" x14ac:dyDescent="0.2">
      <c r="A1215" s="5">
        <v>1</v>
      </c>
      <c r="B1215" s="5" t="s">
        <v>4259</v>
      </c>
      <c r="C1215" s="5" t="s">
        <v>3081</v>
      </c>
      <c r="D1215" s="5" t="s">
        <v>3082</v>
      </c>
      <c r="E1215" s="5" t="s">
        <v>244</v>
      </c>
      <c r="F1215" s="5" t="s">
        <v>3109</v>
      </c>
      <c r="G1215" s="5"/>
      <c r="H1215" s="5" t="s">
        <v>3236</v>
      </c>
      <c r="I1215" s="5"/>
    </row>
    <row r="1216" spans="1:9" x14ac:dyDescent="0.2">
      <c r="A1216" s="5">
        <v>1</v>
      </c>
      <c r="B1216" s="5" t="s">
        <v>4259</v>
      </c>
      <c r="C1216" s="5" t="s">
        <v>3081</v>
      </c>
      <c r="D1216" s="5" t="s">
        <v>3082</v>
      </c>
      <c r="E1216" s="5" t="s">
        <v>244</v>
      </c>
      <c r="F1216" s="5" t="s">
        <v>3090</v>
      </c>
      <c r="G1216" s="5"/>
      <c r="H1216" s="5" t="s">
        <v>3225</v>
      </c>
      <c r="I1216" s="5"/>
    </row>
    <row r="1217" spans="1:9" x14ac:dyDescent="0.2">
      <c r="A1217" s="5">
        <v>1</v>
      </c>
      <c r="B1217" s="5" t="s">
        <v>4259</v>
      </c>
      <c r="C1217" s="5" t="s">
        <v>3081</v>
      </c>
      <c r="D1217" s="5" t="s">
        <v>3082</v>
      </c>
      <c r="E1217" s="5" t="s">
        <v>244</v>
      </c>
      <c r="F1217" s="5" t="s">
        <v>3088</v>
      </c>
      <c r="G1217" s="5"/>
      <c r="H1217" s="5" t="s">
        <v>3223</v>
      </c>
      <c r="I1217" s="5"/>
    </row>
    <row r="1218" spans="1:9" x14ac:dyDescent="0.2">
      <c r="A1218" s="5">
        <v>1</v>
      </c>
      <c r="B1218" s="5" t="s">
        <v>4259</v>
      </c>
      <c r="C1218" s="5" t="s">
        <v>3081</v>
      </c>
      <c r="D1218" s="5" t="s">
        <v>3082</v>
      </c>
      <c r="E1218" s="5" t="s">
        <v>244</v>
      </c>
      <c r="F1218" s="5" t="s">
        <v>3118</v>
      </c>
      <c r="G1218" s="5"/>
      <c r="H1218" s="5" t="s">
        <v>3239</v>
      </c>
      <c r="I1218" s="5"/>
    </row>
    <row r="1219" spans="1:9" x14ac:dyDescent="0.2">
      <c r="A1219" s="5">
        <v>1</v>
      </c>
      <c r="B1219" s="5" t="s">
        <v>4259</v>
      </c>
      <c r="C1219" s="5" t="s">
        <v>3081</v>
      </c>
      <c r="D1219" s="5" t="s">
        <v>3082</v>
      </c>
      <c r="E1219" s="5" t="s">
        <v>244</v>
      </c>
      <c r="F1219" s="5" t="s">
        <v>3121</v>
      </c>
      <c r="G1219" s="5"/>
      <c r="H1219" s="5" t="s">
        <v>3240</v>
      </c>
      <c r="I1219" s="5"/>
    </row>
    <row r="1220" spans="1:9" x14ac:dyDescent="0.2">
      <c r="A1220" s="5">
        <v>1</v>
      </c>
      <c r="B1220" s="5" t="s">
        <v>4259</v>
      </c>
      <c r="C1220" s="5" t="s">
        <v>3081</v>
      </c>
      <c r="D1220" s="5" t="s">
        <v>3082</v>
      </c>
      <c r="E1220" s="5" t="s">
        <v>244</v>
      </c>
      <c r="F1220" s="5" t="s">
        <v>3228</v>
      </c>
      <c r="G1220" s="5"/>
      <c r="H1220" s="5" t="s">
        <v>3229</v>
      </c>
      <c r="I1220" s="5"/>
    </row>
    <row r="1221" spans="1:9" x14ac:dyDescent="0.2">
      <c r="A1221" s="5">
        <v>1</v>
      </c>
      <c r="B1221" s="5" t="s">
        <v>4259</v>
      </c>
      <c r="C1221" s="5" t="s">
        <v>3081</v>
      </c>
      <c r="D1221" s="5" t="s">
        <v>3082</v>
      </c>
      <c r="E1221" s="5" t="s">
        <v>244</v>
      </c>
      <c r="F1221" s="5" t="s">
        <v>3128</v>
      </c>
      <c r="G1221" s="5"/>
      <c r="H1221" s="5" t="s">
        <v>3226</v>
      </c>
      <c r="I1221" s="5"/>
    </row>
    <row r="1222" spans="1:9" x14ac:dyDescent="0.2">
      <c r="A1222" s="5">
        <v>1</v>
      </c>
      <c r="B1222" s="5" t="s">
        <v>4259</v>
      </c>
      <c r="C1222" s="5" t="s">
        <v>3081</v>
      </c>
      <c r="D1222" s="5" t="s">
        <v>3082</v>
      </c>
      <c r="E1222" s="5" t="s">
        <v>244</v>
      </c>
      <c r="F1222" s="5" t="s">
        <v>3117</v>
      </c>
      <c r="G1222" s="5"/>
      <c r="H1222" s="5" t="s">
        <v>3230</v>
      </c>
      <c r="I1222" s="5"/>
    </row>
    <row r="1223" spans="1:9" x14ac:dyDescent="0.2">
      <c r="A1223" s="5">
        <v>1</v>
      </c>
      <c r="B1223" s="5" t="s">
        <v>4259</v>
      </c>
      <c r="C1223" s="5" t="s">
        <v>3081</v>
      </c>
      <c r="D1223" s="5" t="s">
        <v>3082</v>
      </c>
      <c r="E1223" s="5" t="s">
        <v>244</v>
      </c>
      <c r="F1223" s="5" t="s">
        <v>3116</v>
      </c>
      <c r="G1223" s="5"/>
      <c r="H1223" s="5" t="s">
        <v>3227</v>
      </c>
      <c r="I1223" s="5"/>
    </row>
    <row r="1224" spans="1:9" x14ac:dyDescent="0.2">
      <c r="A1224" s="5">
        <v>1</v>
      </c>
      <c r="B1224" s="5" t="s">
        <v>4259</v>
      </c>
      <c r="C1224" s="5" t="s">
        <v>3081</v>
      </c>
      <c r="D1224" s="5" t="s">
        <v>3082</v>
      </c>
      <c r="E1224" s="5" t="s">
        <v>244</v>
      </c>
      <c r="F1224" s="5" t="s">
        <v>3243</v>
      </c>
      <c r="G1224" s="5"/>
      <c r="H1224" s="5" t="s">
        <v>3231</v>
      </c>
      <c r="I1224" s="5"/>
    </row>
    <row r="1225" spans="1:9" x14ac:dyDescent="0.2">
      <c r="A1225" s="5">
        <v>1</v>
      </c>
      <c r="B1225" s="5" t="s">
        <v>4259</v>
      </c>
      <c r="C1225" s="5" t="s">
        <v>3081</v>
      </c>
      <c r="D1225" s="5" t="s">
        <v>3082</v>
      </c>
      <c r="E1225" s="5" t="s">
        <v>244</v>
      </c>
      <c r="F1225" s="5" t="s">
        <v>3321</v>
      </c>
      <c r="G1225" s="5"/>
      <c r="H1225" s="5"/>
      <c r="I1225" s="5"/>
    </row>
    <row r="1226" spans="1:9" x14ac:dyDescent="0.2">
      <c r="A1226" s="5">
        <v>1</v>
      </c>
      <c r="B1226" s="5" t="s">
        <v>4259</v>
      </c>
      <c r="C1226" s="5" t="s">
        <v>3081</v>
      </c>
      <c r="D1226" s="5" t="s">
        <v>3082</v>
      </c>
      <c r="E1226" s="5" t="s">
        <v>244</v>
      </c>
      <c r="F1226" s="5" t="s">
        <v>3329</v>
      </c>
      <c r="G1226" s="5"/>
      <c r="H1226" s="5"/>
      <c r="I1226" s="5"/>
    </row>
    <row r="1227" spans="1:9" x14ac:dyDescent="0.2">
      <c r="A1227" s="5">
        <v>1</v>
      </c>
      <c r="B1227" s="5" t="s">
        <v>4259</v>
      </c>
      <c r="C1227" s="5" t="s">
        <v>3081</v>
      </c>
      <c r="D1227" s="5" t="s">
        <v>3082</v>
      </c>
      <c r="E1227" s="5" t="s">
        <v>244</v>
      </c>
      <c r="F1227" s="5" t="s">
        <v>3328</v>
      </c>
      <c r="G1227" s="5"/>
      <c r="H1227" s="5"/>
      <c r="I1227" s="5"/>
    </row>
    <row r="1228" spans="1:9" x14ac:dyDescent="0.2">
      <c r="A1228" s="5">
        <v>1</v>
      </c>
      <c r="B1228" s="5" t="s">
        <v>4259</v>
      </c>
      <c r="C1228" s="5" t="s">
        <v>3081</v>
      </c>
      <c r="D1228" s="5" t="s">
        <v>3082</v>
      </c>
      <c r="E1228" s="5" t="s">
        <v>244</v>
      </c>
      <c r="F1228" s="5" t="s">
        <v>3125</v>
      </c>
      <c r="G1228" s="5"/>
      <c r="H1228" s="5"/>
      <c r="I1228" s="5"/>
    </row>
    <row r="1229" spans="1:9" x14ac:dyDescent="0.2">
      <c r="A1229" s="5">
        <v>1</v>
      </c>
      <c r="B1229" s="5" t="s">
        <v>4259</v>
      </c>
      <c r="C1229" s="5" t="s">
        <v>3081</v>
      </c>
      <c r="D1229" s="5" t="s">
        <v>3082</v>
      </c>
      <c r="E1229" s="5" t="s">
        <v>244</v>
      </c>
      <c r="F1229" s="5" t="s">
        <v>3326</v>
      </c>
      <c r="G1229" s="5"/>
      <c r="H1229" s="5"/>
      <c r="I1229" s="5"/>
    </row>
    <row r="1230" spans="1:9" x14ac:dyDescent="0.2">
      <c r="A1230" s="5">
        <v>1</v>
      </c>
      <c r="B1230" s="5" t="s">
        <v>4259</v>
      </c>
      <c r="C1230" s="5" t="s">
        <v>3081</v>
      </c>
      <c r="D1230" s="5" t="s">
        <v>3082</v>
      </c>
      <c r="E1230" s="5" t="s">
        <v>244</v>
      </c>
      <c r="F1230" s="5" t="s">
        <v>3352</v>
      </c>
      <c r="G1230" s="5"/>
      <c r="H1230" s="5"/>
      <c r="I1230" s="5"/>
    </row>
    <row r="1231" spans="1:9" x14ac:dyDescent="0.2">
      <c r="A1231" s="5">
        <v>1</v>
      </c>
      <c r="B1231" s="5" t="s">
        <v>3903</v>
      </c>
      <c r="C1231" s="5" t="s">
        <v>2706</v>
      </c>
      <c r="D1231" s="5" t="s">
        <v>2707</v>
      </c>
      <c r="E1231" s="5" t="s">
        <v>244</v>
      </c>
      <c r="F1231" s="5" t="s">
        <v>3570</v>
      </c>
      <c r="G1231" s="5" t="s">
        <v>3889</v>
      </c>
      <c r="H1231" s="5"/>
      <c r="I1231" s="5"/>
    </row>
    <row r="1232" spans="1:9" x14ac:dyDescent="0.2">
      <c r="A1232" s="5">
        <v>1</v>
      </c>
      <c r="B1232" s="5" t="s">
        <v>4259</v>
      </c>
      <c r="C1232" s="5" t="s">
        <v>3081</v>
      </c>
      <c r="D1232" s="5" t="s">
        <v>3082</v>
      </c>
      <c r="E1232" s="5" t="s">
        <v>244</v>
      </c>
      <c r="F1232" s="5" t="s">
        <v>2984</v>
      </c>
      <c r="G1232" s="5" t="s">
        <v>4261</v>
      </c>
      <c r="H1232" s="5"/>
      <c r="I1232" s="5"/>
    </row>
    <row r="1233" spans="1:9" x14ac:dyDescent="0.2">
      <c r="A1233" s="5">
        <v>1</v>
      </c>
      <c r="B1233" s="5" t="s">
        <v>4259</v>
      </c>
      <c r="C1233" s="5" t="s">
        <v>3081</v>
      </c>
      <c r="D1233" s="5" t="s">
        <v>3082</v>
      </c>
      <c r="E1233" s="5" t="s">
        <v>244</v>
      </c>
      <c r="F1233" s="5" t="s">
        <v>2984</v>
      </c>
      <c r="G1233" s="5" t="s">
        <v>4262</v>
      </c>
      <c r="H1233" s="5"/>
      <c r="I1233" s="5"/>
    </row>
    <row r="1234" spans="1:9" x14ac:dyDescent="0.2">
      <c r="A1234" s="5">
        <v>1</v>
      </c>
      <c r="B1234" s="5" t="s">
        <v>4263</v>
      </c>
      <c r="C1234" s="5" t="s">
        <v>2265</v>
      </c>
      <c r="D1234" s="5" t="s">
        <v>2266</v>
      </c>
      <c r="E1234" s="5" t="s">
        <v>244</v>
      </c>
      <c r="F1234" s="5" t="s">
        <v>3162</v>
      </c>
      <c r="G1234" s="5" t="s">
        <v>4264</v>
      </c>
      <c r="H1234" s="5" t="s">
        <v>4265</v>
      </c>
      <c r="I1234" s="5"/>
    </row>
    <row r="1235" spans="1:9" x14ac:dyDescent="0.2">
      <c r="A1235" s="5">
        <v>1</v>
      </c>
      <c r="B1235" s="5" t="s">
        <v>4259</v>
      </c>
      <c r="C1235" s="5" t="s">
        <v>3081</v>
      </c>
      <c r="D1235" s="5" t="s">
        <v>3082</v>
      </c>
      <c r="E1235" s="5" t="s">
        <v>244</v>
      </c>
      <c r="F1235" s="5" t="s">
        <v>3162</v>
      </c>
      <c r="G1235" s="5" t="s">
        <v>4266</v>
      </c>
      <c r="H1235" s="5" t="s">
        <v>4267</v>
      </c>
      <c r="I1235" s="5"/>
    </row>
    <row r="1236" spans="1:9" x14ac:dyDescent="0.2">
      <c r="A1236" s="5">
        <v>1</v>
      </c>
      <c r="B1236" s="5" t="s">
        <v>4268</v>
      </c>
      <c r="C1236" s="5" t="s">
        <v>3046</v>
      </c>
      <c r="D1236" s="5" t="s">
        <v>3047</v>
      </c>
      <c r="E1236" s="5" t="s">
        <v>244</v>
      </c>
      <c r="F1236" s="5" t="s">
        <v>3353</v>
      </c>
      <c r="G1236" s="5" t="s">
        <v>4269</v>
      </c>
      <c r="H1236" s="5" t="s">
        <v>3354</v>
      </c>
      <c r="I1236" s="5"/>
    </row>
    <row r="1237" spans="1:9" x14ac:dyDescent="0.2">
      <c r="A1237" s="5">
        <v>1</v>
      </c>
      <c r="B1237" s="5" t="s">
        <v>4270</v>
      </c>
      <c r="C1237" s="5" t="s">
        <v>2569</v>
      </c>
      <c r="D1237" s="5" t="s">
        <v>2570</v>
      </c>
      <c r="E1237" s="5" t="s">
        <v>1968</v>
      </c>
      <c r="F1237" s="5" t="s">
        <v>2901</v>
      </c>
      <c r="G1237" s="5"/>
      <c r="H1237" s="5"/>
      <c r="I1237" s="5"/>
    </row>
    <row r="1238" spans="1:9" x14ac:dyDescent="0.2">
      <c r="A1238" s="5">
        <v>1</v>
      </c>
      <c r="B1238" s="5" t="s">
        <v>4297</v>
      </c>
      <c r="C1238" s="5" t="s">
        <v>2871</v>
      </c>
      <c r="D1238" s="5" t="s">
        <v>2872</v>
      </c>
      <c r="E1238" s="5" t="s">
        <v>219</v>
      </c>
      <c r="F1238" s="5" t="s">
        <v>3907</v>
      </c>
      <c r="G1238" s="5" t="s">
        <v>4298</v>
      </c>
      <c r="H1238" s="5" t="s">
        <v>4221</v>
      </c>
      <c r="I1238" s="5"/>
    </row>
    <row r="1239" spans="1:9" x14ac:dyDescent="0.2">
      <c r="A1239" s="5">
        <v>1</v>
      </c>
      <c r="B1239" s="5" t="s">
        <v>4297</v>
      </c>
      <c r="C1239" s="5" t="s">
        <v>2871</v>
      </c>
      <c r="D1239" s="5" t="s">
        <v>2872</v>
      </c>
      <c r="E1239" s="5" t="s">
        <v>219</v>
      </c>
      <c r="F1239" s="5" t="s">
        <v>3908</v>
      </c>
      <c r="G1239" s="5" t="s">
        <v>4299</v>
      </c>
      <c r="H1239" s="5" t="s">
        <v>4222</v>
      </c>
      <c r="I1239" s="5"/>
    </row>
    <row r="1240" spans="1:9" x14ac:dyDescent="0.2">
      <c r="A1240" s="5">
        <v>1</v>
      </c>
      <c r="B1240" s="5" t="s">
        <v>4297</v>
      </c>
      <c r="C1240" s="5" t="s">
        <v>2871</v>
      </c>
      <c r="D1240" s="5" t="s">
        <v>2872</v>
      </c>
      <c r="E1240" s="5" t="s">
        <v>219</v>
      </c>
      <c r="F1240" s="5" t="s">
        <v>3908</v>
      </c>
      <c r="G1240" s="5" t="s">
        <v>4299</v>
      </c>
      <c r="H1240" s="5" t="s">
        <v>4223</v>
      </c>
      <c r="I1240" s="5"/>
    </row>
    <row r="1241" spans="1:9" x14ac:dyDescent="0.2">
      <c r="A1241" s="5">
        <v>1</v>
      </c>
      <c r="B1241" s="5" t="s">
        <v>4300</v>
      </c>
      <c r="C1241" s="5" t="s">
        <v>1531</v>
      </c>
      <c r="D1241" s="5" t="s">
        <v>1532</v>
      </c>
      <c r="E1241" s="5" t="s">
        <v>88</v>
      </c>
      <c r="F1241" s="5" t="s">
        <v>4279</v>
      </c>
      <c r="G1241" s="5"/>
      <c r="H1241" s="5"/>
      <c r="I1241" s="5"/>
    </row>
    <row r="1242" spans="1:9" x14ac:dyDescent="0.2">
      <c r="A1242" s="5">
        <v>1</v>
      </c>
      <c r="B1242" s="5" t="s">
        <v>4301</v>
      </c>
      <c r="C1242" s="5" t="s">
        <v>2718</v>
      </c>
      <c r="D1242" s="5" t="s">
        <v>2719</v>
      </c>
      <c r="E1242" s="5" t="s">
        <v>1968</v>
      </c>
      <c r="F1242" s="5" t="s">
        <v>3243</v>
      </c>
      <c r="G1242" s="5"/>
      <c r="H1242" s="5" t="s">
        <v>3231</v>
      </c>
      <c r="I1242" s="5"/>
    </row>
    <row r="1243" spans="1:9" x14ac:dyDescent="0.2">
      <c r="A1243" s="5">
        <v>1</v>
      </c>
      <c r="B1243" s="5" t="s">
        <v>4302</v>
      </c>
      <c r="C1243" s="5" t="s">
        <v>1502</v>
      </c>
      <c r="D1243" s="5" t="s">
        <v>1503</v>
      </c>
      <c r="E1243" s="5" t="s">
        <v>60</v>
      </c>
      <c r="F1243" s="5" t="s">
        <v>4274</v>
      </c>
      <c r="G1243" s="5" t="s">
        <v>3942</v>
      </c>
      <c r="H1243" s="5" t="s">
        <v>3944</v>
      </c>
      <c r="I1243" s="5"/>
    </row>
    <row r="1244" spans="1:9" x14ac:dyDescent="0.2">
      <c r="A1244" s="5">
        <v>1</v>
      </c>
      <c r="B1244" s="5" t="s">
        <v>4303</v>
      </c>
      <c r="C1244" s="5" t="s">
        <v>1531</v>
      </c>
      <c r="D1244" s="5" t="s">
        <v>1532</v>
      </c>
      <c r="E1244" s="5" t="s">
        <v>88</v>
      </c>
      <c r="F1244" s="5" t="s">
        <v>4277</v>
      </c>
      <c r="G1244" s="5" t="s">
        <v>4304</v>
      </c>
      <c r="H1244" s="5" t="s">
        <v>4305</v>
      </c>
      <c r="I1244" s="5"/>
    </row>
    <row r="1245" spans="1:9" x14ac:dyDescent="0.2">
      <c r="A1245" s="5">
        <v>1</v>
      </c>
      <c r="B1245" s="5" t="s">
        <v>4303</v>
      </c>
      <c r="C1245" s="5" t="s">
        <v>1531</v>
      </c>
      <c r="D1245" s="5" t="s">
        <v>1532</v>
      </c>
      <c r="E1245" s="5" t="s">
        <v>88</v>
      </c>
      <c r="F1245" s="5" t="s">
        <v>4276</v>
      </c>
      <c r="G1245" s="5" t="s">
        <v>4306</v>
      </c>
      <c r="H1245" s="5" t="s">
        <v>4307</v>
      </c>
      <c r="I1245" s="5"/>
    </row>
    <row r="1246" spans="1:9" x14ac:dyDescent="0.2">
      <c r="A1246" s="5">
        <v>1</v>
      </c>
      <c r="B1246" s="5" t="s">
        <v>4303</v>
      </c>
      <c r="C1246" s="5" t="s">
        <v>1531</v>
      </c>
      <c r="D1246" s="5" t="s">
        <v>1532</v>
      </c>
      <c r="E1246" s="5" t="s">
        <v>88</v>
      </c>
      <c r="F1246" s="5" t="s">
        <v>4278</v>
      </c>
      <c r="G1246" s="5" t="s">
        <v>4308</v>
      </c>
      <c r="H1246" s="5" t="s">
        <v>4309</v>
      </c>
      <c r="I1246" s="5"/>
    </row>
    <row r="1247" spans="1:9" x14ac:dyDescent="0.2">
      <c r="A1247" s="5">
        <v>1</v>
      </c>
      <c r="B1247" s="5" t="s">
        <v>4310</v>
      </c>
      <c r="C1247" s="5" t="s">
        <v>2510</v>
      </c>
      <c r="D1247" s="5" t="s">
        <v>2511</v>
      </c>
      <c r="E1247" s="5" t="s">
        <v>88</v>
      </c>
      <c r="F1247" s="5" t="s">
        <v>3123</v>
      </c>
      <c r="G1247" s="5" t="s">
        <v>4311</v>
      </c>
      <c r="H1247" s="5"/>
      <c r="I1247" s="5"/>
    </row>
    <row r="1248" spans="1:9" x14ac:dyDescent="0.2">
      <c r="A1248" s="5">
        <v>1</v>
      </c>
      <c r="B1248" s="5" t="s">
        <v>4341</v>
      </c>
      <c r="C1248" s="5" t="s">
        <v>1502</v>
      </c>
      <c r="D1248" s="5" t="s">
        <v>1503</v>
      </c>
      <c r="E1248" s="5" t="s">
        <v>60</v>
      </c>
      <c r="F1248" s="5" t="s">
        <v>4275</v>
      </c>
      <c r="G1248" s="5" t="s">
        <v>4342</v>
      </c>
      <c r="H1248" s="5" t="s">
        <v>3948</v>
      </c>
      <c r="I1248" s="5"/>
    </row>
    <row r="1249" spans="1:9" x14ac:dyDescent="0.2">
      <c r="A1249" s="5">
        <v>1</v>
      </c>
      <c r="B1249" s="5" t="s">
        <v>4300</v>
      </c>
      <c r="C1249" s="5" t="s">
        <v>1502</v>
      </c>
      <c r="D1249" s="5" t="s">
        <v>1503</v>
      </c>
      <c r="E1249" s="5" t="s">
        <v>60</v>
      </c>
      <c r="F1249" s="5" t="s">
        <v>3570</v>
      </c>
      <c r="G1249" s="5" t="s">
        <v>4343</v>
      </c>
      <c r="H1249" s="5"/>
      <c r="I1249" s="5"/>
    </row>
    <row r="1250" spans="1:9" x14ac:dyDescent="0.2">
      <c r="A1250" s="5">
        <v>1</v>
      </c>
      <c r="B1250" s="5" t="s">
        <v>4344</v>
      </c>
      <c r="C1250" s="5" t="s">
        <v>1839</v>
      </c>
      <c r="D1250" s="5" t="s">
        <v>1840</v>
      </c>
      <c r="E1250" s="5" t="s">
        <v>60</v>
      </c>
      <c r="F1250" s="5" t="s">
        <v>4323</v>
      </c>
      <c r="G1250" s="5"/>
      <c r="H1250" s="5"/>
      <c r="I1250" s="5"/>
    </row>
    <row r="1251" spans="1:9" x14ac:dyDescent="0.2">
      <c r="A1251" s="5">
        <v>1</v>
      </c>
      <c r="B1251" s="5" t="s">
        <v>3461</v>
      </c>
      <c r="C1251" s="5" t="s">
        <v>1531</v>
      </c>
      <c r="D1251" s="5" t="s">
        <v>1532</v>
      </c>
      <c r="E1251" s="5" t="s">
        <v>88</v>
      </c>
      <c r="F1251" s="5" t="s">
        <v>3272</v>
      </c>
      <c r="G1251" s="5"/>
      <c r="H1251" s="5" t="s">
        <v>3273</v>
      </c>
      <c r="I1251" s="5"/>
    </row>
    <row r="1252" spans="1:9" x14ac:dyDescent="0.2">
      <c r="A1252" s="5">
        <v>1</v>
      </c>
      <c r="B1252" s="5" t="s">
        <v>3461</v>
      </c>
      <c r="C1252" s="5" t="s">
        <v>1531</v>
      </c>
      <c r="D1252" s="5" t="s">
        <v>1532</v>
      </c>
      <c r="E1252" s="5" t="s">
        <v>88</v>
      </c>
      <c r="F1252" s="5" t="s">
        <v>3120</v>
      </c>
      <c r="G1252" s="5"/>
      <c r="H1252" s="5" t="s">
        <v>3232</v>
      </c>
      <c r="I1252" s="5"/>
    </row>
    <row r="1253" spans="1:9" x14ac:dyDescent="0.2">
      <c r="A1253" s="5">
        <v>1</v>
      </c>
      <c r="B1253" s="5" t="s">
        <v>4341</v>
      </c>
      <c r="C1253" s="5" t="s">
        <v>1531</v>
      </c>
      <c r="D1253" s="5" t="s">
        <v>1532</v>
      </c>
      <c r="E1253" s="5" t="s">
        <v>88</v>
      </c>
      <c r="F1253" s="5" t="s">
        <v>4320</v>
      </c>
      <c r="G1253" s="5" t="s">
        <v>4345</v>
      </c>
      <c r="H1253" s="5" t="s">
        <v>4346</v>
      </c>
      <c r="I1253" s="5"/>
    </row>
    <row r="1254" spans="1:9" x14ac:dyDescent="0.2">
      <c r="A1254" s="5">
        <v>1</v>
      </c>
      <c r="B1254" s="5" t="s">
        <v>4347</v>
      </c>
      <c r="C1254" s="5" t="s">
        <v>1531</v>
      </c>
      <c r="D1254" s="5" t="s">
        <v>1532</v>
      </c>
      <c r="E1254" s="5" t="s">
        <v>88</v>
      </c>
      <c r="F1254" s="5" t="s">
        <v>3125</v>
      </c>
      <c r="G1254" s="5"/>
      <c r="H1254" s="5"/>
      <c r="I1254" s="5"/>
    </row>
    <row r="1255" spans="1:9" x14ac:dyDescent="0.2">
      <c r="A1255" s="5">
        <v>1</v>
      </c>
      <c r="B1255" s="5" t="s">
        <v>4341</v>
      </c>
      <c r="C1255" s="5" t="s">
        <v>1502</v>
      </c>
      <c r="D1255" s="5" t="s">
        <v>1503</v>
      </c>
      <c r="E1255" s="5" t="s">
        <v>60</v>
      </c>
      <c r="F1255" s="5" t="s">
        <v>4274</v>
      </c>
      <c r="G1255" s="5" t="s">
        <v>4367</v>
      </c>
      <c r="H1255" s="5" t="s">
        <v>4368</v>
      </c>
      <c r="I1255" s="5"/>
    </row>
    <row r="1256" spans="1:9" x14ac:dyDescent="0.2">
      <c r="A1256" s="5">
        <v>1</v>
      </c>
      <c r="B1256" s="5" t="s">
        <v>4341</v>
      </c>
      <c r="C1256" s="5" t="s">
        <v>1502</v>
      </c>
      <c r="D1256" s="5" t="s">
        <v>1503</v>
      </c>
      <c r="E1256" s="5" t="s">
        <v>60</v>
      </c>
      <c r="F1256" s="5" t="s">
        <v>3490</v>
      </c>
      <c r="G1256" s="5" t="s">
        <v>4369</v>
      </c>
      <c r="H1256" s="5" t="s">
        <v>3950</v>
      </c>
      <c r="I1256" s="5"/>
    </row>
    <row r="1257" spans="1:9" x14ac:dyDescent="0.2">
      <c r="A1257" s="5">
        <v>1</v>
      </c>
      <c r="B1257" s="5" t="s">
        <v>4341</v>
      </c>
      <c r="C1257" s="5" t="s">
        <v>1502</v>
      </c>
      <c r="D1257" s="5" t="s">
        <v>1503</v>
      </c>
      <c r="E1257" s="5" t="s">
        <v>60</v>
      </c>
      <c r="F1257" s="5" t="s">
        <v>4372</v>
      </c>
      <c r="G1257" s="5" t="s">
        <v>4370</v>
      </c>
      <c r="H1257" s="5" t="s">
        <v>4371</v>
      </c>
      <c r="I1257" s="5"/>
    </row>
    <row r="1258" spans="1:9" x14ac:dyDescent="0.2">
      <c r="A1258" s="5">
        <v>1</v>
      </c>
      <c r="B1258" s="5" t="s">
        <v>3461</v>
      </c>
      <c r="C1258" s="5" t="s">
        <v>1502</v>
      </c>
      <c r="D1258" s="5" t="s">
        <v>1503</v>
      </c>
      <c r="E1258" s="5" t="s">
        <v>60</v>
      </c>
      <c r="F1258" s="5" t="s">
        <v>2984</v>
      </c>
      <c r="G1258" s="5" t="s">
        <v>3138</v>
      </c>
      <c r="H1258" s="5"/>
      <c r="I1258" s="5"/>
    </row>
    <row r="1259" spans="1:9" x14ac:dyDescent="0.2">
      <c r="A1259" s="5"/>
      <c r="B1259" s="5"/>
      <c r="C1259" s="5"/>
      <c r="D1259" s="5"/>
      <c r="E1259" s="5"/>
      <c r="F1259" s="5"/>
      <c r="G1259" s="5"/>
      <c r="H1259" s="5"/>
      <c r="I1259" s="5"/>
    </row>
    <row r="1260" spans="1:9" x14ac:dyDescent="0.2">
      <c r="A1260" s="5"/>
      <c r="B1260" s="5"/>
      <c r="C1260" s="5"/>
      <c r="D1260" s="5"/>
      <c r="E1260" s="5"/>
      <c r="F1260" s="5"/>
      <c r="G1260" s="5"/>
      <c r="H1260" s="5"/>
      <c r="I1260" s="5"/>
    </row>
    <row r="1261" spans="1:9" x14ac:dyDescent="0.2">
      <c r="A1261" s="5"/>
      <c r="B1261" s="5"/>
      <c r="C1261" s="5"/>
      <c r="D1261" s="5"/>
      <c r="E1261" s="5"/>
      <c r="F1261" s="5"/>
      <c r="G1261" s="5"/>
      <c r="H1261" s="5"/>
      <c r="I1261" s="5"/>
    </row>
    <row r="1262" spans="1:9" x14ac:dyDescent="0.2">
      <c r="A1262" s="5"/>
      <c r="B1262" s="5"/>
      <c r="C1262" s="5"/>
      <c r="D1262" s="5"/>
      <c r="E1262" s="5"/>
      <c r="F1262" s="5"/>
      <c r="G1262" s="5"/>
      <c r="H1262" s="5"/>
      <c r="I1262" s="5"/>
    </row>
    <row r="1263" spans="1:9" x14ac:dyDescent="0.2">
      <c r="A1263" s="5"/>
      <c r="B1263" s="5"/>
      <c r="C1263" s="5"/>
      <c r="D1263" s="5"/>
      <c r="E1263" s="5"/>
      <c r="F1263" s="5"/>
      <c r="G1263" s="5"/>
      <c r="H1263" s="5"/>
      <c r="I1263" s="5"/>
    </row>
    <row r="1264" spans="1:9" x14ac:dyDescent="0.2">
      <c r="A1264" s="5"/>
      <c r="B1264" s="5"/>
      <c r="C1264" s="5"/>
      <c r="D1264" s="5"/>
      <c r="E1264" s="5"/>
      <c r="F1264" s="5"/>
      <c r="G1264" s="5"/>
      <c r="H1264" s="5"/>
      <c r="I1264" s="5"/>
    </row>
    <row r="1265" spans="1:9" x14ac:dyDescent="0.2">
      <c r="A1265" s="5"/>
      <c r="B1265" s="5"/>
      <c r="C1265" s="5"/>
      <c r="D1265" s="5"/>
      <c r="E1265" s="5"/>
      <c r="F1265" s="5"/>
      <c r="G1265" s="5"/>
      <c r="H1265" s="5"/>
      <c r="I1265" s="5"/>
    </row>
    <row r="1266" spans="1:9" x14ac:dyDescent="0.2">
      <c r="A1266" s="5"/>
      <c r="B1266" s="5"/>
      <c r="C1266" s="5"/>
      <c r="D1266" s="5"/>
      <c r="E1266" s="5"/>
      <c r="F1266" s="5"/>
      <c r="G1266" s="5"/>
      <c r="H1266" s="5"/>
      <c r="I1266" s="5"/>
    </row>
    <row r="1267" spans="1:9" x14ac:dyDescent="0.2">
      <c r="A1267" s="5"/>
      <c r="B1267" s="5"/>
      <c r="C1267" s="5"/>
      <c r="D1267" s="5"/>
      <c r="E1267" s="5"/>
      <c r="F1267" s="5"/>
      <c r="G1267" s="5"/>
      <c r="H1267" s="5"/>
      <c r="I1267" s="5"/>
    </row>
    <row r="1268" spans="1:9" x14ac:dyDescent="0.2">
      <c r="A1268" s="5"/>
      <c r="B1268" s="5"/>
      <c r="C1268" s="5"/>
      <c r="D1268" s="5"/>
      <c r="E1268" s="5"/>
      <c r="F1268" s="5"/>
      <c r="G1268" s="5"/>
      <c r="H1268" s="5"/>
      <c r="I1268" s="5"/>
    </row>
    <row r="1269" spans="1:9" x14ac:dyDescent="0.2">
      <c r="A1269" s="5"/>
      <c r="B1269" s="5"/>
      <c r="C1269" s="5"/>
      <c r="D1269" s="5"/>
      <c r="E1269" s="5"/>
      <c r="F1269" s="5"/>
      <c r="G1269" s="5"/>
      <c r="H1269" s="5"/>
      <c r="I1269" s="5"/>
    </row>
    <row r="1270" spans="1:9" x14ac:dyDescent="0.2">
      <c r="A1270" s="5"/>
      <c r="B1270" s="5"/>
      <c r="C1270" s="5"/>
      <c r="D1270" s="5"/>
      <c r="E1270" s="5"/>
      <c r="F1270" s="5"/>
      <c r="G1270" s="5"/>
      <c r="H1270" s="5"/>
      <c r="I1270" s="5"/>
    </row>
    <row r="1271" spans="1:9" x14ac:dyDescent="0.2">
      <c r="A1271" s="5"/>
      <c r="B1271" s="5"/>
      <c r="C1271" s="5"/>
      <c r="D1271" s="5"/>
      <c r="E1271" s="5"/>
      <c r="F1271" s="5"/>
      <c r="G1271" s="5"/>
      <c r="H1271" s="5"/>
      <c r="I1271" s="5"/>
    </row>
    <row r="1272" spans="1:9" x14ac:dyDescent="0.2">
      <c r="A1272" s="5"/>
      <c r="B1272" s="5"/>
      <c r="C1272" s="5"/>
      <c r="D1272" s="5"/>
      <c r="E1272" s="5"/>
      <c r="F1272" s="5"/>
      <c r="G1272" s="5"/>
      <c r="H1272" s="5"/>
      <c r="I1272" s="5"/>
    </row>
    <row r="1273" spans="1:9" x14ac:dyDescent="0.2">
      <c r="A1273" s="5"/>
      <c r="B1273" s="5"/>
      <c r="C1273" s="5"/>
      <c r="D1273" s="5"/>
      <c r="E1273" s="5"/>
      <c r="F1273" s="5"/>
      <c r="G1273" s="5"/>
      <c r="H1273" s="5"/>
      <c r="I1273" s="5"/>
    </row>
    <row r="1274" spans="1:9" x14ac:dyDescent="0.2">
      <c r="A1274" s="5"/>
      <c r="B1274" s="5"/>
      <c r="C1274" s="5"/>
      <c r="D1274" s="5"/>
      <c r="E1274" s="5"/>
      <c r="F1274" s="5"/>
      <c r="G1274" s="5"/>
      <c r="H1274" s="5"/>
      <c r="I1274" s="5"/>
    </row>
    <row r="1275" spans="1:9" x14ac:dyDescent="0.2">
      <c r="A1275" s="5"/>
      <c r="B1275" s="5"/>
      <c r="C1275" s="5"/>
      <c r="D1275" s="5"/>
      <c r="E1275" s="5"/>
      <c r="F1275" s="5"/>
      <c r="G1275" s="5"/>
      <c r="H1275" s="5"/>
      <c r="I1275" s="5"/>
    </row>
    <row r="1276" spans="1:9" x14ac:dyDescent="0.2">
      <c r="A1276" s="5"/>
      <c r="B1276" s="5"/>
      <c r="C1276" s="5"/>
      <c r="D1276" s="5"/>
      <c r="E1276" s="5"/>
      <c r="F1276" s="5"/>
      <c r="G1276" s="5"/>
      <c r="H1276" s="5"/>
      <c r="I1276" s="5"/>
    </row>
    <row r="1277" spans="1:9" x14ac:dyDescent="0.2">
      <c r="A1277" s="5"/>
      <c r="B1277" s="5"/>
      <c r="C1277" s="5"/>
      <c r="D1277" s="5"/>
      <c r="E1277" s="5"/>
      <c r="F1277" s="5"/>
      <c r="G1277" s="5"/>
      <c r="H1277" s="5"/>
      <c r="I1277" s="5"/>
    </row>
    <row r="1278" spans="1:9" x14ac:dyDescent="0.2">
      <c r="A1278" s="5"/>
      <c r="B1278" s="5"/>
      <c r="C1278" s="5"/>
      <c r="D1278" s="5"/>
      <c r="E1278" s="5"/>
      <c r="F1278" s="5"/>
      <c r="G1278" s="5"/>
      <c r="H1278" s="5"/>
      <c r="I1278" s="5"/>
    </row>
    <row r="1279" spans="1:9" x14ac:dyDescent="0.2">
      <c r="A1279" s="5"/>
      <c r="B1279" s="5"/>
      <c r="C1279" s="5"/>
      <c r="D1279" s="5"/>
      <c r="E1279" s="5"/>
      <c r="F1279" s="5"/>
      <c r="G1279" s="5"/>
      <c r="H1279" s="5"/>
      <c r="I1279" s="5"/>
    </row>
    <row r="1280" spans="1:9" x14ac:dyDescent="0.2">
      <c r="A1280" s="5"/>
      <c r="B1280" s="5"/>
      <c r="C1280" s="5"/>
      <c r="D1280" s="5"/>
      <c r="E1280" s="5"/>
      <c r="F1280" s="5"/>
      <c r="G1280" s="5"/>
      <c r="H1280" s="5"/>
      <c r="I1280" s="5"/>
    </row>
    <row r="1281" spans="1:9" x14ac:dyDescent="0.2">
      <c r="A1281" s="5"/>
      <c r="B1281" s="5"/>
      <c r="C1281" s="5"/>
      <c r="D1281" s="5"/>
      <c r="E1281" s="5"/>
      <c r="F1281" s="5"/>
      <c r="G1281" s="5"/>
      <c r="H1281" s="5"/>
      <c r="I1281" s="5"/>
    </row>
    <row r="1282" spans="1:9" x14ac:dyDescent="0.2">
      <c r="A1282" s="5"/>
      <c r="B1282" s="5"/>
      <c r="C1282" s="5"/>
      <c r="D1282" s="5"/>
      <c r="E1282" s="5"/>
      <c r="F1282" s="5"/>
      <c r="G1282" s="5"/>
      <c r="H1282" s="5"/>
      <c r="I1282" s="5"/>
    </row>
    <row r="1283" spans="1:9" x14ac:dyDescent="0.2">
      <c r="A1283" s="5"/>
      <c r="B1283" s="5"/>
      <c r="C1283" s="5"/>
      <c r="D1283" s="5"/>
      <c r="E1283" s="5"/>
      <c r="F1283" s="5"/>
      <c r="G1283" s="5"/>
      <c r="H1283" s="5"/>
      <c r="I1283" s="5"/>
    </row>
    <row r="1284" spans="1:9" x14ac:dyDescent="0.2">
      <c r="A1284" s="5"/>
      <c r="B1284" s="5"/>
      <c r="C1284" s="5"/>
      <c r="D1284" s="5"/>
      <c r="E1284" s="5"/>
      <c r="F1284" s="5"/>
      <c r="G1284" s="5"/>
      <c r="H1284" s="5"/>
      <c r="I1284" s="5"/>
    </row>
    <row r="1285" spans="1:9" x14ac:dyDescent="0.2">
      <c r="A1285" s="5"/>
      <c r="B1285" s="5"/>
      <c r="C1285" s="5"/>
      <c r="D1285" s="5"/>
      <c r="E1285" s="5"/>
      <c r="F1285" s="5"/>
      <c r="G1285" s="5"/>
      <c r="H1285" s="5"/>
      <c r="I1285" s="5"/>
    </row>
    <row r="1286" spans="1:9" x14ac:dyDescent="0.2">
      <c r="A1286" s="5"/>
      <c r="B1286" s="5"/>
      <c r="C1286" s="5"/>
      <c r="D1286" s="5"/>
      <c r="E1286" s="5"/>
      <c r="F1286" s="5"/>
      <c r="G1286" s="5"/>
      <c r="H1286" s="5"/>
      <c r="I1286" s="5"/>
    </row>
    <row r="1287" spans="1:9" x14ac:dyDescent="0.2">
      <c r="A1287" s="5"/>
      <c r="B1287" s="5"/>
      <c r="C1287" s="5"/>
      <c r="D1287" s="5"/>
      <c r="E1287" s="5"/>
      <c r="F1287" s="5"/>
      <c r="G1287" s="5"/>
      <c r="H1287" s="5"/>
      <c r="I1287" s="5"/>
    </row>
    <row r="1288" spans="1:9" x14ac:dyDescent="0.2">
      <c r="A1288" s="5"/>
      <c r="B1288" s="5"/>
      <c r="C1288" s="5"/>
      <c r="D1288" s="5"/>
      <c r="E1288" s="5"/>
      <c r="F1288" s="5"/>
      <c r="G1288" s="5"/>
      <c r="H1288" s="5"/>
      <c r="I1288" s="5"/>
    </row>
    <row r="1289" spans="1:9" x14ac:dyDescent="0.2">
      <c r="A1289" s="5"/>
      <c r="B1289" s="5"/>
      <c r="C1289" s="5"/>
      <c r="D1289" s="5"/>
      <c r="E1289" s="5"/>
      <c r="F1289" s="5"/>
      <c r="G1289" s="5"/>
      <c r="H1289" s="5"/>
      <c r="I1289" s="5"/>
    </row>
    <row r="1290" spans="1:9" x14ac:dyDescent="0.2">
      <c r="A1290" s="5"/>
      <c r="B1290" s="5"/>
      <c r="C1290" s="5"/>
      <c r="D1290" s="5"/>
      <c r="E1290" s="5"/>
      <c r="F1290" s="5"/>
      <c r="G1290" s="5"/>
      <c r="H1290" s="5"/>
      <c r="I1290" s="5"/>
    </row>
    <row r="1291" spans="1:9" x14ac:dyDescent="0.2">
      <c r="A1291" s="5"/>
      <c r="B1291" s="5"/>
      <c r="C1291" s="5"/>
      <c r="D1291" s="5"/>
      <c r="E1291" s="5"/>
      <c r="F1291" s="5"/>
      <c r="G1291" s="5"/>
      <c r="H1291" s="5"/>
      <c r="I1291" s="5"/>
    </row>
    <row r="1292" spans="1:9" x14ac:dyDescent="0.2">
      <c r="A1292" s="5"/>
      <c r="B1292" s="5"/>
      <c r="C1292" s="5"/>
      <c r="D1292" s="5"/>
      <c r="E1292" s="5"/>
      <c r="F1292" s="5"/>
      <c r="G1292" s="5"/>
      <c r="H1292" s="5"/>
      <c r="I1292" s="5"/>
    </row>
    <row r="1293" spans="1:9" x14ac:dyDescent="0.2">
      <c r="A1293" s="5"/>
      <c r="B1293" s="5"/>
      <c r="C1293" s="5"/>
      <c r="D1293" s="5"/>
      <c r="E1293" s="5"/>
      <c r="F1293" s="5"/>
      <c r="G1293" s="5"/>
      <c r="H1293" s="5"/>
      <c r="I1293" s="5"/>
    </row>
    <row r="1294" spans="1:9" x14ac:dyDescent="0.2">
      <c r="A1294" s="5"/>
      <c r="B1294" s="5"/>
      <c r="C1294" s="5"/>
      <c r="D1294" s="5"/>
      <c r="E1294" s="5"/>
      <c r="F1294" s="5"/>
      <c r="G1294" s="5"/>
      <c r="H1294" s="5"/>
      <c r="I1294" s="5"/>
    </row>
    <row r="1295" spans="1:9" x14ac:dyDescent="0.2">
      <c r="A1295" s="5"/>
      <c r="B1295" s="5"/>
      <c r="C1295" s="5"/>
      <c r="D1295" s="5"/>
      <c r="E1295" s="5"/>
      <c r="F1295" s="5"/>
      <c r="G1295" s="5"/>
      <c r="H1295" s="5"/>
      <c r="I1295" s="5"/>
    </row>
    <row r="1296" spans="1:9" x14ac:dyDescent="0.2">
      <c r="A1296" s="5"/>
      <c r="B1296" s="5"/>
      <c r="C1296" s="5"/>
      <c r="D1296" s="5"/>
      <c r="E1296" s="5"/>
      <c r="F1296" s="5"/>
      <c r="G1296" s="5"/>
      <c r="H1296" s="5"/>
      <c r="I1296" s="5"/>
    </row>
    <row r="1297" spans="1:9" x14ac:dyDescent="0.2">
      <c r="A1297" s="5"/>
      <c r="B1297" s="5"/>
      <c r="C1297" s="5"/>
      <c r="D1297" s="5"/>
      <c r="E1297" s="5"/>
      <c r="F1297" s="5"/>
      <c r="G1297" s="5"/>
      <c r="H1297" s="5"/>
      <c r="I1297" s="5"/>
    </row>
    <row r="1298" spans="1:9" x14ac:dyDescent="0.2">
      <c r="A1298" s="5"/>
      <c r="B1298" s="5"/>
      <c r="C1298" s="5"/>
      <c r="D1298" s="5"/>
      <c r="E1298" s="5"/>
      <c r="F1298" s="5"/>
      <c r="G1298" s="5"/>
      <c r="H1298" s="5"/>
      <c r="I1298" s="5"/>
    </row>
    <row r="1299" spans="1:9" x14ac:dyDescent="0.2">
      <c r="A1299" s="5"/>
      <c r="B1299" s="5"/>
      <c r="C1299" s="5"/>
      <c r="D1299" s="5"/>
      <c r="E1299" s="5"/>
      <c r="F1299" s="5"/>
      <c r="G1299" s="5"/>
      <c r="H1299" s="5"/>
      <c r="I1299" s="5"/>
    </row>
    <row r="1300" spans="1:9" x14ac:dyDescent="0.2">
      <c r="A1300" s="5"/>
      <c r="B1300" s="5"/>
      <c r="C1300" s="5"/>
      <c r="D1300" s="5"/>
      <c r="E1300" s="5"/>
      <c r="F1300" s="5"/>
      <c r="G1300" s="5"/>
      <c r="H1300" s="5"/>
      <c r="I1300" s="5"/>
    </row>
    <row r="1301" spans="1:9" x14ac:dyDescent="0.2">
      <c r="A1301" s="5"/>
      <c r="B1301" s="5"/>
      <c r="C1301" s="5"/>
      <c r="D1301" s="5"/>
      <c r="E1301" s="5"/>
      <c r="F1301" s="5"/>
      <c r="G1301" s="5"/>
      <c r="H1301" s="5"/>
      <c r="I1301" s="5"/>
    </row>
    <row r="1302" spans="1:9" x14ac:dyDescent="0.2">
      <c r="A1302" s="5"/>
      <c r="B1302" s="5"/>
      <c r="C1302" s="5"/>
      <c r="D1302" s="5"/>
      <c r="E1302" s="5"/>
      <c r="F1302" s="5"/>
      <c r="G1302" s="5"/>
      <c r="H1302" s="5"/>
      <c r="I1302" s="5"/>
    </row>
    <row r="1303" spans="1:9" x14ac:dyDescent="0.2">
      <c r="A1303" s="5"/>
      <c r="B1303" s="5"/>
      <c r="C1303" s="5"/>
      <c r="D1303" s="5"/>
      <c r="E1303" s="5"/>
      <c r="F1303" s="5"/>
      <c r="G1303" s="5"/>
      <c r="H1303" s="5"/>
      <c r="I1303" s="5"/>
    </row>
    <row r="1304" spans="1:9" x14ac:dyDescent="0.2">
      <c r="A1304" s="5"/>
      <c r="B1304" s="5"/>
      <c r="C1304" s="5"/>
      <c r="D1304" s="5"/>
      <c r="E1304" s="5"/>
      <c r="F1304" s="5"/>
      <c r="G1304" s="5"/>
      <c r="H1304" s="5"/>
      <c r="I1304" s="5"/>
    </row>
    <row r="1305" spans="1:9" x14ac:dyDescent="0.2">
      <c r="A1305" s="5"/>
      <c r="B1305" s="5"/>
      <c r="C1305" s="5"/>
      <c r="D1305" s="5"/>
      <c r="E1305" s="5"/>
      <c r="F1305" s="5"/>
      <c r="G1305" s="5"/>
      <c r="H1305" s="5"/>
      <c r="I1305" s="5"/>
    </row>
    <row r="1306" spans="1:9" x14ac:dyDescent="0.2">
      <c r="A1306" s="5"/>
      <c r="B1306" s="5"/>
      <c r="C1306" s="5"/>
      <c r="D1306" s="5"/>
      <c r="E1306" s="5"/>
      <c r="F1306" s="5"/>
      <c r="G1306" s="5"/>
      <c r="H1306" s="5"/>
      <c r="I1306" s="5"/>
    </row>
    <row r="1307" spans="1:9" x14ac:dyDescent="0.2">
      <c r="A1307" s="5"/>
      <c r="B1307" s="5"/>
      <c r="C1307" s="5"/>
      <c r="D1307" s="5"/>
      <c r="E1307" s="5"/>
      <c r="F1307" s="5"/>
      <c r="G1307" s="5"/>
      <c r="H1307" s="5"/>
      <c r="I1307" s="5"/>
    </row>
    <row r="1308" spans="1:9" x14ac:dyDescent="0.2">
      <c r="A1308" s="5"/>
      <c r="B1308" s="5"/>
      <c r="C1308" s="5"/>
      <c r="D1308" s="5"/>
      <c r="E1308" s="5"/>
      <c r="F1308" s="5"/>
      <c r="G1308" s="5"/>
      <c r="H1308" s="5"/>
      <c r="I1308" s="5"/>
    </row>
    <row r="1309" spans="1:9" x14ac:dyDescent="0.2">
      <c r="A1309" s="5"/>
      <c r="B1309" s="5"/>
      <c r="C1309" s="5"/>
      <c r="D1309" s="5"/>
      <c r="E1309" s="5"/>
      <c r="F1309" s="5"/>
      <c r="G1309" s="5"/>
      <c r="H1309" s="5"/>
      <c r="I1309" s="5"/>
    </row>
    <row r="1310" spans="1:9" x14ac:dyDescent="0.2">
      <c r="A1310" s="5"/>
      <c r="B1310" s="5"/>
      <c r="C1310" s="5"/>
      <c r="D1310" s="5"/>
      <c r="E1310" s="5"/>
      <c r="F1310" s="5"/>
      <c r="G1310" s="5"/>
      <c r="H1310" s="5"/>
      <c r="I1310" s="5"/>
    </row>
    <row r="1311" spans="1:9" x14ac:dyDescent="0.2">
      <c r="A1311" s="5"/>
      <c r="B1311" s="5"/>
      <c r="C1311" s="5"/>
      <c r="D1311" s="5"/>
      <c r="E1311" s="5"/>
      <c r="F1311" s="5"/>
      <c r="G1311" s="5"/>
      <c r="H1311" s="5"/>
      <c r="I1311" s="5"/>
    </row>
    <row r="1312" spans="1:9" x14ac:dyDescent="0.2">
      <c r="A1312" s="5"/>
      <c r="B1312" s="5"/>
      <c r="C1312" s="5"/>
      <c r="D1312" s="5"/>
      <c r="E1312" s="5"/>
      <c r="F1312" s="5"/>
      <c r="G1312" s="5"/>
      <c r="H1312" s="5"/>
      <c r="I1312" s="5"/>
    </row>
    <row r="1313" spans="1:9" x14ac:dyDescent="0.2">
      <c r="A1313" s="5"/>
      <c r="B1313" s="5"/>
      <c r="C1313" s="5"/>
      <c r="D1313" s="5"/>
      <c r="E1313" s="5"/>
      <c r="F1313" s="5"/>
      <c r="G1313" s="5"/>
      <c r="H1313" s="5"/>
      <c r="I1313" s="5"/>
    </row>
    <row r="1314" spans="1:9" x14ac:dyDescent="0.2">
      <c r="A1314" s="5"/>
      <c r="B1314" s="5"/>
      <c r="C1314" s="5"/>
      <c r="D1314" s="5"/>
      <c r="E1314" s="5"/>
      <c r="F1314" s="5"/>
      <c r="G1314" s="5"/>
      <c r="H1314" s="5"/>
      <c r="I1314" s="5"/>
    </row>
    <row r="1315" spans="1:9" x14ac:dyDescent="0.2">
      <c r="A1315" s="5"/>
      <c r="B1315" s="5"/>
      <c r="C1315" s="5"/>
      <c r="D1315" s="5"/>
      <c r="E1315" s="5"/>
      <c r="F1315" s="5"/>
      <c r="G1315" s="5"/>
      <c r="H1315" s="5"/>
      <c r="I1315" s="5"/>
    </row>
    <row r="1316" spans="1:9" x14ac:dyDescent="0.2">
      <c r="A1316" s="5"/>
      <c r="B1316" s="5"/>
      <c r="C1316" s="5"/>
      <c r="D1316" s="5"/>
      <c r="E1316" s="5"/>
      <c r="F1316" s="5"/>
      <c r="G1316" s="5"/>
      <c r="H1316" s="5"/>
      <c r="I1316" s="5"/>
    </row>
    <row r="1317" spans="1:9" x14ac:dyDescent="0.2">
      <c r="A1317" s="5"/>
      <c r="B1317" s="5"/>
      <c r="C1317" s="5"/>
      <c r="D1317" s="5"/>
      <c r="E1317" s="5"/>
      <c r="F1317" s="5"/>
      <c r="G1317" s="5"/>
      <c r="H1317" s="5"/>
      <c r="I1317" s="5"/>
    </row>
    <row r="1318" spans="1:9" x14ac:dyDescent="0.2">
      <c r="A1318" s="5"/>
      <c r="B1318" s="5"/>
      <c r="C1318" s="5"/>
      <c r="D1318" s="5"/>
      <c r="E1318" s="5"/>
      <c r="F1318" s="5"/>
      <c r="G1318" s="5"/>
      <c r="H1318" s="5"/>
      <c r="I1318" s="5"/>
    </row>
    <row r="1319" spans="1:9" x14ac:dyDescent="0.2">
      <c r="A1319" s="5"/>
      <c r="B1319" s="5"/>
      <c r="C1319" s="5"/>
      <c r="D1319" s="5"/>
      <c r="E1319" s="5"/>
      <c r="F1319" s="5"/>
      <c r="G1319" s="5"/>
      <c r="H1319" s="5"/>
      <c r="I1319" s="5"/>
    </row>
    <row r="1320" spans="1:9" x14ac:dyDescent="0.2">
      <c r="A1320" s="5"/>
      <c r="B1320" s="5"/>
      <c r="C1320" s="5"/>
      <c r="D1320" s="5"/>
      <c r="E1320" s="5"/>
      <c r="F1320" s="5"/>
      <c r="G1320" s="5"/>
      <c r="H1320" s="5"/>
      <c r="I1320" s="5"/>
    </row>
    <row r="1321" spans="1:9" x14ac:dyDescent="0.2">
      <c r="A1321" s="5"/>
      <c r="B1321" s="5"/>
      <c r="C1321" s="5"/>
      <c r="D1321" s="5"/>
      <c r="E1321" s="5"/>
      <c r="F1321" s="5"/>
      <c r="G1321" s="5"/>
      <c r="H1321" s="5"/>
      <c r="I1321"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mportExceptions">
                <anchor moveWithCells="1" sizeWithCells="1">
                  <from>
                    <xdr:col>1</xdr:col>
                    <xdr:colOff>38100</xdr:colOff>
                    <xdr:row>9</xdr:row>
                    <xdr:rowOff>85725</xdr:rowOff>
                  </from>
                  <to>
                    <xdr:col>3</xdr:col>
                    <xdr:colOff>609600</xdr:colOff>
                    <xdr:row>11</xdr:row>
                    <xdr:rowOff>47625</xdr:rowOff>
                  </to>
                </anchor>
              </controlPr>
            </control>
          </mc:Choice>
        </mc:AlternateContent>
        <mc:AlternateContent xmlns:mc="http://schemas.openxmlformats.org/markup-compatibility/2006">
          <mc:Choice Requires="x14">
            <control shapeId="12290" r:id="rId4" name="Button 2">
              <controlPr defaultSize="0" print="0" autoFill="0" autoPict="0" macro="[0]!forceRemoveExceptions">
                <anchor moveWithCells="1" sizeWithCells="1">
                  <from>
                    <xdr:col>1</xdr:col>
                    <xdr:colOff>38100</xdr:colOff>
                    <xdr:row>11</xdr:row>
                    <xdr:rowOff>123825</xdr:rowOff>
                  </from>
                  <to>
                    <xdr:col>3</xdr:col>
                    <xdr:colOff>609600</xdr:colOff>
                    <xdr:row>13</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26"/>
  <sheetViews>
    <sheetView showGridLines="0" workbookViewId="0">
      <selection activeCell="I11" sqref="I11"/>
    </sheetView>
  </sheetViews>
  <sheetFormatPr defaultRowHeight="12.75" x14ac:dyDescent="0.2"/>
  <cols>
    <col min="1" max="1" width="24.5703125" customWidth="1"/>
  </cols>
  <sheetData>
    <row r="2" spans="1:1" x14ac:dyDescent="0.2">
      <c r="A2" t="s">
        <v>3091</v>
      </c>
    </row>
    <row r="4" spans="1:1" x14ac:dyDescent="0.2">
      <c r="A4" s="2" t="s">
        <v>3092</v>
      </c>
    </row>
    <row r="5" spans="1:1" x14ac:dyDescent="0.2">
      <c r="A5" t="s">
        <v>3093</v>
      </c>
    </row>
    <row r="7" spans="1:1" x14ac:dyDescent="0.2">
      <c r="A7" s="2" t="s">
        <v>3094</v>
      </c>
    </row>
    <row r="8" spans="1:1" x14ac:dyDescent="0.2">
      <c r="A8" t="s">
        <v>3727</v>
      </c>
    </row>
    <row r="10" spans="1:1" x14ac:dyDescent="0.2">
      <c r="A10" s="2" t="s">
        <v>3246</v>
      </c>
    </row>
    <row r="11" spans="1:1" x14ac:dyDescent="0.2">
      <c r="A11" t="str">
        <f>" - issues found by Ayla"</f>
        <v xml:space="preserve"> - issues found by Ayla</v>
      </c>
    </row>
    <row r="15" spans="1:1" x14ac:dyDescent="0.2">
      <c r="A15" s="2" t="s">
        <v>3247</v>
      </c>
    </row>
    <row r="16" spans="1:1" x14ac:dyDescent="0.2">
      <c r="A16" t="s">
        <v>492</v>
      </c>
    </row>
    <row r="17" spans="1:1" x14ac:dyDescent="0.2">
      <c r="A17" t="s">
        <v>60</v>
      </c>
    </row>
    <row r="18" spans="1:1" x14ac:dyDescent="0.2">
      <c r="A18" t="s">
        <v>2160</v>
      </c>
    </row>
    <row r="19" spans="1:1" x14ac:dyDescent="0.2">
      <c r="A19" t="s">
        <v>88</v>
      </c>
    </row>
    <row r="20" spans="1:1" x14ac:dyDescent="0.2">
      <c r="A20" t="s">
        <v>244</v>
      </c>
    </row>
    <row r="21" spans="1:1" x14ac:dyDescent="0.2">
      <c r="A21" t="s">
        <v>219</v>
      </c>
    </row>
    <row r="22" spans="1:1" x14ac:dyDescent="0.2">
      <c r="A22" t="s">
        <v>366</v>
      </c>
    </row>
    <row r="23" spans="1:1" x14ac:dyDescent="0.2">
      <c r="A23" t="s">
        <v>1968</v>
      </c>
    </row>
    <row r="24" spans="1:1" x14ac:dyDescent="0.2">
      <c r="A24" t="s">
        <v>2276</v>
      </c>
    </row>
    <row r="25" spans="1:1" x14ac:dyDescent="0.2">
      <c r="A25" t="s">
        <v>2251</v>
      </c>
    </row>
    <row r="26" spans="1:1" x14ac:dyDescent="0.2">
      <c r="A26" t="s">
        <v>2865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R46"/>
  <sheetViews>
    <sheetView workbookViewId="0">
      <selection activeCell="B4" sqref="B4"/>
    </sheetView>
  </sheetViews>
  <sheetFormatPr defaultRowHeight="12.75" x14ac:dyDescent="0.2"/>
  <sheetData>
    <row r="2" spans="2:18" x14ac:dyDescent="0.2">
      <c r="B2" s="48" t="s">
        <v>3721</v>
      </c>
      <c r="R2" s="48" t="s">
        <v>3805</v>
      </c>
    </row>
    <row r="3" spans="2:18" x14ac:dyDescent="0.2">
      <c r="B3" s="48"/>
      <c r="R3" s="49" t="s">
        <v>3806</v>
      </c>
    </row>
    <row r="4" spans="2:18" x14ac:dyDescent="0.2">
      <c r="B4" s="49" t="s">
        <v>3722</v>
      </c>
      <c r="R4" s="49" t="s">
        <v>3807</v>
      </c>
    </row>
    <row r="5" spans="2:18" x14ac:dyDescent="0.2">
      <c r="B5" s="49" t="s">
        <v>3723</v>
      </c>
      <c r="R5" s="49"/>
    </row>
    <row r="6" spans="2:18" x14ac:dyDescent="0.2">
      <c r="B6" s="49" t="s">
        <v>3724</v>
      </c>
      <c r="R6" s="49" t="s">
        <v>3808</v>
      </c>
    </row>
    <row r="7" spans="2:18" x14ac:dyDescent="0.2">
      <c r="B7" s="49" t="s">
        <v>3725</v>
      </c>
      <c r="R7" s="49" t="s">
        <v>3809</v>
      </c>
    </row>
    <row r="8" spans="2:18" x14ac:dyDescent="0.2">
      <c r="R8" s="49" t="s">
        <v>3810</v>
      </c>
    </row>
    <row r="9" spans="2:18" x14ac:dyDescent="0.2">
      <c r="R9" s="49"/>
    </row>
    <row r="10" spans="2:18" x14ac:dyDescent="0.2">
      <c r="R10" s="49"/>
    </row>
    <row r="11" spans="2:18" x14ac:dyDescent="0.2">
      <c r="R11" s="49"/>
    </row>
    <row r="12" spans="2:18" x14ac:dyDescent="0.2">
      <c r="B12" s="2" t="s">
        <v>2918</v>
      </c>
      <c r="R12" s="48" t="s">
        <v>3811</v>
      </c>
    </row>
    <row r="13" spans="2:18" x14ac:dyDescent="0.2">
      <c r="R13" s="49" t="s">
        <v>3812</v>
      </c>
    </row>
    <row r="14" spans="2:18" x14ac:dyDescent="0.2">
      <c r="B14" t="s">
        <v>2919</v>
      </c>
      <c r="R14" s="49" t="s">
        <v>3813</v>
      </c>
    </row>
    <row r="15" spans="2:18" x14ac:dyDescent="0.2">
      <c r="R15" s="48" t="s">
        <v>3817</v>
      </c>
    </row>
    <row r="16" spans="2:18" x14ac:dyDescent="0.2">
      <c r="B16" t="s">
        <v>3252</v>
      </c>
      <c r="R16" s="49" t="s">
        <v>3818</v>
      </c>
    </row>
    <row r="19" spans="18:18" x14ac:dyDescent="0.2">
      <c r="R19" s="48" t="s">
        <v>3933</v>
      </c>
    </row>
    <row r="33" spans="2:2" x14ac:dyDescent="0.2">
      <c r="B33" s="2" t="s">
        <v>3548</v>
      </c>
    </row>
    <row r="35" spans="2:2" x14ac:dyDescent="0.2">
      <c r="B35" t="s">
        <v>3549</v>
      </c>
    </row>
    <row r="36" spans="2:2" x14ac:dyDescent="0.2">
      <c r="B36" t="s">
        <v>3550</v>
      </c>
    </row>
    <row r="37" spans="2:2" x14ac:dyDescent="0.2">
      <c r="B37" t="s">
        <v>3551</v>
      </c>
    </row>
    <row r="38" spans="2:2" x14ac:dyDescent="0.2">
      <c r="B38" t="s">
        <v>3552</v>
      </c>
    </row>
    <row r="39" spans="2:2" x14ac:dyDescent="0.2">
      <c r="B39" t="s">
        <v>3553</v>
      </c>
    </row>
    <row r="44" spans="2:2" x14ac:dyDescent="0.2">
      <c r="B44" s="48"/>
    </row>
    <row r="45" spans="2:2" x14ac:dyDescent="0.2">
      <c r="B45" s="49"/>
    </row>
    <row r="46" spans="2:2" x14ac:dyDescent="0.2">
      <c r="B46" s="4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Sortbyname</vt:lpstr>
      <vt:lpstr>Rules PHB</vt:lpstr>
      <vt:lpstr>Rules 1</vt:lpstr>
      <vt:lpstr>Rules 2</vt:lpstr>
      <vt:lpstr>Rules 3</vt:lpstr>
      <vt:lpstr>Rules 4</vt:lpstr>
      <vt:lpstr>Equip Schedule</vt:lpstr>
      <vt:lpstr>Misc</vt:lpstr>
      <vt:lpstr>Database</vt:lpstr>
      <vt:lpstr>Stages</vt:lpstr>
      <vt:lpstr>J</vt:lpstr>
      <vt:lpstr>Exceptions</vt:lpstr>
      <vt:lpstr>Output</vt:lpstr>
      <vt:lpstr>Ideas</vt:lpstr>
    </vt:vector>
  </TitlesOfParts>
  <Company>BDP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cc20035</dc:creator>
  <cp:lastModifiedBy>Rich</cp:lastModifiedBy>
  <dcterms:created xsi:type="dcterms:W3CDTF">2015-06-26T12:06:31Z</dcterms:created>
  <dcterms:modified xsi:type="dcterms:W3CDTF">2016-06-04T13:31:58Z</dcterms:modified>
</cp:coreProperties>
</file>